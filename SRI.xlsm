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E:\Documentos\excel\"/>
    </mc:Choice>
  </mc:AlternateContent>
  <bookViews>
    <workbookView xWindow="0" yWindow="465" windowWidth="20415" windowHeight="8415" tabRatio="500"/>
  </bookViews>
  <sheets>
    <sheet name="SRI" sheetId="6" r:id="rId1"/>
  </sheets>
  <definedNames>
    <definedName name="_xlnm.Print_Area" localSheetId="0">SRI!$B$1:$H$70</definedName>
    <definedName name="OLE_LINK2" localSheetId="0">SRI!$B$72</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571" i="6" l="1"/>
  <c r="H565" i="6"/>
  <c r="H559" i="6"/>
  <c r="H553" i="6"/>
  <c r="H653" i="6"/>
  <c r="H641" i="6"/>
  <c r="H635" i="6"/>
  <c r="H617" i="6"/>
  <c r="H611" i="6"/>
  <c r="H605" i="6"/>
  <c r="H654" i="6"/>
  <c r="H648" i="6"/>
  <c r="H642" i="6"/>
  <c r="H636" i="6"/>
  <c r="H630" i="6"/>
  <c r="H624" i="6"/>
  <c r="H618" i="6"/>
  <c r="H612" i="6"/>
  <c r="H606" i="6"/>
  <c r="H599" i="6"/>
  <c r="H600" i="6"/>
  <c r="H601" i="6"/>
  <c r="F600" i="6"/>
  <c r="F601" i="6"/>
  <c r="H607" i="6"/>
  <c r="F606" i="6"/>
  <c r="F607" i="6"/>
  <c r="H613" i="6"/>
  <c r="F612" i="6"/>
  <c r="F613" i="6"/>
  <c r="H619" i="6"/>
  <c r="F618" i="6"/>
  <c r="F619" i="6"/>
  <c r="H623" i="6"/>
  <c r="H625" i="6"/>
  <c r="F624" i="6"/>
  <c r="F625" i="6"/>
  <c r="H629" i="6"/>
  <c r="H631" i="6"/>
  <c r="F630" i="6"/>
  <c r="F631" i="6"/>
  <c r="H637" i="6"/>
  <c r="F636" i="6"/>
  <c r="F637" i="6"/>
  <c r="H643" i="6"/>
  <c r="F642" i="6"/>
  <c r="F643" i="6"/>
  <c r="H647" i="6"/>
  <c r="H649" i="6"/>
  <c r="F648" i="6"/>
  <c r="F649" i="6"/>
  <c r="H655" i="6"/>
  <c r="F654" i="6"/>
  <c r="F655" i="6"/>
  <c r="F660" i="6"/>
  <c r="G660" i="6"/>
  <c r="H536" i="6"/>
  <c r="H542" i="6"/>
  <c r="H548" i="6"/>
  <c r="H554" i="6"/>
  <c r="H560" i="6"/>
  <c r="H566" i="6"/>
  <c r="H572" i="6"/>
  <c r="H578" i="6"/>
  <c r="H584" i="6"/>
  <c r="H590" i="6"/>
  <c r="H579" i="6"/>
  <c r="H573" i="6"/>
  <c r="H567" i="6"/>
  <c r="H561" i="6"/>
  <c r="H555" i="6"/>
  <c r="H549" i="6"/>
  <c r="H543" i="6"/>
  <c r="H537" i="6"/>
  <c r="H585" i="6"/>
  <c r="H591" i="6"/>
  <c r="F596" i="6"/>
  <c r="G596" i="6"/>
  <c r="F591" i="6"/>
  <c r="F590" i="6"/>
  <c r="H589" i="6"/>
  <c r="F585" i="6"/>
  <c r="F584" i="6"/>
  <c r="H583" i="6"/>
  <c r="H541" i="6"/>
  <c r="H535" i="6"/>
  <c r="H404" i="6"/>
  <c r="H405" i="6"/>
  <c r="H410" i="6"/>
  <c r="H411" i="6"/>
  <c r="H416" i="6"/>
  <c r="H417" i="6"/>
  <c r="H422" i="6"/>
  <c r="H423" i="6"/>
  <c r="H428" i="6"/>
  <c r="H429" i="6"/>
  <c r="H434" i="6"/>
  <c r="H435" i="6"/>
  <c r="H440" i="6"/>
  <c r="H441" i="6"/>
  <c r="H446" i="6"/>
  <c r="H447" i="6"/>
  <c r="H452" i="6"/>
  <c r="H453" i="6"/>
  <c r="H458" i="6"/>
  <c r="H459" i="6"/>
  <c r="F464" i="6"/>
  <c r="H393" i="6"/>
  <c r="H392" i="6"/>
  <c r="H394" i="6"/>
  <c r="H387" i="6"/>
  <c r="H388" i="6"/>
  <c r="H381" i="6"/>
  <c r="H382" i="6"/>
  <c r="H375" i="6"/>
  <c r="H376" i="6"/>
  <c r="H369" i="6"/>
  <c r="H370" i="6"/>
  <c r="H363" i="6"/>
  <c r="H364" i="6"/>
  <c r="H357" i="6"/>
  <c r="H358" i="6"/>
  <c r="H351" i="6"/>
  <c r="H352" i="6"/>
  <c r="H345" i="6"/>
  <c r="H346" i="6"/>
  <c r="H339" i="6"/>
  <c r="H340" i="6"/>
  <c r="F399" i="6"/>
  <c r="H327" i="6"/>
  <c r="H328" i="6"/>
  <c r="H321" i="6"/>
  <c r="H322" i="6"/>
  <c r="H315" i="6"/>
  <c r="H316" i="6"/>
  <c r="H309" i="6"/>
  <c r="H310" i="6"/>
  <c r="H303" i="6"/>
  <c r="H304" i="6"/>
  <c r="H297" i="6"/>
  <c r="H298" i="6"/>
  <c r="H291" i="6"/>
  <c r="H292" i="6"/>
  <c r="H285" i="6"/>
  <c r="H286" i="6"/>
  <c r="H279" i="6"/>
  <c r="H280" i="6"/>
  <c r="H272" i="6"/>
  <c r="H273" i="6"/>
  <c r="F332" i="6"/>
  <c r="H511" i="6"/>
  <c r="H512" i="6"/>
  <c r="H505" i="6"/>
  <c r="H506" i="6"/>
  <c r="H499" i="6"/>
  <c r="H500" i="6"/>
  <c r="H493" i="6"/>
  <c r="H494" i="6"/>
  <c r="H487" i="6"/>
  <c r="H488" i="6"/>
  <c r="H481" i="6"/>
  <c r="H482" i="6"/>
  <c r="H475" i="6"/>
  <c r="H476" i="6"/>
  <c r="H469" i="6"/>
  <c r="H468" i="6"/>
  <c r="H470" i="6"/>
  <c r="H518" i="6"/>
  <c r="H519" i="6"/>
  <c r="H525" i="6"/>
  <c r="H524" i="6"/>
  <c r="H526" i="6"/>
  <c r="F531" i="6"/>
  <c r="H258" i="6"/>
  <c r="H259" i="6"/>
  <c r="H252" i="6"/>
  <c r="H253" i="6"/>
  <c r="H246" i="6"/>
  <c r="H247" i="6"/>
  <c r="H240" i="6"/>
  <c r="H241" i="6"/>
  <c r="H234" i="6"/>
  <c r="H235" i="6"/>
  <c r="H228" i="6"/>
  <c r="H229" i="6"/>
  <c r="H222" i="6"/>
  <c r="H223" i="6"/>
  <c r="H216" i="6"/>
  <c r="H217" i="6"/>
  <c r="H210" i="6"/>
  <c r="H211" i="6"/>
  <c r="H204" i="6"/>
  <c r="H205" i="6"/>
  <c r="F264" i="6"/>
  <c r="H510" i="6"/>
  <c r="H492" i="6"/>
  <c r="H480" i="6"/>
  <c r="G531" i="6"/>
  <c r="F532" i="6"/>
  <c r="H504" i="6"/>
  <c r="H517" i="6"/>
  <c r="F526" i="6"/>
  <c r="F525" i="6"/>
  <c r="F519" i="6"/>
  <c r="F518" i="6"/>
  <c r="H486" i="6"/>
  <c r="H474" i="6"/>
  <c r="G464" i="6"/>
  <c r="H457" i="6"/>
  <c r="H451" i="6"/>
  <c r="H445" i="6"/>
  <c r="H439" i="6"/>
  <c r="H427" i="6"/>
  <c r="H421" i="6"/>
  <c r="H415" i="6"/>
  <c r="H409" i="6"/>
  <c r="H433" i="6"/>
  <c r="H403" i="6"/>
  <c r="F459" i="6"/>
  <c r="F458" i="6"/>
  <c r="F453" i="6"/>
  <c r="F452" i="6"/>
  <c r="F447" i="6"/>
  <c r="F446" i="6"/>
  <c r="F441" i="6"/>
  <c r="F440" i="6"/>
  <c r="F435" i="6"/>
  <c r="F434" i="6"/>
  <c r="F465" i="6"/>
  <c r="H380" i="6"/>
  <c r="H374" i="6"/>
  <c r="H368" i="6"/>
  <c r="H356" i="6"/>
  <c r="H350" i="6"/>
  <c r="H326" i="6"/>
  <c r="H320" i="6"/>
  <c r="H314" i="6"/>
  <c r="H308" i="6"/>
  <c r="H296" i="6"/>
  <c r="F322" i="6"/>
  <c r="F321" i="6"/>
  <c r="H284" i="6"/>
  <c r="H278" i="6"/>
  <c r="H271" i="6"/>
  <c r="H257" i="6"/>
  <c r="H239" i="6"/>
  <c r="H233" i="6"/>
  <c r="H227" i="6"/>
  <c r="H221" i="6"/>
  <c r="H215" i="6"/>
  <c r="H209" i="6"/>
  <c r="H192" i="6"/>
  <c r="H186" i="6"/>
  <c r="H180" i="6"/>
  <c r="H174" i="6"/>
  <c r="H168" i="6"/>
  <c r="H162" i="6"/>
  <c r="H150" i="6"/>
  <c r="H144" i="6"/>
  <c r="H138" i="6"/>
  <c r="H127" i="6"/>
  <c r="H121" i="6"/>
  <c r="H115" i="6"/>
  <c r="H109" i="6"/>
  <c r="H103" i="6"/>
  <c r="H91" i="6"/>
  <c r="H85" i="6"/>
  <c r="H79" i="6"/>
  <c r="H56" i="6"/>
  <c r="H50" i="6"/>
  <c r="H44" i="6"/>
  <c r="H38" i="6"/>
  <c r="H26" i="6"/>
  <c r="H27" i="6"/>
  <c r="H28" i="6"/>
  <c r="H33" i="6"/>
  <c r="H32" i="6"/>
  <c r="H34" i="6"/>
  <c r="H39" i="6"/>
  <c r="H40" i="6"/>
  <c r="H45" i="6"/>
  <c r="H46" i="6"/>
  <c r="H51" i="6"/>
  <c r="H52" i="6"/>
  <c r="H57" i="6"/>
  <c r="H58" i="6"/>
  <c r="H63" i="6"/>
  <c r="H62" i="6"/>
  <c r="H64" i="6"/>
  <c r="H21" i="6"/>
  <c r="H20" i="6"/>
  <c r="H22" i="6"/>
  <c r="H15" i="6"/>
  <c r="H16" i="6"/>
  <c r="H9" i="6"/>
  <c r="H10" i="6"/>
  <c r="F69" i="6"/>
  <c r="G69" i="6"/>
  <c r="F70" i="6"/>
  <c r="H14" i="6"/>
  <c r="H8" i="6"/>
  <c r="F9" i="6"/>
  <c r="H577" i="6"/>
  <c r="H547" i="6"/>
  <c r="F579" i="6"/>
  <c r="F578" i="6"/>
  <c r="F573" i="6"/>
  <c r="F572" i="6"/>
  <c r="F567" i="6"/>
  <c r="F566" i="6"/>
  <c r="F561" i="6"/>
  <c r="F560" i="6"/>
  <c r="F555" i="6"/>
  <c r="F554" i="6"/>
  <c r="F549" i="6"/>
  <c r="F548" i="6"/>
  <c r="F543" i="6"/>
  <c r="F542" i="6"/>
  <c r="F537" i="6"/>
  <c r="F536" i="6"/>
  <c r="H386" i="6"/>
  <c r="H362" i="6"/>
  <c r="H344" i="6"/>
  <c r="H338" i="6"/>
  <c r="H498" i="6"/>
  <c r="H290" i="6"/>
  <c r="H302" i="6"/>
  <c r="H251" i="6"/>
  <c r="H245" i="6"/>
  <c r="H203" i="6"/>
  <c r="H156" i="6"/>
  <c r="H145" i="6"/>
  <c r="H97" i="6"/>
  <c r="H73" i="6"/>
  <c r="F328" i="6"/>
  <c r="F327" i="6"/>
  <c r="G134" i="6"/>
  <c r="H128" i="6"/>
  <c r="H129" i="6"/>
  <c r="H122" i="6"/>
  <c r="H123" i="6"/>
  <c r="H116" i="6"/>
  <c r="H117" i="6"/>
  <c r="H110" i="6"/>
  <c r="H111" i="6"/>
  <c r="H104" i="6"/>
  <c r="H105" i="6"/>
  <c r="H98" i="6"/>
  <c r="H99" i="6"/>
  <c r="H92" i="6"/>
  <c r="H93" i="6"/>
  <c r="H86" i="6"/>
  <c r="H87" i="6"/>
  <c r="H80" i="6"/>
  <c r="H81" i="6"/>
  <c r="H74" i="6"/>
  <c r="H75" i="6"/>
  <c r="F134" i="6"/>
  <c r="G399" i="6"/>
  <c r="G332" i="6"/>
  <c r="G264" i="6"/>
  <c r="G199" i="6"/>
  <c r="H193" i="6"/>
  <c r="H194" i="6"/>
  <c r="H187" i="6"/>
  <c r="H188" i="6"/>
  <c r="H181" i="6"/>
  <c r="H182" i="6"/>
  <c r="H175" i="6"/>
  <c r="H176" i="6"/>
  <c r="H169" i="6"/>
  <c r="H170" i="6"/>
  <c r="H163" i="6"/>
  <c r="H164" i="6"/>
  <c r="H157" i="6"/>
  <c r="H158" i="6"/>
  <c r="H151" i="6"/>
  <c r="H152" i="6"/>
  <c r="H146" i="6"/>
  <c r="H139" i="6"/>
  <c r="H140" i="6"/>
  <c r="F199" i="6"/>
  <c r="F429" i="6"/>
  <c r="F428" i="6"/>
  <c r="F423" i="6"/>
  <c r="F422" i="6"/>
  <c r="F417" i="6"/>
  <c r="F416" i="6"/>
  <c r="F411" i="6"/>
  <c r="F410" i="6"/>
  <c r="F405" i="6"/>
  <c r="F404" i="6"/>
  <c r="F400" i="6"/>
  <c r="F394" i="6"/>
  <c r="F393" i="6"/>
  <c r="F388" i="6"/>
  <c r="F387" i="6"/>
  <c r="F382" i="6"/>
  <c r="F381" i="6"/>
  <c r="F376" i="6"/>
  <c r="F375" i="6"/>
  <c r="F370" i="6"/>
  <c r="F369" i="6"/>
  <c r="F364" i="6"/>
  <c r="F363" i="6"/>
  <c r="F358" i="6"/>
  <c r="F357" i="6"/>
  <c r="F352" i="6"/>
  <c r="F351" i="6"/>
  <c r="F346" i="6"/>
  <c r="F345" i="6"/>
  <c r="F340" i="6"/>
  <c r="F339" i="6"/>
  <c r="F333" i="6"/>
  <c r="F316" i="6"/>
  <c r="F315" i="6"/>
  <c r="F310" i="6"/>
  <c r="F309" i="6"/>
  <c r="F304" i="6"/>
  <c r="F303" i="6"/>
  <c r="F298" i="6"/>
  <c r="F297" i="6"/>
  <c r="F292" i="6"/>
  <c r="F291" i="6"/>
  <c r="F286" i="6"/>
  <c r="F285" i="6"/>
  <c r="F280" i="6"/>
  <c r="F279" i="6"/>
  <c r="F273" i="6"/>
  <c r="F272" i="6"/>
  <c r="F265" i="6"/>
  <c r="F259" i="6"/>
  <c r="F258" i="6"/>
  <c r="F253" i="6"/>
  <c r="F252" i="6"/>
  <c r="F247" i="6"/>
  <c r="F246" i="6"/>
  <c r="F241" i="6"/>
  <c r="F240" i="6"/>
  <c r="F235" i="6"/>
  <c r="F234" i="6"/>
  <c r="F229" i="6"/>
  <c r="F228" i="6"/>
  <c r="F223" i="6"/>
  <c r="F222" i="6"/>
  <c r="F217" i="6"/>
  <c r="F216" i="6"/>
  <c r="F211" i="6"/>
  <c r="F210" i="6"/>
  <c r="F205" i="6"/>
  <c r="F204" i="6"/>
  <c r="F200" i="6"/>
  <c r="F194" i="6"/>
  <c r="F193" i="6"/>
  <c r="F188" i="6"/>
  <c r="F187" i="6"/>
  <c r="F182" i="6"/>
  <c r="F181" i="6"/>
  <c r="F176" i="6"/>
  <c r="F175" i="6"/>
  <c r="F170" i="6"/>
  <c r="F169" i="6"/>
  <c r="F164" i="6"/>
  <c r="F163" i="6"/>
  <c r="F158" i="6"/>
  <c r="F157" i="6"/>
  <c r="F152" i="6"/>
  <c r="F151" i="6"/>
  <c r="F146" i="6"/>
  <c r="F145" i="6"/>
  <c r="F140" i="6"/>
  <c r="F139" i="6"/>
  <c r="F135" i="6"/>
  <c r="F129" i="6"/>
  <c r="F128" i="6"/>
  <c r="F123" i="6"/>
  <c r="F122" i="6"/>
  <c r="F117" i="6"/>
  <c r="F116" i="6"/>
  <c r="F111" i="6"/>
  <c r="F110" i="6"/>
  <c r="F105" i="6"/>
  <c r="F104" i="6"/>
  <c r="F99" i="6"/>
  <c r="F98" i="6"/>
  <c r="F93" i="6"/>
  <c r="F92" i="6"/>
  <c r="F87" i="6"/>
  <c r="F86" i="6"/>
  <c r="F81" i="6"/>
  <c r="F80" i="6"/>
  <c r="F75" i="6"/>
  <c r="F74" i="6"/>
  <c r="F64" i="6"/>
  <c r="F63" i="6"/>
  <c r="F58" i="6"/>
  <c r="F57" i="6"/>
  <c r="F52" i="6"/>
  <c r="F51" i="6"/>
  <c r="F46" i="6"/>
  <c r="F45" i="6"/>
  <c r="F40" i="6"/>
  <c r="F39" i="6"/>
  <c r="F34" i="6"/>
  <c r="F33" i="6"/>
  <c r="F28" i="6"/>
  <c r="F27" i="6"/>
  <c r="F22" i="6"/>
  <c r="F21" i="6"/>
  <c r="F16" i="6"/>
  <c r="F15" i="6"/>
  <c r="F10" i="6"/>
  <c r="F500" i="6"/>
  <c r="F499" i="6"/>
  <c r="F512" i="6"/>
  <c r="F511" i="6"/>
  <c r="F506" i="6"/>
  <c r="F505" i="6"/>
  <c r="F494" i="6"/>
  <c r="F493" i="6"/>
  <c r="F488" i="6"/>
  <c r="F487" i="6"/>
  <c r="F482" i="6"/>
  <c r="F481" i="6"/>
  <c r="F476" i="6"/>
  <c r="F475" i="6"/>
  <c r="F470" i="6"/>
  <c r="F469" i="6"/>
</calcChain>
</file>

<file path=xl/sharedStrings.xml><?xml version="1.0" encoding="utf-8"?>
<sst xmlns="http://schemas.openxmlformats.org/spreadsheetml/2006/main" count="1543" uniqueCount="539">
  <si>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</si>
  <si>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</si>
  <si>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</si>
  <si>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</si>
  <si>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</si>
  <si>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</si>
  <si>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</si>
  <si>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</si>
  <si>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</si>
  <si>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</si>
  <si>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</si>
  <si>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</si>
  <si>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</si>
  <si>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</si>
  <si>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</si>
  <si>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</si>
  <si>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LM</t>
  </si>
  <si>
    <t>TEMA 8</t>
  </si>
  <si>
    <t>SRI</t>
  </si>
  <si>
    <t>1 .- ¿Cuál de los siguientes niveles NO forma parte de la arquitectura TCP/IP?</t>
  </si>
  <si>
    <t>Transporte</t>
  </si>
  <si>
    <t>Aplicación</t>
  </si>
  <si>
    <t>Presentacion</t>
  </si>
  <si>
    <t>Internet</t>
  </si>
  <si>
    <t>2 .-Indica que Direccion Ip no es valida para un host</t>
  </si>
  <si>
    <t>192.168.0.1/16</t>
  </si>
  <si>
    <t>21.255.254.255/24</t>
  </si>
  <si>
    <t>145.34.1.0/16</t>
  </si>
  <si>
    <t>10.0.0.255/8</t>
  </si>
  <si>
    <t>3 .-Indicar que direccion IP no es privada:</t>
  </si>
  <si>
    <t>10.10.10.1/8</t>
  </si>
  <si>
    <t>172.26.3.1/16</t>
  </si>
  <si>
    <t>172.168.4.1/16</t>
  </si>
  <si>
    <t>192.168.0.3/24</t>
  </si>
  <si>
    <t>4 .-¿Cuál de las siguientes afirmaciones es verdadera?</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</si>
  <si>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</si>
  <si>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</si>
  <si>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</si>
  <si>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</si>
  <si>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5 .-¿Cuál de las siguientes afirmaciones es verdadera?</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</si>
  <si>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</si>
  <si>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</si>
  <si>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</si>
  <si>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</si>
  <si>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6 .-¿Qué afirmación es falsa?</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</si>
  <si>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</si>
  <si>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</si>
  <si>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</si>
  <si>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</si>
  <si>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7 .-En el modelo cliente-servidor</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</si>
  <si>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</si>
  <si>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</si>
  <si>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</si>
  <si>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</si>
  <si>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8 .-Sobre protocolos de red en los servicios podemos afirmar que:</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</si>
  <si>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</si>
  <si>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</si>
  <si>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</si>
  <si>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</si>
  <si>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9 .-¿Qué función desempeña la puerta de enlace de una red?</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</si>
  <si>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</si>
  <si>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</si>
  <si>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</si>
  <si>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</si>
  <si>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10 .-Si un equipo con IP 10.0.30.2 quiere conectarse a www.google.es (216.58.211.227)</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</si>
  <si>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</si>
  <si>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</si>
  <si>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</si>
  <si>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</si>
  <si>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</si>
  <si>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</si>
  <si>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</si>
  <si>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</si>
  <si>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</si>
  <si>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</si>
  <si>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</si>
  <si>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¿Cuál de los siguientes problemas no se solventa con DHCP?</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</si>
  <si>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</si>
  <si>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</si>
  <si>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</si>
  <si>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</si>
  <si>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</si>
  <si>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</si>
  <si>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</si>
  <si>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</si>
  <si>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</si>
  <si>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</si>
  <si>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</si>
  <si>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¿Cuál NO es un servidor DHCP?</t>
  </si>
  <si>
    <t>Dhcp3</t>
  </si>
  <si>
    <t>Servidor DHCP de Windows 2012</t>
  </si>
  <si>
    <t>Servidor DHCP integrado en un router</t>
  </si>
  <si>
    <t>Agent Rely</t>
  </si>
  <si>
    <t>5 .-</t>
  </si>
  <si>
    <t>¿Qué afirmación no es cierta referente a los parámetros que puede configurar DHCP?</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</si>
  <si>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</si>
  <si>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</si>
  <si>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</si>
  <si>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</si>
  <si>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</si>
  <si>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</si>
  <si>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</si>
  <si>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</si>
  <si>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</si>
  <si>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</si>
  <si>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</si>
  <si>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</si>
  <si>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</si>
  <si>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</si>
  <si>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</si>
  <si>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</si>
  <si>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</si>
  <si>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</si>
  <si>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</si>
  <si>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¿Cuál de las siguientes situaciones no es válida a la hora de renovar la dirección IP?</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</si>
  <si>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</si>
  <si>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</si>
  <si>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</si>
  <si>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</si>
  <si>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</si>
  <si>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</si>
  <si>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</si>
  <si>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</si>
  <si>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</si>
  <si>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</si>
  <si>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</si>
  <si>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</si>
  <si>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</si>
  <si>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</si>
  <si>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</si>
  <si>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</si>
  <si>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</si>
  <si>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</si>
  <si>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</si>
  <si>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</si>
  <si>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</si>
  <si>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</si>
  <si>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</si>
  <si>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</si>
  <si>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</si>
  <si>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</si>
  <si>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</si>
  <si>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</si>
  <si>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</si>
  <si>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</si>
  <si>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</si>
  <si>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</si>
  <si>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</si>
  <si>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</si>
  <si>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</si>
  <si>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</si>
  <si>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</si>
  <si>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</si>
  <si>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</si>
  <si>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</si>
  <si>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</si>
  <si>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</si>
  <si>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</si>
  <si>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</si>
  <si>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</si>
  <si>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</si>
  <si>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</si>
  <si>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</si>
  <si>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</si>
  <si>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</si>
  <si>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</si>
  <si>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</si>
  <si>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</si>
  <si>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</si>
  <si>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</si>
  <si>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</si>
  <si>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</si>
  <si>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</si>
  <si>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 xml:space="preserve">
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</si>
  <si>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</si>
  <si>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</si>
  <si>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</si>
  <si>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</si>
  <si>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</si>
  <si>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</si>
  <si>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</si>
  <si>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</si>
  <si>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Si tu ciente FTP está en una red en la que se realiza NATP para salir a Internet lo normal es que utilices…</t>
  </si>
  <si>
    <t>Conexiones en modo activo</t>
  </si>
  <si>
    <t>Conexiones anónimas</t>
  </si>
  <si>
    <t>Conexiones en modo pasivo</t>
  </si>
  <si>
    <t>No me puedo conectar si utilizo NATP</t>
  </si>
  <si>
    <t>Indica qué respuesta NO es correcta respecto a la seguridad en FTP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</si>
  <si>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</si>
  <si>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</si>
  <si>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</si>
  <si>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</si>
  <si>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</si>
  <si>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</si>
  <si>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</si>
  <si>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</si>
  <si>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</si>
  <si>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</si>
  <si>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</si>
  <si>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</si>
  <si>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</si>
  <si>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</si>
  <si>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</si>
  <si>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</si>
  <si>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</si>
  <si>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</si>
  <si>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</si>
  <si>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</si>
  <si>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</si>
  <si>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</si>
  <si>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</si>
  <si>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</si>
  <si>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</si>
  <si>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</si>
  <si>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</si>
  <si>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</si>
  <si>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</si>
  <si>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¿Qué es falso sobre los tipos de acceso a un servidor FTP?</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</si>
  <si>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</si>
  <si>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</si>
  <si>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</si>
  <si>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</si>
  <si>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</si>
  <si>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</si>
  <si>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</si>
  <si>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</si>
  <si>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</si>
  <si>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</si>
  <si>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 xml:space="preserve">Suponiendo que estás conectado con un cliente FTP en modo comandos a un servidor FTP, para listar los ficheros del directorio actual dek servidor y posteriormente descargar un fichero, ejecutarías los comandos...
</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</si>
  <si>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</si>
  <si>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</si>
  <si>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</si>
  <si>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</si>
  <si>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</si>
  <si>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</si>
  <si>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</si>
  <si>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</si>
  <si>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</si>
  <si>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</si>
  <si>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</si>
  <si>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</si>
  <si>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</si>
  <si>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</si>
  <si>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</si>
  <si>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</si>
  <si>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</si>
  <si>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</si>
  <si>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</si>
  <si>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</si>
  <si>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</si>
  <si>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</si>
  <si>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</si>
  <si>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</si>
  <si>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</si>
  <si>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 xml:space="preserve">Sobre cookies ¿Qué afirmación es falsa?
</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</si>
  <si>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</si>
  <si>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</si>
  <si>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</si>
  <si>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</si>
  <si>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</si>
  <si>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</si>
  <si>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</si>
  <si>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</si>
  <si>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</si>
  <si>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</si>
  <si>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</si>
  <si>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</si>
  <si>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</si>
  <si>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</si>
  <si>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En la URI http://www.asir.net:8080/admin/buscar.php?id=4&amp;theme=Maths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</si>
  <si>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</si>
  <si>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</si>
  <si>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</si>
  <si>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</si>
  <si>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</si>
  <si>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</si>
  <si>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</si>
  <si>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</si>
  <si>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</si>
  <si>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</si>
  <si>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 xml:space="preserve">¿Qué afirmación NO es cierta?
</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</si>
  <si>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</si>
  <si>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</si>
  <si>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</si>
  <si>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</si>
  <si>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</si>
  <si>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Indica cuál de las siguientes NO es una ventaja del correo electrónico </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</si>
  <si>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</si>
  <si>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</si>
  <si>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</si>
  <si>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</si>
  <si>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</si>
  <si>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</si>
  <si>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</si>
  <si>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</si>
  <si>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</si>
  <si>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</si>
  <si>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</si>
  <si>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</si>
  <si>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</si>
  <si>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</si>
  <si>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</si>
  <si>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</si>
  <si>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</si>
  <si>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</si>
  <si>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</si>
  <si>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</si>
  <si>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</si>
  <si>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</si>
  <si>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</si>
  <si>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</si>
  <si>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</si>
  <si>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</si>
  <si>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</si>
  <si>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</si>
  <si>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</si>
  <si>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</si>
  <si>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</si>
  <si>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</si>
  <si>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</si>
  <si>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</si>
  <si>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</si>
  <si>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</si>
  <si>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</si>
  <si>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</si>
  <si>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</si>
  <si>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</si>
  <si>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</si>
  <si>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</si>
  <si>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</si>
  <si>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</si>
  <si>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</si>
  <si>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</si>
  <si>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</si>
  <si>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</si>
  <si>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</si>
  <si>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</si>
  <si>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</si>
  <si>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</si>
  <si>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</si>
  <si>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</si>
  <si>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</si>
  <si>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</si>
  <si>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</si>
  <si>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</si>
  <si>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</si>
  <si>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</si>
  <si>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</si>
  <si>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</si>
  <si>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</si>
  <si>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</si>
  <si>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</si>
  <si>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</si>
  <si>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</si>
  <si>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</si>
  <si>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</si>
  <si>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</si>
  <si>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</si>
  <si>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</si>
  <si>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</si>
  <si>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</si>
  <si>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</si>
  <si>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</si>
  <si>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</si>
  <si>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</si>
  <si>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</si>
  <si>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</si>
  <si>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</si>
  <si>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 xml:space="preserve">¿Cuál de las siguientes funciones de un servidor de IM NO es opcional?
</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</si>
  <si>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</si>
  <si>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</si>
  <si>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</si>
  <si>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</si>
  <si>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</si>
  <si>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</si>
  <si>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</si>
  <si>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</si>
  <si>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</si>
  <si>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</si>
  <si>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</si>
  <si>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</si>
  <si>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</si>
  <si>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</si>
  <si>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</si>
  <si>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</si>
  <si>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</si>
  <si>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</si>
  <si>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</si>
  <si>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</si>
  <si>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</si>
  <si>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</si>
  <si>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</si>
  <si>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</si>
  <si>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</si>
  <si>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</si>
  <si>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</si>
  <si>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</si>
  <si>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</si>
  <si>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</si>
  <si>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</si>
  <si>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</si>
  <si>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</si>
  <si>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</si>
  <si>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</si>
  <si>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</si>
  <si>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</si>
  <si>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</si>
  <si>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</si>
  <si>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</si>
  <si>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</si>
  <si>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</si>
  <si>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</si>
  <si>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</si>
  <si>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</si>
  <si>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</si>
  <si>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</si>
  <si>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</si>
  <si>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</si>
  <si>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</si>
  <si>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</si>
  <si>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60MB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</si>
  <si>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</si>
  <si>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</si>
  <si>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</si>
  <si>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</si>
  <si>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</si>
  <si>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</si>
  <si>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</si>
  <si>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</si>
  <si>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</si>
  <si>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</si>
  <si>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</si>
  <si>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</si>
  <si>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</si>
  <si>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</si>
  <si>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</si>
  <si>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</si>
  <si>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</si>
  <si>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</si>
  <si>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</si>
  <si>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</si>
  <si>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</si>
  <si>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</si>
  <si>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</si>
  <si>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</si>
  <si>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</si>
  <si>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</si>
  <si>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</si>
  <si>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</si>
  <si>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</si>
  <si>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</si>
  <si>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</si>
  <si>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</si>
  <si>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¿Qué dirección IP de las que siguen podría salir a Internet sin NAT?</t>
  </si>
  <si>
    <t>10.100.1.1</t>
  </si>
  <si>
    <t>169.254.30.1</t>
  </si>
  <si>
    <t>172.35.1.8</t>
  </si>
  <si>
    <t>¿Cuál de las siguientes opciones NO es válida para montar un servidor DHCP centralizado a varias subredes?</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</si>
  <si>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</si>
  <si>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</si>
  <si>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</si>
  <si>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</si>
  <si>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</si>
  <si>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</si>
  <si>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</si>
  <si>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</si>
  <si>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</si>
  <si>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</si>
  <si>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</si>
  <si>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</si>
  <si>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</si>
  <si>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</si>
  <si>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</si>
  <si>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</si>
  <si>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</si>
  <si>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</si>
  <si>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</si>
  <si>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</si>
  <si>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</si>
  <si>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</si>
  <si>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</si>
  <si>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</si>
  <si>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</si>
  <si>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</si>
  <si>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</si>
  <si>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</si>
  <si>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</si>
  <si>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</si>
  <si>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</si>
  <si>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</si>
  <si>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</si>
  <si>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</si>
  <si>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</si>
  <si>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</si>
  <si>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</si>
  <si>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</si>
  <si>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</si>
  <si>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</si>
  <si>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</si>
  <si>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</si>
  <si>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</si>
  <si>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</si>
  <si>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</si>
  <si>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 xml:space="preserve">¿Cuál de los siguientes NO es un componente WEB?
</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</si>
  <si>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</si>
  <si>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</si>
  <si>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</si>
  <si>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</si>
  <si>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</si>
  <si>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</si>
  <si>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</si>
  <si>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</si>
  <si>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</si>
  <si>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</si>
  <si>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</si>
  <si>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</si>
  <si>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</si>
  <si>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</si>
  <si>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</si>
  <si>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</si>
  <si>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</si>
  <si>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</si>
  <si>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 xml:space="preserve">Si necesitamos montar rápidamente un sistema en el que los equipos de interconexión -que no pueden autenticarse por sí mismos- (routers, switch…) se autoconfiguren a partir de un fichero remoto, el mejor sistema a montar sería…
</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</si>
  <si>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</si>
  <si>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</si>
  <si>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</si>
  <si>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</si>
  <si>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</si>
  <si>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</si>
  <si>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</si>
  <si>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</si>
  <si>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</si>
  <si>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</si>
  <si>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</si>
  <si>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x</t>
  </si>
  <si>
    <t>comprobar</t>
  </si>
  <si>
    <t>Modo pasivo</t>
  </si>
  <si>
    <t>Modo activo</t>
  </si>
  <si>
    <t>FTPS, es decir FTP sobre SSL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</si>
</sst>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2">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0" borderId="12" xfId="0" applyFill="1" applyBorder="1" applyAlignment="1" applyProtection="1">
      <alignment horizontal="center" vertical="center"/>
      <protection locked="0"/>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0" borderId="0"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10" xfId="0" applyFont="1" applyFill="1" applyBorder="1" applyProtection="1">
      <protection hidden="1"/>
    </xf>
    <xf numFmtId="0" fontId="18" fillId="0" borderId="11" xfId="0" applyFont="1" applyBorder="1" applyProtection="1">
      <protection hidden="1"/>
    </xf>
    <xf numFmtId="0" fontId="18" fillId="0" borderId="11" xfId="0" applyFont="1" applyFill="1" applyBorder="1" applyProtection="1">
      <protection hidden="1"/>
    </xf>
    <xf numFmtId="0" fontId="18" fillId="0" borderId="11" xfId="0" applyFont="1" applyFill="1" applyBorder="1" applyAlignment="1" applyProtection="1">
      <alignment vertical="center" wrapText="1"/>
      <protection hidden="1"/>
    </xf>
    <xf numFmtId="0" fontId="18" fillId="0" borderId="4" xfId="0" applyFont="1" applyFill="1" applyBorder="1" applyAlignment="1" applyProtection="1">
      <alignment horizontal="left" vertical="center"/>
      <protection hidden="1"/>
    </xf>
    <xf numFmtId="0" fontId="18" fillId="0" borderId="0" xfId="0" applyFont="1" applyFill="1" applyBorder="1" applyProtection="1">
      <protection hidden="1"/>
    </xf>
    <xf numFmtId="0" fontId="0" fillId="0" borderId="11" xfId="0" applyFont="1" applyFill="1" applyBorder="1" applyAlignment="1" applyProtection="1">
      <alignment vertical="center" wrapText="1"/>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18" fillId="0" borderId="11" xfId="0" applyFont="1" applyFill="1" applyBorder="1" applyAlignment="1" applyProtection="1">
      <alignment horizontal="left" wrapText="1"/>
      <protection hidden="1"/>
    </xf>
    <xf numFmtId="0" fontId="13" fillId="4" borderId="0" xfId="0" applyFont="1" applyFill="1" applyBorder="1" applyAlignment="1" applyProtection="1">
      <alignment horizontal="left"/>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A1:AN661"/>
  <sheetViews>
    <sheetView showGridLines="0" tabSelected="1" zoomScale="70" zoomScaleNormal="70" zoomScalePageLayoutView="115" workbookViewId="0">
      <pane xSplit="1" ySplit="5" topLeftCell="B637" activePane="bottomRight" state="frozen"/>
      <selection pane="topRight" activeCell="B1" sqref="B1"/>
      <selection pane="bottomLeft" activeCell="A6" sqref="A6"/>
      <selection pane="bottomRight" activeCell="C656" sqref="C656"/>
    </sheetView>
  </sheetViews>
  <sheetFormatPr baseColWidth="10" defaultColWidth="11" defaultRowHeight="15.75" x14ac:dyDescent="0.25"/>
  <cols>
    <col min="1" max="1" width="2.5" style="4" customWidth="1"/>
    <col min="2" max="2" width="4.875" style="36" customWidth="1"/>
    <col min="3" max="3" width="158.125" style="7" customWidth="1"/>
    <col min="4" max="4" width="5" style="37" customWidth="1"/>
    <col min="5" max="5" width="5.875" style="37" customWidth="1"/>
    <col min="6" max="6" width="15" style="38" bestFit="1" customWidth="1"/>
    <col min="7" max="7" width="10.375" style="5" bestFit="1" customWidth="1"/>
    <col min="8" max="8" width="11.5" style="5" bestFit="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18</v>
      </c>
      <c r="C6" s="170" t="s">
        <v>0</v>
      </c>
      <c r="D6" s="170"/>
      <c r="E6" s="170"/>
      <c r="F6" s="171"/>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7" t="s">
        <v>19</v>
      </c>
      <c r="C7" s="89"/>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8" t="s">
        <v>15</v>
      </c>
      <c r="C8" s="149" t="s">
        <v>20</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8" t="s">
        <v>15</v>
      </c>
      <c r="C9" s="149" t="s">
        <v>21</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8" t="s">
        <v>15</v>
      </c>
      <c r="C10" s="149" t="s">
        <v>22</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8" t="s">
        <v>15</v>
      </c>
      <c r="C11" s="149" t="s">
        <v>23</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8"/>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7" t="s">
        <v>24</v>
      </c>
      <c r="C13" s="89"/>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8" t="s">
        <v>15</v>
      </c>
      <c r="C14" s="149" t="s">
        <v>25</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8" t="s">
        <v>15</v>
      </c>
      <c r="C15" s="149" t="s">
        <v>26</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8" t="s">
        <v>15</v>
      </c>
      <c r="C16" s="149" t="s">
        <v>27</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8" t="s">
        <v>15</v>
      </c>
      <c r="C17" s="149" t="s">
        <v>28</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8"/>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7" t="s">
        <v>29</v>
      </c>
      <c r="C19" s="89"/>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8" t="s">
        <v>15</v>
      </c>
      <c r="C20" s="149" t="s">
        <v>30</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8" t="s">
        <v>15</v>
      </c>
      <c r="C21" s="149" t="s">
        <v>31</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8" t="s">
        <v>15</v>
      </c>
      <c r="C22" s="149" t="s">
        <v>32</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8" t="s">
        <v>15</v>
      </c>
      <c r="C23" s="149" t="s">
        <v>33</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8"/>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7" t="s">
        <v>34</v>
      </c>
      <c r="C25" s="89"/>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8" t="s">
        <v>15</v>
      </c>
      <c r="C26" s="149" t="s">
        <v>35</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8" t="s">
        <v>15</v>
      </c>
      <c r="C27" s="149" t="s">
        <v>36</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8" t="s">
        <v>15</v>
      </c>
      <c r="C28" s="149" t="s">
        <v>37</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8" t="s">
        <v>15</v>
      </c>
      <c r="C29" s="149" t="s">
        <v>38</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8"/>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7" t="s">
        <v>39</v>
      </c>
      <c r="C31" s="89"/>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8" t="s">
        <v>15</v>
      </c>
      <c r="C32" s="149" t="s">
        <v>40</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8" t="s">
        <v>15</v>
      </c>
      <c r="C33" s="149" t="s">
        <v>41</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8" t="s">
        <v>15</v>
      </c>
      <c r="C34" s="149" t="s">
        <v>43</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8" t="s">
        <v>15</v>
      </c>
      <c r="C35" s="149" t="s">
        <v>42</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8"/>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7" t="s">
        <v>44</v>
      </c>
      <c r="C37" s="89"/>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8" t="s">
        <v>15</v>
      </c>
      <c r="C38" s="149" t="s">
        <v>45</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8" t="s">
        <v>15</v>
      </c>
      <c r="C39" s="149" t="s">
        <v>46</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8" t="s">
        <v>15</v>
      </c>
      <c r="C40" s="149" t="s">
        <v>47</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8" t="s">
        <v>15</v>
      </c>
      <c r="C41" s="149" t="s">
        <v>48</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8"/>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7" t="s">
        <v>49</v>
      </c>
      <c r="C43" s="89"/>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8" t="s">
        <v>15</v>
      </c>
      <c r="C44" s="149" t="s">
        <v>50</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8" t="s">
        <v>15</v>
      </c>
      <c r="C45" s="149" t="s">
        <v>51</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8" t="s">
        <v>15</v>
      </c>
      <c r="C46" s="149" t="s">
        <v>52</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8" t="s">
        <v>15</v>
      </c>
      <c r="C47" s="149" t="s">
        <v>53</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8"/>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7" t="s">
        <v>54</v>
      </c>
      <c r="C49" s="89"/>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8" t="s">
        <v>15</v>
      </c>
      <c r="C50" s="149" t="s">
        <v>55</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8" t="s">
        <v>15</v>
      </c>
      <c r="C51" s="149" t="s">
        <v>56</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8" t="s">
        <v>15</v>
      </c>
      <c r="C52" s="149" t="s">
        <v>57</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8" t="s">
        <v>15</v>
      </c>
      <c r="C53" s="149" t="s">
        <v>58</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8"/>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7" t="s">
        <v>59</v>
      </c>
      <c r="C55" s="89"/>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8" t="s">
        <v>15</v>
      </c>
      <c r="C56" s="149" t="s">
        <v>60</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8" t="s">
        <v>15</v>
      </c>
      <c r="C57" s="149" t="s">
        <v>61</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8" t="s">
        <v>15</v>
      </c>
      <c r="C58" s="149" t="s">
        <v>62</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8" t="s">
        <v>15</v>
      </c>
      <c r="C59" s="149" t="s">
        <v>63</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8"/>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7" t="s">
        <v>64</v>
      </c>
      <c r="C61" s="89"/>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8" t="s">
        <v>15</v>
      </c>
      <c r="C62" s="149" t="s">
        <v>65</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8" t="s">
        <v>15</v>
      </c>
      <c r="C63" s="149" t="s">
        <v>66</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8" t="s">
        <v>15</v>
      </c>
      <c r="C64" s="149" t="s">
        <v>67</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8" t="s">
        <v>15</v>
      </c>
      <c r="C65" s="149" t="s">
        <v>68</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8"/>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90"/>
      <c r="D69" s="169"/>
      <c r="E69" s="169"/>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18</v>
      </c>
      <c r="C71" s="170" t="s">
        <v>129</v>
      </c>
      <c r="D71" s="170"/>
      <c r="E71" s="170"/>
      <c r="F71" s="171"/>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7" t="s">
        <v>75</v>
      </c>
      <c r="C72" s="89" t="s">
        <v>76</v>
      </c>
      <c r="D72" s="40"/>
      <c r="E72" s="53"/>
      <c r="F72" s="28"/>
      <c r="G72" s="14"/>
      <c r="H72" s="14"/>
    </row>
    <row r="73" spans="1:40" x14ac:dyDescent="0.25">
      <c r="B73" s="88" t="s">
        <v>15</v>
      </c>
      <c r="C73" s="149" t="s">
        <v>69</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8" t="s">
        <v>15</v>
      </c>
      <c r="C74" s="149" t="s">
        <v>70</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8" t="s">
        <v>15</v>
      </c>
      <c r="C75" s="149" t="s">
        <v>71</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8" t="s">
        <v>15</v>
      </c>
      <c r="C76" s="149" t="s">
        <v>72</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7" t="s">
        <v>73</v>
      </c>
      <c r="C78" s="89" t="s">
        <v>74</v>
      </c>
      <c r="D78" s="40"/>
      <c r="E78" s="53"/>
      <c r="F78" s="28"/>
      <c r="G78" s="14"/>
      <c r="H78" s="14"/>
    </row>
    <row r="79" spans="1:40" x14ac:dyDescent="0.25">
      <c r="B79" s="88" t="s">
        <v>15</v>
      </c>
      <c r="C79" t="s">
        <v>77</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8" t="s">
        <v>15</v>
      </c>
      <c r="C80" s="92" t="s">
        <v>78</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8" t="s">
        <v>15</v>
      </c>
      <c r="C81" s="92" t="s">
        <v>79</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8" t="s">
        <v>15</v>
      </c>
      <c r="C82" s="92" t="s">
        <v>80</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47"/>
      <c r="B84" s="87" t="s">
        <v>81</v>
      </c>
      <c r="C84" s="89" t="s">
        <v>82</v>
      </c>
      <c r="D84" s="59"/>
      <c r="E84" s="57"/>
      <c r="F84" s="51"/>
      <c r="G84" s="48"/>
      <c r="H84" s="48"/>
    </row>
    <row r="85" spans="1:40" x14ac:dyDescent="0.25">
      <c r="B85" s="88" t="s">
        <v>15</v>
      </c>
      <c r="C85" s="92" t="s">
        <v>83</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8" t="s">
        <v>15</v>
      </c>
      <c r="C86" s="92" t="s">
        <v>84</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8" t="s">
        <v>15</v>
      </c>
      <c r="C87" s="92" t="s">
        <v>85</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8" t="s">
        <v>15</v>
      </c>
      <c r="C88" s="92" t="s">
        <v>86</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7" t="s">
        <v>87</v>
      </c>
      <c r="C90" s="89" t="s">
        <v>88</v>
      </c>
      <c r="D90" s="40"/>
      <c r="E90" s="53"/>
      <c r="F90" s="28"/>
      <c r="G90" s="14"/>
      <c r="H90" s="14"/>
    </row>
    <row r="91" spans="1:40" x14ac:dyDescent="0.25">
      <c r="B91" s="88" t="s">
        <v>15</v>
      </c>
      <c r="C91" s="92" t="s">
        <v>89</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8" t="s">
        <v>15</v>
      </c>
      <c r="C92" s="92" t="s">
        <v>90</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8" t="s">
        <v>15</v>
      </c>
      <c r="C93" s="92" t="s">
        <v>91</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8" t="s">
        <v>15</v>
      </c>
      <c r="C94" s="92" t="s">
        <v>92</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7" t="s">
        <v>93</v>
      </c>
      <c r="C96" s="89" t="s">
        <v>94</v>
      </c>
      <c r="D96" s="40"/>
      <c r="E96" s="53"/>
      <c r="F96" s="28"/>
      <c r="G96" s="14"/>
      <c r="H96" s="14"/>
    </row>
    <row r="97" spans="1:40" x14ac:dyDescent="0.25">
      <c r="B97" s="88" t="s">
        <v>15</v>
      </c>
      <c r="C97" s="64" t="s">
        <v>95</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8" t="s">
        <v>15</v>
      </c>
      <c r="C98" s="64" t="s">
        <v>96</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8" t="s">
        <v>15</v>
      </c>
      <c r="C99" s="92" t="s">
        <v>97</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8" t="s">
        <v>15</v>
      </c>
      <c r="C100" s="92" t="s">
        <v>98</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7" t="s">
        <v>99</v>
      </c>
      <c r="C102" s="89" t="s">
        <v>100</v>
      </c>
      <c r="D102" s="40"/>
      <c r="E102" s="53"/>
      <c r="F102" s="28"/>
      <c r="G102" s="14"/>
      <c r="H102" s="14"/>
    </row>
    <row r="103" spans="1:40" x14ac:dyDescent="0.25">
      <c r="B103" s="88" t="s">
        <v>15</v>
      </c>
      <c r="C103" s="64" t="s">
        <v>101</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8" t="s">
        <v>15</v>
      </c>
      <c r="C104" s="64" t="s">
        <v>102</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8" t="s">
        <v>15</v>
      </c>
      <c r="C105" s="64" t="s">
        <v>103</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8" t="s">
        <v>15</v>
      </c>
      <c r="C106" s="64" t="s">
        <v>104</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7" t="s">
        <v>105</v>
      </c>
      <c r="C108" s="89" t="s">
        <v>109</v>
      </c>
      <c r="D108" s="40"/>
      <c r="E108" s="53"/>
      <c r="F108" s="28"/>
      <c r="G108" s="14"/>
      <c r="H108" s="14"/>
    </row>
    <row r="109" spans="1:40" x14ac:dyDescent="0.25">
      <c r="B109" s="88" t="s">
        <v>15</v>
      </c>
      <c r="C109" s="92" t="s">
        <v>110</v>
      </c>
      <c r="D109" s="73"/>
      <c r="E109" s="1"/>
      <c r="F109" s="26"/>
      <c r="G109" s="18"/>
      <c r="H109" s="20" t="b">
        <f>IF(D111="x",H$2,H$1)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8" t="s">
        <v>15</v>
      </c>
      <c r="C110" s="92" t="s">
        <v>111</v>
      </c>
      <c r="D110" s="39"/>
      <c r="E110" s="54" t="s">
        <v>9</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8" t="s">
        <v>15</v>
      </c>
      <c r="C111" s="92" t="s">
        <v>112</v>
      </c>
      <c r="D111" s="39"/>
      <c r="E111" s="54" t="s">
        <v>10</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8" t="s">
        <v>15</v>
      </c>
      <c r="C112" s="92" t="s">
        <v>113</v>
      </c>
      <c r="D112" s="39"/>
      <c r="E112" s="54" t="s">
        <v>11</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5"/>
      <c r="D113" s="39"/>
      <c r="E113" s="54" t="s">
        <v>12</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7" t="s">
        <v>106</v>
      </c>
      <c r="C114" s="89" t="s">
        <v>114</v>
      </c>
      <c r="D114" s="40"/>
      <c r="E114" s="53"/>
      <c r="F114" s="28"/>
      <c r="G114" s="14"/>
      <c r="H114" s="14"/>
    </row>
    <row r="115" spans="1:40" x14ac:dyDescent="0.25">
      <c r="B115" s="88" t="s">
        <v>15</v>
      </c>
      <c r="C115" s="64" t="s">
        <v>115</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8" t="s">
        <v>15</v>
      </c>
      <c r="C116" s="92" t="s">
        <v>116</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8" t="s">
        <v>15</v>
      </c>
      <c r="C117" s="92" t="s">
        <v>117</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8" t="s">
        <v>15</v>
      </c>
      <c r="C118" s="92" t="s">
        <v>118</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7" t="s">
        <v>107</v>
      </c>
      <c r="C120" s="89" t="s">
        <v>100</v>
      </c>
      <c r="D120" s="40"/>
      <c r="E120" s="53"/>
      <c r="F120" s="28"/>
      <c r="G120" s="14"/>
      <c r="H120" s="14"/>
    </row>
    <row r="121" spans="1:40" x14ac:dyDescent="0.25">
      <c r="B121" s="88" t="s">
        <v>15</v>
      </c>
      <c r="C121" s="64" t="s">
        <v>119</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8" t="s">
        <v>15</v>
      </c>
      <c r="C122" s="92" t="s">
        <v>120</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8" t="s">
        <v>15</v>
      </c>
      <c r="C123" s="92" t="s">
        <v>121</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8" t="s">
        <v>15</v>
      </c>
      <c r="C124" s="92" t="s">
        <v>122</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7" t="s">
        <v>108</v>
      </c>
      <c r="C126" s="89" t="s">
        <v>123</v>
      </c>
      <c r="D126" s="40"/>
      <c r="E126" s="53"/>
      <c r="F126" s="28"/>
      <c r="G126" s="27"/>
      <c r="H126" s="14"/>
    </row>
    <row r="127" spans="1:40" x14ac:dyDescent="0.25">
      <c r="B127" s="88" t="s">
        <v>15</v>
      </c>
      <c r="C127" s="64" t="s">
        <v>124</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8" t="s">
        <v>15</v>
      </c>
      <c r="C128" s="92" t="s">
        <v>125</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8" t="s">
        <v>15</v>
      </c>
      <c r="C129" s="92" t="s">
        <v>126</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8" t="s">
        <v>15</v>
      </c>
      <c r="C130" s="92" t="s">
        <v>127</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18</v>
      </c>
      <c r="C136" s="130" t="s">
        <v>128</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47"/>
      <c r="B137" s="87" t="s">
        <v>75</v>
      </c>
      <c r="C137" s="89" t="s">
        <v>130</v>
      </c>
      <c r="D137" s="74"/>
      <c r="E137" s="48"/>
      <c r="F137" s="75"/>
      <c r="G137" s="48"/>
      <c r="H137" s="48"/>
    </row>
    <row r="138" spans="1:40" x14ac:dyDescent="0.25">
      <c r="B138" s="88" t="s">
        <v>15</v>
      </c>
      <c r="C138" s="92" t="s">
        <v>131</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8" t="s">
        <v>15</v>
      </c>
      <c r="C139" s="92" t="s">
        <v>132</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8" t="s">
        <v>15</v>
      </c>
      <c r="C140" s="92" t="s">
        <v>133</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8" t="s">
        <v>15</v>
      </c>
      <c r="C141" s="92" t="s">
        <v>134</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2"/>
      <c r="C143" s="83"/>
      <c r="D143" s="49"/>
      <c r="E143" s="54"/>
      <c r="F143" s="26"/>
      <c r="G143" s="18"/>
      <c r="H143" s="18"/>
    </row>
    <row r="144" spans="1:40" x14ac:dyDescent="0.25">
      <c r="B144" s="87" t="s">
        <v>73</v>
      </c>
      <c r="C144" s="89" t="s">
        <v>135</v>
      </c>
      <c r="D144" s="73"/>
      <c r="E144" s="54"/>
      <c r="F144" s="26"/>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8" t="s">
        <v>15</v>
      </c>
      <c r="C145" s="92" t="s">
        <v>136</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8" t="s">
        <v>15</v>
      </c>
      <c r="C146" s="92" t="s">
        <v>137</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8" t="s">
        <v>15</v>
      </c>
      <c r="C147" s="92" t="s">
        <v>138</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8" t="s">
        <v>15</v>
      </c>
      <c r="C148" s="92" t="s">
        <v>139</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47"/>
      <c r="B149" s="87" t="s">
        <v>81</v>
      </c>
      <c r="C149" s="89" t="s">
        <v>140</v>
      </c>
      <c r="D149" s="81"/>
      <c r="E149" s="53"/>
      <c r="F149" s="28"/>
      <c r="G149" s="14"/>
      <c r="H149" s="14"/>
    </row>
    <row r="150" spans="1:40" x14ac:dyDescent="0.25">
      <c r="B150" s="88" t="s">
        <v>15</v>
      </c>
      <c r="C150" s="92" t="s">
        <v>141</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8" t="s">
        <v>15</v>
      </c>
      <c r="C151" s="151" t="s">
        <v>142</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8" t="s">
        <v>15</v>
      </c>
      <c r="C152" t="s">
        <v>143</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8" t="s">
        <v>15</v>
      </c>
      <c r="C153" s="92" t="s">
        <v>144</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7" t="s">
        <v>87</v>
      </c>
      <c r="C155" s="89" t="s">
        <v>145</v>
      </c>
      <c r="D155" s="81"/>
      <c r="E155" s="53"/>
      <c r="F155" s="28"/>
      <c r="G155" s="14"/>
      <c r="H155" s="14"/>
    </row>
    <row r="156" spans="1:40" ht="32.25" customHeight="1" x14ac:dyDescent="0.25">
      <c r="B156" s="88" t="s">
        <v>15</v>
      </c>
      <c r="C156" s="152" t="s">
        <v>146</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31.5" x14ac:dyDescent="0.25">
      <c r="B157" s="88" t="s">
        <v>15</v>
      </c>
      <c r="C157" s="151" t="s">
        <v>147</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1.5" x14ac:dyDescent="0.25">
      <c r="B158" s="88" t="s">
        <v>15</v>
      </c>
      <c r="C158" s="153" t="s">
        <v>148</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8" t="s">
        <v>15</v>
      </c>
      <c r="C159" s="92" t="s">
        <v>149</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8" t="s">
        <v>93</v>
      </c>
      <c r="C161" s="93" t="s">
        <v>150</v>
      </c>
      <c r="D161" s="81"/>
      <c r="E161" s="53"/>
      <c r="F161" s="28"/>
      <c r="G161" s="14"/>
      <c r="H161" s="14"/>
    </row>
    <row r="162" spans="1:40" x14ac:dyDescent="0.25">
      <c r="B162" s="88" t="s">
        <v>15</v>
      </c>
      <c r="C162" s="64" t="s">
        <v>151</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8" t="s">
        <v>15</v>
      </c>
      <c r="C163" s="92" t="s">
        <v>152</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8" t="s">
        <v>15</v>
      </c>
      <c r="C164" s="92" t="s">
        <v>153</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8" t="s">
        <v>15</v>
      </c>
      <c r="C165" s="92" t="s">
        <v>154</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8" t="s">
        <v>99</v>
      </c>
      <c r="C167" s="93" t="s">
        <v>155</v>
      </c>
      <c r="D167" s="81"/>
      <c r="E167" s="53"/>
      <c r="F167" s="28"/>
      <c r="G167" s="14"/>
      <c r="H167" s="14"/>
    </row>
    <row r="168" spans="1:40" x14ac:dyDescent="0.25">
      <c r="B168" s="88" t="s">
        <v>15</v>
      </c>
      <c r="C168" s="64" t="s">
        <v>156</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8" t="s">
        <v>15</v>
      </c>
      <c r="C169" s="92" t="s">
        <v>157</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8" t="s">
        <v>15</v>
      </c>
      <c r="C170" s="92" t="s">
        <v>158</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8" t="s">
        <v>15</v>
      </c>
      <c r="C171" s="92" t="s">
        <v>159</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8" t="s">
        <v>105</v>
      </c>
      <c r="C173" s="93" t="s">
        <v>160</v>
      </c>
      <c r="D173" s="81"/>
      <c r="E173" s="53"/>
      <c r="F173" s="28"/>
      <c r="G173" s="14"/>
      <c r="H173" s="14"/>
    </row>
    <row r="174" spans="1:40" s="35" customFormat="1" x14ac:dyDescent="0.25">
      <c r="A174" s="4"/>
      <c r="B174" s="88" t="s">
        <v>15</v>
      </c>
      <c r="C174" s="150" t="s">
        <v>161</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8" t="s">
        <v>15</v>
      </c>
      <c r="C175" s="92" t="s">
        <v>162</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8" t="s">
        <v>15</v>
      </c>
      <c r="C176" s="151" t="s">
        <v>163</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8" t="s">
        <v>15</v>
      </c>
      <c r="C177" s="92" t="s">
        <v>164</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8" t="s">
        <v>106</v>
      </c>
      <c r="C179" s="93" t="s">
        <v>165</v>
      </c>
      <c r="D179" s="40"/>
      <c r="E179" s="53"/>
      <c r="F179" s="28"/>
      <c r="G179" s="14"/>
      <c r="H179" s="14"/>
    </row>
    <row r="180" spans="1:40" x14ac:dyDescent="0.25">
      <c r="B180" s="88" t="s">
        <v>15</v>
      </c>
      <c r="C180" s="64" t="s">
        <v>166</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8" t="s">
        <v>15</v>
      </c>
      <c r="C181" s="92" t="s">
        <v>167</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8" t="s">
        <v>15</v>
      </c>
      <c r="C182" s="92" t="s">
        <v>168</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8" t="s">
        <v>15</v>
      </c>
      <c r="C183" s="92" t="s">
        <v>169</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8" t="s">
        <v>107</v>
      </c>
      <c r="C185" s="93" t="s">
        <v>170</v>
      </c>
      <c r="D185" s="40"/>
      <c r="E185" s="53"/>
      <c r="F185" s="28"/>
      <c r="G185" s="14"/>
      <c r="H185" s="14"/>
    </row>
    <row r="186" spans="1:40" x14ac:dyDescent="0.25">
      <c r="B186" s="88" t="s">
        <v>15</v>
      </c>
      <c r="C186" s="64" t="s">
        <v>171</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8" t="s">
        <v>15</v>
      </c>
      <c r="C187" s="151" t="s">
        <v>172</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78.75" x14ac:dyDescent="0.25">
      <c r="B188" s="88" t="s">
        <v>15</v>
      </c>
      <c r="C188" s="152" t="s">
        <v>173</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8" t="s">
        <v>15</v>
      </c>
      <c r="C189" s="92" t="s">
        <v>174</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8" t="s">
        <v>175</v>
      </c>
      <c r="C191" s="93" t="s">
        <v>176</v>
      </c>
      <c r="D191" s="40"/>
      <c r="E191" s="53"/>
      <c r="F191" s="28"/>
      <c r="G191" s="27"/>
      <c r="H191" s="14"/>
    </row>
    <row r="192" spans="1:40" x14ac:dyDescent="0.25">
      <c r="B192" s="88" t="s">
        <v>15</v>
      </c>
      <c r="C192" s="149" t="s">
        <v>177</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8" t="s">
        <v>15</v>
      </c>
      <c r="C193" s="92" t="s">
        <v>178</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8" t="s">
        <v>15</v>
      </c>
      <c r="C194" t="s">
        <v>179</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8" t="s">
        <v>15</v>
      </c>
      <c r="C195" s="92" t="s">
        <v>180</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18</v>
      </c>
      <c r="C201" s="130" t="s">
        <v>181</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8" t="s">
        <v>75</v>
      </c>
      <c r="C202" s="93" t="s">
        <v>182</v>
      </c>
      <c r="D202" s="40"/>
      <c r="E202" s="53"/>
      <c r="F202" s="28"/>
      <c r="G202" s="14"/>
      <c r="H202" s="14"/>
    </row>
    <row r="203" spans="1:40" x14ac:dyDescent="0.25">
      <c r="B203" s="88" t="s">
        <v>15</v>
      </c>
      <c r="C203" s="149" t="s">
        <v>183</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8" t="s">
        <v>15</v>
      </c>
      <c r="C204" s="92" t="s">
        <v>184</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8" t="s">
        <v>15</v>
      </c>
      <c r="C205" t="s">
        <v>185</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8" t="s">
        <v>15</v>
      </c>
      <c r="C206" s="92" t="s">
        <v>186</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8" t="s">
        <v>188</v>
      </c>
      <c r="C208" s="93" t="s">
        <v>187</v>
      </c>
      <c r="D208" s="40"/>
      <c r="E208" s="53"/>
      <c r="F208" s="28"/>
      <c r="G208" s="14"/>
      <c r="H208" s="14"/>
    </row>
    <row r="209" spans="1:40" x14ac:dyDescent="0.25">
      <c r="B209" s="88" t="s">
        <v>15</v>
      </c>
      <c r="C209" s="149" t="s">
        <v>189</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8" t="s">
        <v>15</v>
      </c>
      <c r="C210" s="92" t="s">
        <v>190</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8" t="s">
        <v>15</v>
      </c>
      <c r="C211" s="83" t="s">
        <v>191</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8" t="s">
        <v>15</v>
      </c>
      <c r="C212" s="92" t="s">
        <v>192</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8" t="s">
        <v>81</v>
      </c>
      <c r="C214" s="93" t="s">
        <v>193</v>
      </c>
      <c r="D214" s="40"/>
      <c r="E214" s="53"/>
      <c r="F214" s="28"/>
      <c r="G214" s="14"/>
      <c r="H214" s="14"/>
    </row>
    <row r="215" spans="1:40" x14ac:dyDescent="0.25">
      <c r="B215" s="88" t="s">
        <v>15</v>
      </c>
      <c r="C215" s="83" t="s">
        <v>194</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8" t="s">
        <v>15</v>
      </c>
      <c r="C216" s="83" t="s">
        <v>195</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8" t="s">
        <v>15</v>
      </c>
      <c r="C217" s="83" t="s">
        <v>196</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8" t="s">
        <v>15</v>
      </c>
      <c r="C218" s="83" t="s">
        <v>197</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8" t="s">
        <v>87</v>
      </c>
      <c r="C220" s="93" t="s">
        <v>198</v>
      </c>
      <c r="D220" s="40"/>
      <c r="E220" s="53"/>
      <c r="F220" s="28"/>
      <c r="G220" s="14"/>
      <c r="H220" s="14"/>
    </row>
    <row r="221" spans="1:40" x14ac:dyDescent="0.25">
      <c r="B221" s="88" t="s">
        <v>15</v>
      </c>
      <c r="C221" s="149" t="s">
        <v>199</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8" t="s">
        <v>15</v>
      </c>
      <c r="C222" s="92" t="s">
        <v>200</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8" t="s">
        <v>15</v>
      </c>
      <c r="C223" s="83" t="s">
        <v>201</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ht="31.5" x14ac:dyDescent="0.25">
      <c r="B224" s="88" t="s">
        <v>15</v>
      </c>
      <c r="C224" s="151" t="s">
        <v>202</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8" t="s">
        <v>93</v>
      </c>
      <c r="C226" s="93" t="s">
        <v>203</v>
      </c>
      <c r="D226" s="40"/>
      <c r="E226" s="53"/>
      <c r="F226" s="28"/>
      <c r="G226" s="14"/>
      <c r="H226" s="14"/>
    </row>
    <row r="227" spans="1:40" x14ac:dyDescent="0.25">
      <c r="B227" s="88" t="s">
        <v>15</v>
      </c>
      <c r="C227" s="149" t="s">
        <v>204</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8" t="s">
        <v>15</v>
      </c>
      <c r="C228" s="92" t="s">
        <v>205</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8" t="s">
        <v>15</v>
      </c>
      <c r="C229" s="83" t="s">
        <v>206</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8" t="s">
        <v>15</v>
      </c>
      <c r="C230" s="92" t="s">
        <v>207</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8" t="s">
        <v>99</v>
      </c>
      <c r="C232" s="93" t="s">
        <v>100</v>
      </c>
      <c r="D232" s="40"/>
      <c r="E232" s="53"/>
      <c r="F232" s="28"/>
      <c r="G232" s="14"/>
      <c r="H232" s="14"/>
    </row>
    <row r="233" spans="1:40" x14ac:dyDescent="0.25">
      <c r="B233" s="88" t="s">
        <v>15</v>
      </c>
      <c r="C233" s="149" t="s">
        <v>208</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8" t="s">
        <v>15</v>
      </c>
      <c r="C234" s="92" t="s">
        <v>209</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8" t="s">
        <v>15</v>
      </c>
      <c r="C235" s="83" t="s">
        <v>210</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8" t="s">
        <v>15</v>
      </c>
      <c r="C236" s="92" t="s">
        <v>211</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8" t="s">
        <v>105</v>
      </c>
      <c r="C238" s="93" t="s">
        <v>212</v>
      </c>
      <c r="D238" s="40"/>
      <c r="E238" s="53"/>
      <c r="F238" s="28"/>
      <c r="G238" s="14"/>
      <c r="H238" s="14"/>
    </row>
    <row r="239" spans="1:40" x14ac:dyDescent="0.25">
      <c r="B239" s="88" t="s">
        <v>15</v>
      </c>
      <c r="C239" s="149" t="s">
        <v>213</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8" t="s">
        <v>15</v>
      </c>
      <c r="C240" s="92" t="s">
        <v>214</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8" t="s">
        <v>15</v>
      </c>
      <c r="C241" s="83" t="s">
        <v>215</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8" t="s">
        <v>15</v>
      </c>
      <c r="C242" s="92" t="s">
        <v>216</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8" t="s">
        <v>106</v>
      </c>
      <c r="C244" s="93" t="s">
        <v>217</v>
      </c>
      <c r="D244" s="40"/>
      <c r="E244" s="53"/>
      <c r="F244" s="28"/>
      <c r="G244" s="14"/>
      <c r="H244" s="14"/>
    </row>
    <row r="245" spans="1:40" x14ac:dyDescent="0.25">
      <c r="B245" s="88" t="s">
        <v>15</v>
      </c>
      <c r="C245" s="64" t="s">
        <v>219</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8" t="s">
        <v>15</v>
      </c>
      <c r="C246" s="92" t="s">
        <v>220</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8" t="s">
        <v>15</v>
      </c>
      <c r="C247" s="92" t="s">
        <v>221</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8" t="s">
        <v>15</v>
      </c>
      <c r="C248" s="92" t="s">
        <v>222</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8" t="s">
        <v>218</v>
      </c>
      <c r="C250" s="154" t="s">
        <v>223</v>
      </c>
      <c r="D250" s="40"/>
      <c r="E250" s="53"/>
      <c r="F250" s="28"/>
      <c r="G250" s="14"/>
      <c r="H250" s="14"/>
    </row>
    <row r="251" spans="1:40" x14ac:dyDescent="0.25">
      <c r="B251" s="88" t="s">
        <v>15</v>
      </c>
      <c r="C251" s="64" t="s">
        <v>224</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8" t="s">
        <v>15</v>
      </c>
      <c r="C252" s="92" t="s">
        <v>225</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8" t="s">
        <v>15</v>
      </c>
      <c r="C253" s="92" t="s">
        <v>226</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8" t="s">
        <v>15</v>
      </c>
      <c r="C254" s="92" t="s">
        <v>227</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8" t="s">
        <v>175</v>
      </c>
      <c r="C256" s="93" t="s">
        <v>228</v>
      </c>
      <c r="D256" s="40"/>
      <c r="E256" s="53"/>
      <c r="F256" s="28"/>
      <c r="G256" s="27"/>
      <c r="H256" s="14"/>
    </row>
    <row r="257" spans="1:40" x14ac:dyDescent="0.25">
      <c r="B257" s="88" t="s">
        <v>15</v>
      </c>
      <c r="C257" s="64" t="s">
        <v>229</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8" t="s">
        <v>15</v>
      </c>
      <c r="C258" s="92" t="s">
        <v>230</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8" t="s">
        <v>15</v>
      </c>
      <c r="C259" s="92" t="s">
        <v>231</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8" t="s">
        <v>15</v>
      </c>
      <c r="C260" s="92" t="s">
        <v>232</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8"/>
      <c r="C266" s="95"/>
      <c r="D266" s="96"/>
      <c r="E266" s="96"/>
      <c r="F266" s="96"/>
    </row>
    <row r="267" spans="1:40" s="4" customFormat="1" hidden="1" x14ac:dyDescent="0.25">
      <c r="B267" s="18"/>
      <c r="C267" s="18"/>
      <c r="D267" s="49"/>
      <c r="E267" s="54"/>
      <c r="F267" s="99"/>
      <c r="G267" s="18"/>
      <c r="H267" s="18"/>
    </row>
    <row r="268" spans="1:40" s="4" customFormat="1" hidden="1" x14ac:dyDescent="0.25">
      <c r="B268" s="100"/>
      <c r="C268" s="17"/>
      <c r="D268" s="49"/>
      <c r="E268" s="54"/>
      <c r="F268" s="99"/>
      <c r="G268" s="18"/>
      <c r="H268" s="97"/>
    </row>
    <row r="269" spans="1:40" s="77" customFormat="1" ht="14.1" hidden="1" customHeight="1" thickBot="1" x14ac:dyDescent="0.3">
      <c r="B269" s="101"/>
      <c r="C269" s="101"/>
      <c r="D269" s="102"/>
      <c r="E269" s="103"/>
      <c r="F269" s="104"/>
      <c r="G269" s="76"/>
      <c r="H269" s="97"/>
    </row>
    <row r="270" spans="1:40" s="16" customFormat="1" ht="29.1" customHeight="1" x14ac:dyDescent="0.45">
      <c r="A270" s="4"/>
      <c r="B270" s="62" t="s">
        <v>18</v>
      </c>
      <c r="C270" s="130" t="s">
        <v>233</v>
      </c>
      <c r="D270" s="63"/>
      <c r="E270" s="63"/>
      <c r="F270" s="94"/>
      <c r="G270" s="18"/>
      <c r="H270" s="107"/>
      <c r="I270" s="4"/>
      <c r="J270" s="4"/>
      <c r="K270" s="4"/>
      <c r="L270" s="4"/>
      <c r="M270" s="4"/>
      <c r="N270" s="4"/>
      <c r="O270" s="4"/>
      <c r="P270" s="4"/>
      <c r="Q270" s="4"/>
      <c r="R270" s="4"/>
      <c r="S270" s="4"/>
      <c r="T270" s="4"/>
      <c r="U270" s="4"/>
      <c r="V270" s="4"/>
      <c r="W270" s="4"/>
      <c r="X270" s="4"/>
    </row>
    <row r="271" spans="1:40" s="16" customFormat="1" x14ac:dyDescent="0.25">
      <c r="A271" s="4"/>
      <c r="B271" s="148" t="s">
        <v>75</v>
      </c>
      <c r="C271" s="154" t="s">
        <v>234</v>
      </c>
      <c r="D271" s="40"/>
      <c r="E271" s="53"/>
      <c r="F271" s="28"/>
      <c r="G271" s="18"/>
      <c r="H271" s="97" t="b">
        <f>IF(D274="x",H$2,H$1)</f>
        <v>0</v>
      </c>
      <c r="I271" s="4"/>
      <c r="J271" s="4"/>
      <c r="K271" s="4"/>
      <c r="L271" s="4"/>
      <c r="M271" s="4"/>
      <c r="N271" s="4"/>
      <c r="O271" s="4"/>
      <c r="P271" s="4"/>
      <c r="Q271" s="4"/>
      <c r="R271" s="4"/>
      <c r="S271" s="4"/>
      <c r="T271" s="4"/>
      <c r="U271" s="4"/>
      <c r="V271" s="4"/>
      <c r="W271" s="4"/>
      <c r="X271" s="4"/>
    </row>
    <row r="272" spans="1:40" s="16" customFormat="1" x14ac:dyDescent="0.25">
      <c r="A272" s="4"/>
      <c r="B272" s="88" t="s">
        <v>15</v>
      </c>
      <c r="C272" s="92" t="s">
        <v>235</v>
      </c>
      <c r="D272" s="111"/>
      <c r="E272" s="114" t="s">
        <v>9</v>
      </c>
      <c r="F272" s="113" t="str">
        <f>IF(H273=1,IF(H271=H$2,H271,""),"")</f>
        <v/>
      </c>
      <c r="G272" s="18"/>
      <c r="H272" s="97" t="str">
        <f>IF(E$331="comprobar",COUNTIF(D272:D276,"x"),"")</f>
        <v/>
      </c>
      <c r="I272" s="4"/>
      <c r="J272" s="4"/>
      <c r="K272" s="4"/>
      <c r="L272" s="4"/>
      <c r="M272" s="4"/>
      <c r="N272" s="4"/>
      <c r="O272" s="4"/>
      <c r="P272" s="4"/>
      <c r="Q272" s="4"/>
      <c r="R272" s="4"/>
      <c r="S272" s="4"/>
      <c r="T272" s="4"/>
      <c r="U272" s="4"/>
      <c r="V272" s="4"/>
      <c r="W272" s="4"/>
      <c r="X272" s="4"/>
    </row>
    <row r="273" spans="1:40" x14ac:dyDescent="0.25">
      <c r="B273" s="88" t="s">
        <v>15</v>
      </c>
      <c r="C273" s="92" t="s">
        <v>236</v>
      </c>
      <c r="D273" s="111"/>
      <c r="E273" s="114" t="s">
        <v>10</v>
      </c>
      <c r="F273" s="115" t="str">
        <f>IF(H273=-0.33,IF(H271=H$1,H271,""),"")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8" t="s">
        <v>15</v>
      </c>
      <c r="C274" s="92" t="s">
        <v>237</v>
      </c>
      <c r="D274" s="111"/>
      <c r="E274" s="114" t="s">
        <v>11</v>
      </c>
      <c r="F274" s="26"/>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8" t="s">
        <v>15</v>
      </c>
      <c r="C275" s="92" t="s">
        <v>238</v>
      </c>
      <c r="D275" s="111"/>
      <c r="E275" s="114" t="s">
        <v>12</v>
      </c>
      <c r="F275" s="116"/>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8"/>
      <c r="C276" s="92"/>
      <c r="D276" s="111"/>
      <c r="E276" s="114" t="s">
        <v>13</v>
      </c>
      <c r="F276" s="116"/>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8" t="s">
        <v>73</v>
      </c>
      <c r="C277" s="154" t="s">
        <v>239</v>
      </c>
      <c r="D277" s="40"/>
      <c r="E277" s="53"/>
      <c r="F277" s="28"/>
      <c r="G277" s="14"/>
      <c r="H277" s="14"/>
    </row>
    <row r="278" spans="1:40" x14ac:dyDescent="0.25">
      <c r="B278" s="88" t="s">
        <v>15</v>
      </c>
      <c r="C278" s="92" t="s">
        <v>240</v>
      </c>
      <c r="D278" s="111"/>
      <c r="E278" s="114" t="s">
        <v>9</v>
      </c>
      <c r="F278" s="26"/>
      <c r="G278" s="18"/>
      <c r="H278" s="97"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8" t="s">
        <v>15</v>
      </c>
      <c r="C279" s="92" t="s">
        <v>241</v>
      </c>
      <c r="D279" s="111"/>
      <c r="E279" s="114" t="s">
        <v>10</v>
      </c>
      <c r="F279" s="113" t="str">
        <f>IF(H280=1,IF(H278=H$2,H278,""),"")</f>
        <v/>
      </c>
      <c r="G279" s="18"/>
      <c r="H279" s="20" t="str">
        <f>IF(E$331="comprobar",COUNTIF(D278:D282,"x"),"")</f>
        <v/>
      </c>
      <c r="I279" s="4"/>
      <c r="J279" s="4"/>
      <c r="K279" s="4"/>
      <c r="L279" s="4"/>
      <c r="M279" s="4"/>
      <c r="N279" s="4"/>
      <c r="O279" s="4"/>
    </row>
    <row r="280" spans="1:40" x14ac:dyDescent="0.25">
      <c r="B280" s="88" t="s">
        <v>15</v>
      </c>
      <c r="C280" s="92" t="s">
        <v>242</v>
      </c>
      <c r="D280" s="111"/>
      <c r="E280" s="114" t="s">
        <v>11</v>
      </c>
      <c r="F280" s="115"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8" t="s">
        <v>15</v>
      </c>
      <c r="C281" s="92" t="s">
        <v>243</v>
      </c>
      <c r="D281" s="111"/>
      <c r="E281" s="114" t="s">
        <v>12</v>
      </c>
      <c r="F281" s="26"/>
      <c r="G281" s="18"/>
      <c r="H281" s="107"/>
    </row>
    <row r="282" spans="1:40" s="4" customFormat="1" x14ac:dyDescent="0.25">
      <c r="B282" s="88"/>
      <c r="C282" s="66"/>
      <c r="D282" s="111"/>
      <c r="E282" s="114" t="s">
        <v>13</v>
      </c>
      <c r="F282" s="26"/>
      <c r="G282" s="18"/>
      <c r="H282" s="107"/>
    </row>
    <row r="283" spans="1:40" s="16" customFormat="1" x14ac:dyDescent="0.25">
      <c r="A283" s="4"/>
      <c r="B283" s="148" t="s">
        <v>81</v>
      </c>
      <c r="C283" s="154" t="s">
        <v>244</v>
      </c>
      <c r="D283" s="40"/>
      <c r="E283" s="53"/>
      <c r="F283" s="28"/>
      <c r="G283" s="14"/>
      <c r="H283" s="14"/>
    </row>
    <row r="284" spans="1:40" x14ac:dyDescent="0.25">
      <c r="B284" s="88" t="s">
        <v>15</v>
      </c>
      <c r="C284" s="64" t="s">
        <v>245</v>
      </c>
      <c r="D284" s="111"/>
      <c r="E284" s="114" t="s">
        <v>9</v>
      </c>
      <c r="F284" s="26"/>
      <c r="G284" s="18"/>
      <c r="H284" s="97"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8" t="s">
        <v>15</v>
      </c>
      <c r="C285" s="92" t="s">
        <v>246</v>
      </c>
      <c r="D285" s="111"/>
      <c r="E285" s="114" t="s">
        <v>10</v>
      </c>
      <c r="F285" s="113" t="str">
        <f>IF(H286=1,IF(H284=H$2,H284,""),"")</f>
        <v/>
      </c>
      <c r="G285" s="18"/>
      <c r="H285" s="20" t="str">
        <f>IF(E$331="comprobar",COUNTIF(D284:D288,"x"),"")</f>
        <v/>
      </c>
    </row>
    <row r="286" spans="1:40" x14ac:dyDescent="0.25">
      <c r="B286" s="88" t="s">
        <v>15</v>
      </c>
      <c r="C286" s="92" t="s">
        <v>247</v>
      </c>
      <c r="D286" s="111"/>
      <c r="E286" s="114" t="s">
        <v>11</v>
      </c>
      <c r="F286" s="115"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8" t="s">
        <v>15</v>
      </c>
      <c r="C287" s="92" t="s">
        <v>248</v>
      </c>
      <c r="D287" s="111"/>
      <c r="E287" s="114" t="s">
        <v>12</v>
      </c>
      <c r="F287" s="26"/>
      <c r="G287" s="18"/>
      <c r="H287" s="107"/>
    </row>
    <row r="288" spans="1:40" s="4" customFormat="1" x14ac:dyDescent="0.25">
      <c r="B288" s="88"/>
      <c r="C288" s="92"/>
      <c r="D288" s="111"/>
      <c r="E288" s="114" t="s">
        <v>13</v>
      </c>
      <c r="F288" s="26"/>
      <c r="G288" s="18"/>
      <c r="H288" s="107"/>
    </row>
    <row r="289" spans="1:40" s="16" customFormat="1" x14ac:dyDescent="0.25">
      <c r="A289" s="4"/>
      <c r="B289" s="148" t="s">
        <v>87</v>
      </c>
      <c r="C289" s="154" t="s">
        <v>249</v>
      </c>
      <c r="D289" s="40"/>
      <c r="E289" s="53"/>
      <c r="F289" s="28"/>
      <c r="G289" s="14"/>
      <c r="H289" s="14"/>
    </row>
    <row r="290" spans="1:40" x14ac:dyDescent="0.25">
      <c r="B290" s="88" t="s">
        <v>15</v>
      </c>
      <c r="C290" s="92" t="s">
        <v>250</v>
      </c>
      <c r="D290" s="111"/>
      <c r="E290" s="114" t="s">
        <v>9</v>
      </c>
      <c r="F290" s="26"/>
      <c r="G290" s="18"/>
      <c r="H290" s="20" t="b">
        <f>IF(D290="x",H$2,H$1)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8" t="s">
        <v>15</v>
      </c>
      <c r="C291" s="92" t="s">
        <v>251</v>
      </c>
      <c r="D291" s="111"/>
      <c r="E291" s="114" t="s">
        <v>10</v>
      </c>
      <c r="F291" s="113" t="str">
        <f>IF(H292=1,IF(H290=H$2,H290,""),"")</f>
        <v/>
      </c>
      <c r="G291" s="18"/>
      <c r="H291" s="20" t="str">
        <f>IF(E$331="comprobar",COUNTIF(D290:D294,"x"),"")</f>
        <v/>
      </c>
    </row>
    <row r="292" spans="1:40" x14ac:dyDescent="0.25">
      <c r="B292" s="88" t="s">
        <v>15</v>
      </c>
      <c r="C292" s="92" t="s">
        <v>252</v>
      </c>
      <c r="D292" s="111"/>
      <c r="E292" s="114" t="s">
        <v>11</v>
      </c>
      <c r="F292" s="115"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8" t="s">
        <v>15</v>
      </c>
      <c r="C293" s="92" t="s">
        <v>253</v>
      </c>
      <c r="D293" s="111"/>
      <c r="E293" s="114"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8"/>
      <c r="C294" s="66"/>
      <c r="D294" s="111"/>
      <c r="E294" s="114"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x14ac:dyDescent="0.25">
      <c r="A295" s="4"/>
      <c r="B295" s="148" t="s">
        <v>93</v>
      </c>
      <c r="C295" s="156" t="s">
        <v>254</v>
      </c>
      <c r="D295" s="117"/>
      <c r="E295" s="112"/>
      <c r="F295" s="28"/>
      <c r="G295" s="14"/>
      <c r="H295" s="14"/>
    </row>
    <row r="296" spans="1:40" x14ac:dyDescent="0.25">
      <c r="B296" s="88" t="s">
        <v>15</v>
      </c>
      <c r="C296" s="92" t="s">
        <v>255</v>
      </c>
      <c r="D296" s="111"/>
      <c r="E296" s="114"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8" t="s">
        <v>15</v>
      </c>
      <c r="C297" s="92" t="s">
        <v>256</v>
      </c>
      <c r="D297" s="111"/>
      <c r="E297" s="114" t="s">
        <v>10</v>
      </c>
      <c r="F297" s="113" t="str">
        <f>IF(H298=1,IF(H296=H$2,H296,""),"")</f>
        <v/>
      </c>
      <c r="G297" s="18"/>
      <c r="H297" s="20" t="str">
        <f>IF(E$331="comprobar",COUNTIF(D296:D300,"x"),"")</f>
        <v/>
      </c>
    </row>
    <row r="298" spans="1:40" x14ac:dyDescent="0.25">
      <c r="B298" s="88" t="s">
        <v>15</v>
      </c>
      <c r="C298" s="92" t="s">
        <v>257</v>
      </c>
      <c r="D298" s="111"/>
      <c r="E298" s="114" t="s">
        <v>11</v>
      </c>
      <c r="F298" s="115"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8" t="s">
        <v>15</v>
      </c>
      <c r="C299" s="92" t="s">
        <v>258</v>
      </c>
      <c r="D299" s="111"/>
      <c r="E299" s="114"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10"/>
      <c r="C300" s="66"/>
      <c r="D300" s="111"/>
      <c r="E300" s="114" t="s">
        <v>13</v>
      </c>
      <c r="F300" s="116"/>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8" t="s">
        <v>99</v>
      </c>
      <c r="C301" s="156" t="s">
        <v>259</v>
      </c>
      <c r="D301" s="117"/>
      <c r="E301" s="112"/>
      <c r="F301" s="28"/>
      <c r="G301" s="14"/>
      <c r="H301" s="14"/>
    </row>
    <row r="302" spans="1:40" x14ac:dyDescent="0.25">
      <c r="B302" s="88" t="s">
        <v>15</v>
      </c>
      <c r="C302" s="64" t="s">
        <v>260</v>
      </c>
      <c r="D302" s="111"/>
      <c r="E302" s="114"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8" t="s">
        <v>15</v>
      </c>
      <c r="C303" s="92" t="s">
        <v>261</v>
      </c>
      <c r="D303" s="111"/>
      <c r="E303" s="114" t="s">
        <v>10</v>
      </c>
      <c r="F303" s="113" t="str">
        <f>IF(H304=1,IF(H302=H$2,H302,""),"")</f>
        <v/>
      </c>
      <c r="G303" s="18"/>
      <c r="H303" s="20" t="str">
        <f>IF(E$331="comprobar",COUNTIF(D302:D306,"x"),"")</f>
        <v/>
      </c>
    </row>
    <row r="304" spans="1:40" x14ac:dyDescent="0.25">
      <c r="B304" s="88" t="s">
        <v>15</v>
      </c>
      <c r="C304" s="92" t="s">
        <v>262</v>
      </c>
      <c r="D304" s="111"/>
      <c r="E304" s="114" t="s">
        <v>11</v>
      </c>
      <c r="F304" s="115"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8" t="s">
        <v>15</v>
      </c>
      <c r="C305" s="92" t="s">
        <v>263</v>
      </c>
      <c r="D305" s="111"/>
      <c r="E305" s="114"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1"/>
      <c r="E306" s="114" t="s">
        <v>13</v>
      </c>
      <c r="F306" s="116"/>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8" t="s">
        <v>105</v>
      </c>
      <c r="C307" s="156" t="s">
        <v>264</v>
      </c>
      <c r="D307" s="117"/>
      <c r="E307" s="112"/>
      <c r="F307" s="28"/>
      <c r="G307" s="14"/>
      <c r="H307" s="14"/>
    </row>
    <row r="308" spans="1:40" x14ac:dyDescent="0.25">
      <c r="B308" s="88" t="s">
        <v>15</v>
      </c>
      <c r="C308" s="92" t="s">
        <v>265</v>
      </c>
      <c r="D308" s="111"/>
      <c r="E308" s="114"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8" t="s">
        <v>15</v>
      </c>
      <c r="C309" s="92" t="s">
        <v>266</v>
      </c>
      <c r="D309" s="111"/>
      <c r="E309" s="114" t="s">
        <v>10</v>
      </c>
      <c r="F309" s="113" t="str">
        <f>IF(H310=1,IF(H308=H$2,H308,""),"")</f>
        <v/>
      </c>
      <c r="G309" s="18"/>
      <c r="H309" s="20" t="str">
        <f>IF(E$331="comprobar",COUNTIF(D308:D312,"x"),"")</f>
        <v/>
      </c>
    </row>
    <row r="310" spans="1:40" x14ac:dyDescent="0.25">
      <c r="B310" s="88" t="s">
        <v>15</v>
      </c>
      <c r="C310" s="92" t="s">
        <v>267</v>
      </c>
      <c r="D310" s="111"/>
      <c r="E310" s="114" t="s">
        <v>11</v>
      </c>
      <c r="F310" s="115"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8" t="s">
        <v>15</v>
      </c>
      <c r="C311" s="92" t="s">
        <v>268</v>
      </c>
      <c r="D311" s="111"/>
      <c r="E311" s="114"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1"/>
      <c r="E312" s="114" t="s">
        <v>13</v>
      </c>
      <c r="F312" s="116"/>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8" t="s">
        <v>106</v>
      </c>
      <c r="C313" s="155" t="s">
        <v>269</v>
      </c>
      <c r="D313" s="117"/>
      <c r="E313" s="112"/>
      <c r="F313" s="28"/>
      <c r="G313" s="14"/>
      <c r="H313" s="14"/>
    </row>
    <row r="314" spans="1:40" x14ac:dyDescent="0.25">
      <c r="B314" s="88" t="s">
        <v>15</v>
      </c>
      <c r="C314" s="64" t="s">
        <v>272</v>
      </c>
      <c r="D314" s="111"/>
      <c r="E314" s="114"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8" t="s">
        <v>15</v>
      </c>
      <c r="C315" s="92" t="s">
        <v>271</v>
      </c>
      <c r="D315" s="111"/>
      <c r="E315" s="114" t="s">
        <v>10</v>
      </c>
      <c r="F315" s="113" t="str">
        <f>IF(H316=1,IF(H314=H$2,H314,""),"")</f>
        <v/>
      </c>
      <c r="G315" s="18"/>
      <c r="H315" s="20" t="str">
        <f>IF(E$331="comprobar",COUNTIF(D314:D318,"x"),"")</f>
        <v/>
      </c>
    </row>
    <row r="316" spans="1:40" x14ac:dyDescent="0.25">
      <c r="B316" s="88" t="s">
        <v>15</v>
      </c>
      <c r="C316" s="92" t="s">
        <v>273</v>
      </c>
      <c r="D316" s="111"/>
      <c r="E316" s="114" t="s">
        <v>11</v>
      </c>
      <c r="F316" s="115"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8" t="s">
        <v>15</v>
      </c>
      <c r="C317" s="92" t="s">
        <v>274</v>
      </c>
      <c r="D317" s="111"/>
      <c r="E317" s="114"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1"/>
      <c r="E318" s="114" t="s">
        <v>13</v>
      </c>
      <c r="F318" s="116"/>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8" t="s">
        <v>218</v>
      </c>
      <c r="C319" s="91" t="s">
        <v>275</v>
      </c>
      <c r="D319" s="117"/>
      <c r="E319" s="112"/>
      <c r="F319" s="28"/>
      <c r="G319" s="27"/>
      <c r="H319" s="14"/>
    </row>
    <row r="320" spans="1:40" s="4" customFormat="1" x14ac:dyDescent="0.25">
      <c r="B320" s="88" t="s">
        <v>15</v>
      </c>
      <c r="C320" s="64" t="s">
        <v>276</v>
      </c>
      <c r="D320" s="111"/>
      <c r="E320" s="114" t="s">
        <v>9</v>
      </c>
      <c r="F320" s="26"/>
      <c r="G320" s="106"/>
      <c r="H320" s="97" t="b">
        <f>IF(D323="x",H$2,H$1)</f>
        <v>0</v>
      </c>
    </row>
    <row r="321" spans="1:40" s="4" customFormat="1" x14ac:dyDescent="0.25">
      <c r="B321" s="88" t="s">
        <v>15</v>
      </c>
      <c r="C321" s="92" t="s">
        <v>277</v>
      </c>
      <c r="D321" s="111"/>
      <c r="E321" s="114" t="s">
        <v>10</v>
      </c>
      <c r="F321" s="113" t="str">
        <f>IF(H322=1,IF(H320=H$2,H320,""),"")</f>
        <v/>
      </c>
      <c r="G321" s="106"/>
      <c r="H321" s="97" t="str">
        <f>IF(E$331="comprobar",COUNTIF(D320:D324,"x"),"")</f>
        <v/>
      </c>
    </row>
    <row r="322" spans="1:40" s="4" customFormat="1" x14ac:dyDescent="0.25">
      <c r="B322" s="88" t="s">
        <v>15</v>
      </c>
      <c r="C322" s="92" t="s">
        <v>278</v>
      </c>
      <c r="D322" s="111"/>
      <c r="E322" s="114" t="s">
        <v>11</v>
      </c>
      <c r="F322" s="115" t="str">
        <f>IF(H322=-0.33,IF(H320=H$1,H320,""),"")</f>
        <v/>
      </c>
      <c r="G322" s="106"/>
      <c r="H322" s="107">
        <f t="shared" ref="H322" si="28">IF(H321=1,IF(H320=H$2,1,-0.33),0)</f>
        <v>0</v>
      </c>
    </row>
    <row r="323" spans="1:40" x14ac:dyDescent="0.25">
      <c r="B323" s="88" t="s">
        <v>15</v>
      </c>
      <c r="C323" s="92" t="s">
        <v>279</v>
      </c>
      <c r="D323" s="111"/>
      <c r="E323" s="114"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1"/>
      <c r="E324" s="114" t="s">
        <v>13</v>
      </c>
      <c r="F324" s="116"/>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x14ac:dyDescent="0.25">
      <c r="A325" s="4"/>
      <c r="B325" s="148" t="s">
        <v>175</v>
      </c>
      <c r="C325" s="156" t="s">
        <v>280</v>
      </c>
      <c r="D325" s="117"/>
      <c r="E325" s="112"/>
      <c r="F325" s="28"/>
      <c r="G325" s="14"/>
      <c r="H325" s="14"/>
    </row>
    <row r="326" spans="1:40" x14ac:dyDescent="0.25">
      <c r="B326" s="88" t="s">
        <v>15</v>
      </c>
      <c r="C326" s="64" t="s">
        <v>281</v>
      </c>
      <c r="D326" s="111"/>
      <c r="E326" s="114"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8" t="s">
        <v>15</v>
      </c>
      <c r="C327" s="92" t="s">
        <v>282</v>
      </c>
      <c r="D327" s="111"/>
      <c r="E327" s="114" t="s">
        <v>10</v>
      </c>
      <c r="F327" s="113" t="str">
        <f>IF(H328=1,IF(H326=H$2,H326,""),"")</f>
        <v/>
      </c>
      <c r="G327" s="25"/>
      <c r="H327" s="20" t="str">
        <f>IF(E$331="comprobar",COUNTIF(D326:D330,"x"),"")</f>
        <v/>
      </c>
    </row>
    <row r="328" spans="1:40" x14ac:dyDescent="0.25">
      <c r="B328" s="88" t="s">
        <v>15</v>
      </c>
      <c r="C328" s="92" t="s">
        <v>283</v>
      </c>
      <c r="D328" s="111"/>
      <c r="E328" s="114" t="s">
        <v>11</v>
      </c>
      <c r="F328" s="115"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8" t="s">
        <v>15</v>
      </c>
      <c r="C329" s="92" t="s">
        <v>284</v>
      </c>
      <c r="D329" s="111"/>
      <c r="E329" s="114"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1"/>
      <c r="E330" s="114" t="s">
        <v>13</v>
      </c>
      <c r="F330" s="116"/>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8"/>
      <c r="C331" s="8"/>
      <c r="D331" s="119"/>
      <c r="E331" s="79"/>
      <c r="F331" s="120"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1"/>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2"/>
      <c r="E333" s="123"/>
      <c r="F333" s="124"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8"/>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8"/>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18</v>
      </c>
      <c r="C336" s="130" t="s">
        <v>285</v>
      </c>
      <c r="D336" s="85"/>
      <c r="E336" s="85"/>
      <c r="F336" s="86"/>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8" t="s">
        <v>75</v>
      </c>
      <c r="C337" s="155" t="s">
        <v>286</v>
      </c>
      <c r="D337" s="40"/>
      <c r="E337" s="53"/>
      <c r="F337" s="28"/>
      <c r="G337" s="14"/>
      <c r="H337" s="14"/>
    </row>
    <row r="338" spans="1:40" ht="18.75" x14ac:dyDescent="0.3">
      <c r="B338" s="88" t="s">
        <v>15</v>
      </c>
      <c r="C338" s="138" t="s">
        <v>287</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3">
      <c r="B339" s="88" t="s">
        <v>15</v>
      </c>
      <c r="C339" s="139" t="s">
        <v>288</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3">
      <c r="B340" s="88" t="s">
        <v>15</v>
      </c>
      <c r="C340" s="140" t="s">
        <v>289</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ht="18.75" x14ac:dyDescent="0.3">
      <c r="B341" s="88" t="s">
        <v>15</v>
      </c>
      <c r="C341" s="140" t="s">
        <v>290</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17"/>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8" t="s">
        <v>188</v>
      </c>
      <c r="C343" s="156" t="s">
        <v>291</v>
      </c>
      <c r="D343" s="40"/>
      <c r="E343" s="53"/>
      <c r="F343" s="28"/>
      <c r="G343" s="14"/>
      <c r="H343" s="14"/>
    </row>
    <row r="344" spans="1:40" ht="18.75" x14ac:dyDescent="0.25">
      <c r="B344" s="88" t="s">
        <v>15</v>
      </c>
      <c r="C344" s="141" t="s">
        <v>292</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ht="18.75" x14ac:dyDescent="0.3">
      <c r="B345" s="88" t="s">
        <v>15</v>
      </c>
      <c r="C345" s="140" t="s">
        <v>293</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ht="18.75" x14ac:dyDescent="0.3">
      <c r="B346" s="88" t="s">
        <v>15</v>
      </c>
      <c r="C346" s="140" t="s">
        <v>294</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ht="18.75" x14ac:dyDescent="0.3">
      <c r="B347" s="88" t="s">
        <v>15</v>
      </c>
      <c r="C347" s="140" t="s">
        <v>295</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17"/>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8" t="s">
        <v>297</v>
      </c>
      <c r="C349" s="156" t="s">
        <v>296</v>
      </c>
      <c r="D349" s="40"/>
      <c r="E349" s="53"/>
      <c r="F349" s="28"/>
      <c r="G349" s="14"/>
      <c r="H349" s="14"/>
    </row>
    <row r="350" spans="1:40" ht="18.75" x14ac:dyDescent="0.3">
      <c r="B350" s="88" t="s">
        <v>15</v>
      </c>
      <c r="C350" s="140" t="s">
        <v>298</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ht="18.75" x14ac:dyDescent="0.25">
      <c r="B351" s="88" t="s">
        <v>15</v>
      </c>
      <c r="C351" s="141" t="s">
        <v>299</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ht="37.5" x14ac:dyDescent="0.3">
      <c r="B352" s="88" t="s">
        <v>15</v>
      </c>
      <c r="C352" s="157" t="s">
        <v>300</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ht="18.75" x14ac:dyDescent="0.3">
      <c r="B353" s="88" t="s">
        <v>15</v>
      </c>
      <c r="C353" s="140" t="s">
        <v>301</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17"/>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8" t="s">
        <v>87</v>
      </c>
      <c r="C355" s="156" t="s">
        <v>302</v>
      </c>
      <c r="D355" s="40"/>
      <c r="E355" s="53"/>
      <c r="F355" s="28"/>
      <c r="G355" s="14"/>
      <c r="H355" s="14"/>
    </row>
    <row r="356" spans="1:40" ht="18.75" x14ac:dyDescent="0.3">
      <c r="B356" s="88" t="s">
        <v>15</v>
      </c>
      <c r="C356" s="140" t="s">
        <v>303</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ht="18.75" x14ac:dyDescent="0.3">
      <c r="B357" s="88" t="s">
        <v>15</v>
      </c>
      <c r="C357" s="140" t="s">
        <v>304</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ht="18.75" x14ac:dyDescent="0.3">
      <c r="B358" s="88" t="s">
        <v>15</v>
      </c>
      <c r="C358" s="140" t="s">
        <v>305</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ht="18.75" x14ac:dyDescent="0.3">
      <c r="B359" s="88" t="s">
        <v>15</v>
      </c>
      <c r="C359" s="140" t="s">
        <v>306</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3">
      <c r="B360" s="142"/>
      <c r="C360" s="143"/>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8" t="s">
        <v>93</v>
      </c>
      <c r="C361" s="156" t="s">
        <v>307</v>
      </c>
      <c r="D361" s="40"/>
      <c r="E361" s="53"/>
      <c r="F361" s="28"/>
      <c r="G361" s="14"/>
      <c r="H361" s="14"/>
    </row>
    <row r="362" spans="1:40" ht="18.75" x14ac:dyDescent="0.3">
      <c r="B362" s="88" t="s">
        <v>15</v>
      </c>
      <c r="C362" s="138" t="s">
        <v>308</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ht="18.75" x14ac:dyDescent="0.3">
      <c r="B363" s="88" t="s">
        <v>15</v>
      </c>
      <c r="C363" s="140" t="s">
        <v>309</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ht="18.75" x14ac:dyDescent="0.3">
      <c r="B364" s="88" t="s">
        <v>15</v>
      </c>
      <c r="C364" s="140" t="s">
        <v>310</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ht="18.75" x14ac:dyDescent="0.3">
      <c r="B365" s="88" t="s">
        <v>15</v>
      </c>
      <c r="C365" s="140" t="s">
        <v>311</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17"/>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8" t="s">
        <v>313</v>
      </c>
      <c r="C367" s="156" t="s">
        <v>312</v>
      </c>
      <c r="D367" s="40"/>
      <c r="E367" s="53"/>
      <c r="F367" s="28"/>
      <c r="G367" s="14"/>
      <c r="H367" s="14"/>
    </row>
    <row r="368" spans="1:40" ht="18.75" x14ac:dyDescent="0.25">
      <c r="B368" s="88" t="s">
        <v>15</v>
      </c>
      <c r="C368" s="141" t="s">
        <v>314</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ht="18.75" x14ac:dyDescent="0.3">
      <c r="B369" s="88" t="s">
        <v>15</v>
      </c>
      <c r="C369" s="140" t="s">
        <v>315</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ht="18.75" x14ac:dyDescent="0.3">
      <c r="B370" s="88" t="s">
        <v>15</v>
      </c>
      <c r="C370" s="140" t="s">
        <v>316</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ht="18.75" x14ac:dyDescent="0.3">
      <c r="B371" s="88" t="s">
        <v>15</v>
      </c>
      <c r="C371" s="140" t="s">
        <v>317</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17"/>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8" t="s">
        <v>105</v>
      </c>
      <c r="C373" s="158" t="s">
        <v>318</v>
      </c>
      <c r="D373" s="40"/>
      <c r="E373" s="53"/>
      <c r="F373" s="28"/>
      <c r="G373" s="14"/>
      <c r="H373" s="14"/>
    </row>
    <row r="374" spans="1:40" ht="18.75" x14ac:dyDescent="0.3">
      <c r="B374" s="88" t="s">
        <v>15</v>
      </c>
      <c r="C374" s="140" t="s">
        <v>319</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8" t="s">
        <v>15</v>
      </c>
      <c r="C375" s="144" t="s">
        <v>320</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ht="18.75" x14ac:dyDescent="0.3">
      <c r="B376" s="88" t="s">
        <v>15</v>
      </c>
      <c r="C376" s="140" t="s">
        <v>321</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ht="18.75" x14ac:dyDescent="0.3">
      <c r="B377" s="88" t="s">
        <v>15</v>
      </c>
      <c r="C377" s="140" t="s">
        <v>322</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17"/>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8" t="s">
        <v>270</v>
      </c>
      <c r="C379" s="156" t="s">
        <v>323</v>
      </c>
      <c r="D379" s="40"/>
      <c r="E379" s="53"/>
      <c r="F379" s="28"/>
      <c r="G379" s="14"/>
      <c r="H379" s="14"/>
    </row>
    <row r="380" spans="1:40" ht="18.75" x14ac:dyDescent="0.3">
      <c r="B380" s="88" t="s">
        <v>15</v>
      </c>
      <c r="C380" s="140" t="s">
        <v>324</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ht="18.75" x14ac:dyDescent="0.3">
      <c r="B381" s="88" t="s">
        <v>15</v>
      </c>
      <c r="C381" s="140" t="s">
        <v>325</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ht="18.75" x14ac:dyDescent="0.3">
      <c r="B382" s="88" t="s">
        <v>15</v>
      </c>
      <c r="C382" s="140" t="s">
        <v>326</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ht="18.75" x14ac:dyDescent="0.3">
      <c r="B383" s="88" t="s">
        <v>15</v>
      </c>
      <c r="C383" s="140" t="s">
        <v>295</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17"/>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8" t="s">
        <v>218</v>
      </c>
      <c r="C385" s="156" t="s">
        <v>327</v>
      </c>
      <c r="D385" s="40"/>
      <c r="E385" s="53"/>
      <c r="F385" s="28"/>
      <c r="G385" s="14"/>
      <c r="H385" s="14"/>
    </row>
    <row r="386" spans="1:40" ht="18.75" x14ac:dyDescent="0.3">
      <c r="B386" s="88" t="s">
        <v>15</v>
      </c>
      <c r="C386" s="140" t="s">
        <v>328</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ht="18.75" x14ac:dyDescent="0.3">
      <c r="B387" s="88" t="s">
        <v>15</v>
      </c>
      <c r="C387" s="140" t="s">
        <v>329</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ht="18.75" x14ac:dyDescent="0.3">
      <c r="B388" s="88" t="s">
        <v>15</v>
      </c>
      <c r="C388" s="140" t="s">
        <v>330</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ht="18.75" x14ac:dyDescent="0.25">
      <c r="B389" s="88" t="s">
        <v>15</v>
      </c>
      <c r="C389" s="141" t="s">
        <v>331</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45"/>
      <c r="C390" s="136"/>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8" t="s">
        <v>175</v>
      </c>
      <c r="C391" s="156" t="s">
        <v>332</v>
      </c>
      <c r="D391" s="81"/>
      <c r="E391" s="53"/>
      <c r="F391" s="28"/>
      <c r="G391" s="27"/>
      <c r="H391" s="14"/>
    </row>
    <row r="392" spans="1:40" ht="18.75" x14ac:dyDescent="0.3">
      <c r="B392" s="88" t="s">
        <v>15</v>
      </c>
      <c r="C392" s="140" t="s">
        <v>333</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ht="18.75" x14ac:dyDescent="0.3">
      <c r="B393" s="88" t="s">
        <v>15</v>
      </c>
      <c r="C393" s="140" t="s">
        <v>334</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ht="18.75" x14ac:dyDescent="0.3">
      <c r="B394" s="88" t="s">
        <v>15</v>
      </c>
      <c r="C394" s="140" t="s">
        <v>335</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ht="18.75" x14ac:dyDescent="0.3">
      <c r="B395" s="88" t="s">
        <v>15</v>
      </c>
      <c r="C395" s="140" t="s">
        <v>336</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3">
      <c r="B396" s="142"/>
      <c r="C396" s="143"/>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4"/>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18</v>
      </c>
      <c r="C401" s="130" t="s">
        <v>337</v>
      </c>
      <c r="D401" s="85"/>
      <c r="E401" s="85"/>
      <c r="F401" s="86"/>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8" t="s">
        <v>75</v>
      </c>
      <c r="C402" s="156" t="s">
        <v>338</v>
      </c>
      <c r="D402" s="40"/>
      <c r="E402" s="53"/>
      <c r="F402" s="28"/>
      <c r="G402" s="14"/>
      <c r="H402" s="14"/>
    </row>
    <row r="403" spans="1:40" x14ac:dyDescent="0.25">
      <c r="B403" s="88" t="s">
        <v>15</v>
      </c>
      <c r="C403" s="64" t="s">
        <v>339</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8" t="s">
        <v>15</v>
      </c>
      <c r="C404" s="92" t="s">
        <v>340</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8" t="s">
        <v>15</v>
      </c>
      <c r="C405" s="92" t="s">
        <v>341</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8" t="s">
        <v>15</v>
      </c>
      <c r="C406" s="92" t="s">
        <v>342</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8" t="s">
        <v>73</v>
      </c>
      <c r="C408" s="156" t="s">
        <v>343</v>
      </c>
      <c r="D408" s="40"/>
      <c r="E408" s="53"/>
      <c r="F408" s="80"/>
      <c r="G408" s="14"/>
      <c r="H408" s="14"/>
    </row>
    <row r="409" spans="1:40" x14ac:dyDescent="0.25">
      <c r="B409" s="88" t="s">
        <v>15</v>
      </c>
      <c r="C409" s="125" t="s">
        <v>344</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8" t="s">
        <v>15</v>
      </c>
      <c r="C410" s="108" t="s">
        <v>345</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8" t="s">
        <v>15</v>
      </c>
      <c r="C411" s="92" t="s">
        <v>346</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8" t="s">
        <v>15</v>
      </c>
      <c r="C412" s="92" t="s">
        <v>347</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8" t="s">
        <v>81</v>
      </c>
      <c r="C414" s="126" t="s">
        <v>348</v>
      </c>
      <c r="D414" s="81"/>
      <c r="E414" s="53"/>
      <c r="F414" s="28"/>
      <c r="G414" s="14"/>
      <c r="H414" s="14"/>
    </row>
    <row r="415" spans="1:40" x14ac:dyDescent="0.25">
      <c r="B415" s="88" t="s">
        <v>15</v>
      </c>
      <c r="C415" s="127" t="s">
        <v>349</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8" t="s">
        <v>15</v>
      </c>
      <c r="C416" s="128" t="s">
        <v>350</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8" t="s">
        <v>15</v>
      </c>
      <c r="C417" s="108" t="s">
        <v>351</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8" t="s">
        <v>15</v>
      </c>
      <c r="C418" s="92" t="s">
        <v>352</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9"/>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8" t="s">
        <v>87</v>
      </c>
      <c r="C420" s="156" t="s">
        <v>353</v>
      </c>
      <c r="D420" s="81"/>
      <c r="E420" s="53"/>
      <c r="F420" s="28"/>
      <c r="G420" s="14"/>
      <c r="H420" s="14"/>
    </row>
    <row r="421" spans="1:40" x14ac:dyDescent="0.25">
      <c r="B421" s="88" t="s">
        <v>15</v>
      </c>
      <c r="C421" s="127" t="s">
        <v>354</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8" t="s">
        <v>15</v>
      </c>
      <c r="C422" s="92" t="s">
        <v>355</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8" t="s">
        <v>15</v>
      </c>
      <c r="C423" s="128" t="s">
        <v>356</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8" t="s">
        <v>15</v>
      </c>
      <c r="C424" s="108" t="s">
        <v>357</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8" t="s">
        <v>93</v>
      </c>
      <c r="C426" s="91" t="s">
        <v>358</v>
      </c>
      <c r="D426" s="109"/>
      <c r="E426" s="53"/>
      <c r="F426" s="28"/>
      <c r="G426" s="14"/>
      <c r="H426" s="14"/>
    </row>
    <row r="427" spans="1:40" x14ac:dyDescent="0.25">
      <c r="B427" s="88" t="s">
        <v>15</v>
      </c>
      <c r="C427" s="64" t="s">
        <v>359</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8" t="s">
        <v>15</v>
      </c>
      <c r="C428" s="108" t="s">
        <v>360</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8" t="s">
        <v>15</v>
      </c>
      <c r="C429" s="108" t="s">
        <v>361</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8" t="s">
        <v>15</v>
      </c>
      <c r="C430" s="108" t="s">
        <v>362</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8" t="s">
        <v>99</v>
      </c>
      <c r="C432" s="91" t="s">
        <v>363</v>
      </c>
      <c r="D432" s="109"/>
      <c r="E432" s="53"/>
      <c r="F432" s="28"/>
      <c r="G432" s="14"/>
      <c r="H432" s="14"/>
    </row>
    <row r="433" spans="1:40" x14ac:dyDescent="0.25">
      <c r="B433" s="88" t="s">
        <v>15</v>
      </c>
      <c r="C433" s="64" t="s">
        <v>364</v>
      </c>
      <c r="D433" s="39"/>
      <c r="E433" s="54"/>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8" t="s">
        <v>15</v>
      </c>
      <c r="C434" s="108" t="s">
        <v>365</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8" t="s">
        <v>15</v>
      </c>
      <c r="C435" s="108" t="s">
        <v>366</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8" t="s">
        <v>15</v>
      </c>
      <c r="C436" s="108" t="s">
        <v>367</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8" t="s">
        <v>105</v>
      </c>
      <c r="C438" s="91" t="s">
        <v>368</v>
      </c>
      <c r="D438" s="109"/>
      <c r="E438" s="53"/>
      <c r="F438" s="28"/>
      <c r="G438" s="14"/>
      <c r="H438" s="14"/>
    </row>
    <row r="439" spans="1:40" x14ac:dyDescent="0.25">
      <c r="B439" s="88" t="s">
        <v>15</v>
      </c>
      <c r="C439" s="64" t="s">
        <v>369</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8" t="s">
        <v>15</v>
      </c>
      <c r="C440" s="108" t="s">
        <v>370</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8" t="s">
        <v>15</v>
      </c>
      <c r="C441" s="108" t="s">
        <v>371</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8" t="s">
        <v>15</v>
      </c>
      <c r="C442" s="108" t="s">
        <v>372</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8" t="s">
        <v>106</v>
      </c>
      <c r="C444" s="91" t="s">
        <v>373</v>
      </c>
      <c r="D444" s="109"/>
      <c r="E444" s="53"/>
      <c r="F444" s="28"/>
      <c r="G444" s="14"/>
      <c r="H444" s="14"/>
    </row>
    <row r="445" spans="1:40" x14ac:dyDescent="0.25">
      <c r="B445" s="88" t="s">
        <v>15</v>
      </c>
      <c r="C445" s="64" t="s">
        <v>374</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8" t="s">
        <v>15</v>
      </c>
      <c r="C446" s="108" t="s">
        <v>375</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8" t="s">
        <v>15</v>
      </c>
      <c r="C447" s="108" t="s">
        <v>376</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8" t="s">
        <v>15</v>
      </c>
      <c r="C448" s="108" t="s">
        <v>377</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8" t="s">
        <v>218</v>
      </c>
      <c r="C450" s="91" t="s">
        <v>378</v>
      </c>
      <c r="D450" s="109"/>
      <c r="E450" s="53"/>
      <c r="F450" s="28"/>
      <c r="G450" s="14"/>
      <c r="H450" s="14"/>
    </row>
    <row r="451" spans="1:40" x14ac:dyDescent="0.25">
      <c r="B451" s="88" t="s">
        <v>15</v>
      </c>
      <c r="C451" s="64" t="s">
        <v>380</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8" t="s">
        <v>15</v>
      </c>
      <c r="C452" s="108" t="s">
        <v>381</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8" t="s">
        <v>15</v>
      </c>
      <c r="C453" s="108" t="s">
        <v>382</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8" t="s">
        <v>15</v>
      </c>
      <c r="C454" s="108" t="s">
        <v>379</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8" t="s">
        <v>175</v>
      </c>
      <c r="C456" s="91" t="s">
        <v>383</v>
      </c>
      <c r="D456" s="109"/>
      <c r="E456" s="53"/>
      <c r="F456" s="28"/>
      <c r="G456" s="14"/>
      <c r="H456" s="14"/>
    </row>
    <row r="457" spans="1:40" x14ac:dyDescent="0.25">
      <c r="B457" s="88" t="s">
        <v>15</v>
      </c>
      <c r="C457" s="64" t="s">
        <v>384</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8" t="s">
        <v>15</v>
      </c>
      <c r="C458" s="108" t="s">
        <v>385</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8" t="s">
        <v>15</v>
      </c>
      <c r="C459" s="108" t="s">
        <v>386</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8" t="s">
        <v>15</v>
      </c>
      <c r="C460" s="108" t="s">
        <v>387</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4"/>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16</v>
      </c>
      <c r="C466" s="85" t="s">
        <v>17</v>
      </c>
      <c r="D466" s="85"/>
      <c r="E466" s="85"/>
      <c r="F466" s="86"/>
    </row>
    <row r="467" spans="1:40" s="16" customFormat="1" x14ac:dyDescent="0.25">
      <c r="A467" s="4"/>
      <c r="B467" s="148" t="s">
        <v>75</v>
      </c>
      <c r="C467" s="91" t="s">
        <v>388</v>
      </c>
      <c r="D467" s="13"/>
      <c r="E467" s="13"/>
      <c r="F467" s="15"/>
      <c r="G467" s="27"/>
      <c r="H467" s="14"/>
    </row>
    <row r="468" spans="1:40" x14ac:dyDescent="0.25">
      <c r="B468" s="88" t="s">
        <v>15</v>
      </c>
      <c r="C468" s="135" t="s">
        <v>389</v>
      </c>
      <c r="D468" s="39"/>
      <c r="E468" s="84"/>
      <c r="F468" s="19"/>
      <c r="G468" s="25"/>
      <c r="H468" s="20" t="b">
        <f>IF(D470="x",H$2,H$1)</f>
        <v>0</v>
      </c>
    </row>
    <row r="469" spans="1:40" x14ac:dyDescent="0.25">
      <c r="B469" s="88" t="s">
        <v>15</v>
      </c>
      <c r="C469" s="135" t="s">
        <v>390</v>
      </c>
      <c r="D469" s="39"/>
      <c r="E469" s="84" t="s">
        <v>10</v>
      </c>
      <c r="F469" s="21" t="str">
        <f>IF(H470=1,IF(H468=H$2,H468,""),"")</f>
        <v/>
      </c>
      <c r="G469" s="25"/>
      <c r="H469" s="20" t="str">
        <f>IF(E$529="comprobar",COUNTIF(D468:D472,"x"),"")</f>
        <v/>
      </c>
    </row>
    <row r="470" spans="1:40" x14ac:dyDescent="0.25">
      <c r="B470" s="88" t="s">
        <v>15</v>
      </c>
      <c r="C470" s="135" t="s">
        <v>391</v>
      </c>
      <c r="D470" s="39"/>
      <c r="E470" s="84" t="s">
        <v>11</v>
      </c>
      <c r="F470" s="22" t="str">
        <f>IF(H470=-0.33,IF(H468=H$1,H468,""),"")</f>
        <v/>
      </c>
      <c r="G470" s="25"/>
      <c r="H470" s="23">
        <f>IF(H469=1,IF(H468=H$2,1,-0.33),0)</f>
        <v>0</v>
      </c>
    </row>
    <row r="471" spans="1:40" x14ac:dyDescent="0.25">
      <c r="B471" s="88" t="s">
        <v>15</v>
      </c>
      <c r="C471" s="135" t="s">
        <v>392</v>
      </c>
      <c r="D471" s="39"/>
      <c r="E471" s="84" t="s">
        <v>12</v>
      </c>
      <c r="F471" s="19"/>
      <c r="G471" s="25"/>
      <c r="H471" s="23"/>
    </row>
    <row r="472" spans="1:40" x14ac:dyDescent="0.25">
      <c r="B472" s="43"/>
      <c r="C472" s="135"/>
      <c r="D472" s="39"/>
      <c r="E472" s="84" t="s">
        <v>13</v>
      </c>
      <c r="F472" s="19"/>
      <c r="G472" s="18"/>
      <c r="H472" s="23"/>
    </row>
    <row r="473" spans="1:40" s="16" customFormat="1" x14ac:dyDescent="0.25">
      <c r="A473" s="4"/>
      <c r="B473" s="160" t="s">
        <v>73</v>
      </c>
      <c r="C473" s="12" t="s">
        <v>393</v>
      </c>
      <c r="D473" s="40"/>
      <c r="E473" s="13"/>
      <c r="F473" s="15"/>
      <c r="G473" s="27"/>
      <c r="H473" s="14"/>
    </row>
    <row r="474" spans="1:40" x14ac:dyDescent="0.25">
      <c r="B474" s="88" t="s">
        <v>15</v>
      </c>
      <c r="C474" s="135" t="s">
        <v>394</v>
      </c>
      <c r="D474" s="39"/>
      <c r="E474" s="84" t="s">
        <v>9</v>
      </c>
      <c r="F474" s="19"/>
      <c r="G474" s="25"/>
      <c r="H474" s="20" t="b">
        <f>IF(D474="x",H$2,H$1)</f>
        <v>0</v>
      </c>
    </row>
    <row r="475" spans="1:40" x14ac:dyDescent="0.25">
      <c r="B475" s="88" t="s">
        <v>15</v>
      </c>
      <c r="C475" s="135" t="s">
        <v>395</v>
      </c>
      <c r="D475" s="39"/>
      <c r="E475" s="84" t="s">
        <v>10</v>
      </c>
      <c r="F475" s="21" t="str">
        <f>IF(H476=1,IF(H474=H$2,H474,""),"")</f>
        <v/>
      </c>
      <c r="G475" s="25"/>
      <c r="H475" s="20" t="str">
        <f>IF(E$529="comprobar",COUNTIF(D474:D478,"x"),"")</f>
        <v/>
      </c>
    </row>
    <row r="476" spans="1:40" x14ac:dyDescent="0.25">
      <c r="B476" s="88" t="s">
        <v>15</v>
      </c>
      <c r="C476" t="s">
        <v>396</v>
      </c>
      <c r="D476" s="39"/>
      <c r="E476" s="84" t="s">
        <v>11</v>
      </c>
      <c r="F476" s="22" t="str">
        <f>IF(H476=-0.33,IF(H474=H$1,H474,""),"")</f>
        <v/>
      </c>
      <c r="G476" s="25"/>
      <c r="H476" s="23">
        <f t="shared" ref="H476" si="38">IF(H475=1,IF(H474=H$2,1,-0.33),0)</f>
        <v>0</v>
      </c>
    </row>
    <row r="477" spans="1:40" x14ac:dyDescent="0.25">
      <c r="B477" s="88" t="s">
        <v>15</v>
      </c>
      <c r="C477" s="135" t="s">
        <v>397</v>
      </c>
      <c r="D477" s="39"/>
      <c r="E477" s="84" t="s">
        <v>12</v>
      </c>
      <c r="F477" s="19"/>
      <c r="G477" s="25"/>
      <c r="H477" s="23"/>
    </row>
    <row r="478" spans="1:40" x14ac:dyDescent="0.25">
      <c r="B478" s="88"/>
      <c r="C478" s="135"/>
      <c r="D478" s="39"/>
      <c r="E478" s="84" t="s">
        <v>13</v>
      </c>
      <c r="F478" s="19"/>
      <c r="G478" s="18"/>
      <c r="H478" s="23"/>
    </row>
    <row r="479" spans="1:40" s="16" customFormat="1" x14ac:dyDescent="0.25">
      <c r="A479" s="4"/>
      <c r="B479" s="160" t="s">
        <v>81</v>
      </c>
      <c r="C479" s="137" t="s">
        <v>398</v>
      </c>
      <c r="D479" s="40"/>
      <c r="E479" s="13"/>
      <c r="F479" s="15"/>
      <c r="G479" s="27"/>
      <c r="H479" s="14"/>
    </row>
    <row r="480" spans="1:40" x14ac:dyDescent="0.25">
      <c r="B480" s="88" t="s">
        <v>15</v>
      </c>
      <c r="C480" s="135" t="s">
        <v>399</v>
      </c>
      <c r="D480" s="39"/>
      <c r="E480" s="84" t="s">
        <v>9</v>
      </c>
      <c r="F480" s="19"/>
      <c r="G480" s="25"/>
      <c r="H480" s="20" t="b">
        <f>IF(D482="x",H$2,H$1)</f>
        <v>0</v>
      </c>
    </row>
    <row r="481" spans="1:8" x14ac:dyDescent="0.25">
      <c r="B481" s="88" t="s">
        <v>15</v>
      </c>
      <c r="C481" s="135" t="s">
        <v>400</v>
      </c>
      <c r="D481" s="39"/>
      <c r="E481" s="84" t="s">
        <v>10</v>
      </c>
      <c r="F481" s="21" t="str">
        <f>IF(H482=1,IF(H480=H$2,H480,""),"")</f>
        <v/>
      </c>
      <c r="G481" s="25"/>
      <c r="H481" s="20" t="str">
        <f>IF(E$529="comprobar",COUNTIF(D480:D484,"x"),"")</f>
        <v/>
      </c>
    </row>
    <row r="482" spans="1:8" x14ac:dyDescent="0.25">
      <c r="B482" s="88" t="s">
        <v>15</v>
      </c>
      <c r="C482" s="135" t="s">
        <v>401</v>
      </c>
      <c r="D482" s="39"/>
      <c r="E482" s="84" t="s">
        <v>11</v>
      </c>
      <c r="F482" s="22" t="str">
        <f>IF(H482=-0.33,IF(H480=H$1,H480,""),"")</f>
        <v/>
      </c>
      <c r="G482" s="25"/>
      <c r="H482" s="23">
        <f t="shared" ref="H482" si="39">IF(H481=1,IF(H480=H$2,1,-0.33),0)</f>
        <v>0</v>
      </c>
    </row>
    <row r="483" spans="1:8" x14ac:dyDescent="0.25">
      <c r="B483" s="88" t="s">
        <v>15</v>
      </c>
      <c r="C483" s="135" t="s">
        <v>402</v>
      </c>
      <c r="D483" s="39"/>
      <c r="E483" s="84" t="s">
        <v>12</v>
      </c>
      <c r="F483" s="19"/>
      <c r="G483" s="25"/>
      <c r="H483" s="23"/>
    </row>
    <row r="484" spans="1:8" x14ac:dyDescent="0.25">
      <c r="B484" s="88"/>
      <c r="C484" s="135"/>
      <c r="D484" s="39"/>
      <c r="E484" s="84" t="s">
        <v>13</v>
      </c>
      <c r="F484" s="19"/>
      <c r="G484" s="18"/>
      <c r="H484" s="23"/>
    </row>
    <row r="485" spans="1:8" s="16" customFormat="1" x14ac:dyDescent="0.25">
      <c r="A485" s="4"/>
      <c r="B485" s="160" t="s">
        <v>87</v>
      </c>
      <c r="C485" s="132" t="s">
        <v>403</v>
      </c>
      <c r="D485" s="40"/>
      <c r="E485" s="13"/>
      <c r="F485" s="15"/>
      <c r="G485" s="27"/>
      <c r="H485" s="14"/>
    </row>
    <row r="486" spans="1:8" x14ac:dyDescent="0.25">
      <c r="B486" s="88" t="s">
        <v>15</v>
      </c>
      <c r="C486" s="134" t="s">
        <v>404</v>
      </c>
      <c r="D486" s="39"/>
      <c r="E486" s="84" t="s">
        <v>9</v>
      </c>
      <c r="F486" s="19"/>
      <c r="G486" s="25"/>
      <c r="H486" s="20" t="b">
        <f>IF(D486="x",H$2,H$1)</f>
        <v>0</v>
      </c>
    </row>
    <row r="487" spans="1:8" x14ac:dyDescent="0.25">
      <c r="B487" s="88" t="s">
        <v>15</v>
      </c>
      <c r="C487" s="135" t="s">
        <v>405</v>
      </c>
      <c r="D487" s="39"/>
      <c r="E487" s="84" t="s">
        <v>10</v>
      </c>
      <c r="F487" s="21" t="str">
        <f>IF(H488=1,IF(H486=H$2,H486,""),"")</f>
        <v/>
      </c>
      <c r="G487" s="25"/>
      <c r="H487" s="20" t="str">
        <f>IF(E$529="comprobar",COUNTIF(D486:D490,"x"),"")</f>
        <v/>
      </c>
    </row>
    <row r="488" spans="1:8" x14ac:dyDescent="0.25">
      <c r="B488" s="88" t="s">
        <v>15</v>
      </c>
      <c r="C488" s="135" t="s">
        <v>406</v>
      </c>
      <c r="D488" s="39"/>
      <c r="E488" s="84" t="s">
        <v>11</v>
      </c>
      <c r="F488" s="22" t="str">
        <f>IF(H488=-0.33,IF(H486=H$1,H486,""),"")</f>
        <v/>
      </c>
      <c r="G488" s="25"/>
      <c r="H488" s="23">
        <f t="shared" ref="H488" si="40">IF(H487=1,IF(H486=H$2,1,-0.33),0)</f>
        <v>0</v>
      </c>
    </row>
    <row r="489" spans="1:8" x14ac:dyDescent="0.25">
      <c r="B489" s="88" t="s">
        <v>15</v>
      </c>
      <c r="C489" t="s">
        <v>407</v>
      </c>
      <c r="D489" s="39"/>
      <c r="E489" s="84" t="s">
        <v>12</v>
      </c>
      <c r="F489" s="19"/>
      <c r="G489" s="25"/>
      <c r="H489" s="23"/>
    </row>
    <row r="490" spans="1:8" x14ac:dyDescent="0.25">
      <c r="B490" s="88"/>
      <c r="C490" s="17"/>
      <c r="D490" s="39"/>
      <c r="E490" s="84" t="s">
        <v>13</v>
      </c>
      <c r="F490" s="19"/>
      <c r="G490" s="18"/>
      <c r="H490" s="23"/>
    </row>
    <row r="491" spans="1:8" s="16" customFormat="1" x14ac:dyDescent="0.25">
      <c r="A491" s="4"/>
      <c r="B491" s="160" t="s">
        <v>93</v>
      </c>
      <c r="C491" s="12" t="s">
        <v>408</v>
      </c>
      <c r="D491" s="40"/>
      <c r="E491" s="13"/>
      <c r="F491" s="15"/>
      <c r="G491" s="27"/>
      <c r="H491" s="14"/>
    </row>
    <row r="492" spans="1:8" x14ac:dyDescent="0.25">
      <c r="B492" s="88" t="s">
        <v>15</v>
      </c>
      <c r="C492" s="134" t="s">
        <v>409</v>
      </c>
      <c r="D492" s="39"/>
      <c r="E492" s="84" t="s">
        <v>9</v>
      </c>
      <c r="F492" s="19"/>
      <c r="G492" s="25"/>
      <c r="H492" s="20" t="b">
        <f>IF(D494="x",H$2,H$1)</f>
        <v>0</v>
      </c>
    </row>
    <row r="493" spans="1:8" x14ac:dyDescent="0.25">
      <c r="B493" s="88" t="s">
        <v>15</v>
      </c>
      <c r="C493" s="135" t="s">
        <v>410</v>
      </c>
      <c r="D493" s="39"/>
      <c r="E493" s="84" t="s">
        <v>10</v>
      </c>
      <c r="F493" s="21" t="str">
        <f>IF(H494=1,IF(H492=H$2,H492,""),"")</f>
        <v/>
      </c>
      <c r="G493" s="25"/>
      <c r="H493" s="20" t="str">
        <f>IF(E$529="comprobar",COUNTIF(D492:D496,"x"),"")</f>
        <v/>
      </c>
    </row>
    <row r="494" spans="1:8" x14ac:dyDescent="0.25">
      <c r="B494" s="88" t="s">
        <v>15</v>
      </c>
      <c r="C494" s="135" t="s">
        <v>411</v>
      </c>
      <c r="D494" s="39"/>
      <c r="E494" s="84" t="s">
        <v>11</v>
      </c>
      <c r="F494" s="22" t="str">
        <f>IF(H494=-0.33,IF(H492=H$1,H492,""),"")</f>
        <v/>
      </c>
      <c r="G494" s="25"/>
      <c r="H494" s="23">
        <f t="shared" ref="H494" si="41">IF(H493=1,IF(H492=H$2,1,-0.33),0)</f>
        <v>0</v>
      </c>
    </row>
    <row r="495" spans="1:8" x14ac:dyDescent="0.25">
      <c r="B495" s="88" t="s">
        <v>15</v>
      </c>
      <c r="C495" s="135" t="s">
        <v>412</v>
      </c>
      <c r="D495" s="39"/>
      <c r="E495" s="84" t="s">
        <v>12</v>
      </c>
      <c r="F495" s="19"/>
      <c r="G495" s="25"/>
      <c r="H495" s="23"/>
    </row>
    <row r="496" spans="1:8" x14ac:dyDescent="0.25">
      <c r="B496" s="88"/>
      <c r="C496" s="17"/>
      <c r="D496" s="39"/>
      <c r="E496" s="84" t="s">
        <v>13</v>
      </c>
      <c r="F496" s="19"/>
      <c r="G496" s="18"/>
      <c r="H496" s="23"/>
    </row>
    <row r="497" spans="1:8" s="16" customFormat="1" x14ac:dyDescent="0.25">
      <c r="A497" s="4"/>
      <c r="B497" s="160" t="s">
        <v>99</v>
      </c>
      <c r="C497" s="137" t="s">
        <v>413</v>
      </c>
      <c r="D497" s="40"/>
      <c r="E497" s="13"/>
      <c r="F497" s="15"/>
      <c r="G497" s="27"/>
      <c r="H497" s="14"/>
    </row>
    <row r="498" spans="1:8" x14ac:dyDescent="0.25">
      <c r="B498" s="88" t="s">
        <v>15</v>
      </c>
      <c r="C498" s="134" t="s">
        <v>381</v>
      </c>
      <c r="D498" s="39"/>
      <c r="E498" s="84" t="s">
        <v>9</v>
      </c>
      <c r="F498" s="19"/>
      <c r="G498" s="25"/>
      <c r="H498" s="20" t="b">
        <f>IF(D498="x",H$2,H$1)</f>
        <v>0</v>
      </c>
    </row>
    <row r="499" spans="1:8" x14ac:dyDescent="0.25">
      <c r="B499" s="88" t="s">
        <v>15</v>
      </c>
      <c r="C499" s="135" t="s">
        <v>414</v>
      </c>
      <c r="D499" s="39"/>
      <c r="E499" s="84" t="s">
        <v>10</v>
      </c>
      <c r="F499" s="21" t="str">
        <f>IF(H500=1,IF(H498=H$2,H498,""),"")</f>
        <v/>
      </c>
      <c r="G499" s="25"/>
      <c r="H499" s="20" t="str">
        <f>IF(E$529="comprobar",COUNTIF(D498:D502,"x"),"")</f>
        <v/>
      </c>
    </row>
    <row r="500" spans="1:8" x14ac:dyDescent="0.25">
      <c r="B500" s="88" t="s">
        <v>15</v>
      </c>
      <c r="C500" s="135" t="s">
        <v>415</v>
      </c>
      <c r="D500" s="39"/>
      <c r="E500" s="84" t="s">
        <v>11</v>
      </c>
      <c r="F500" s="22" t="str">
        <f>IF(H500=-0.33,IF(H498=H$1,H498,""),"")</f>
        <v/>
      </c>
      <c r="G500" s="25"/>
      <c r="H500" s="23">
        <f t="shared" ref="H500" si="42">IF(H499=1,IF(H498=H$2,1,-0.33),0)</f>
        <v>0</v>
      </c>
    </row>
    <row r="501" spans="1:8" x14ac:dyDescent="0.25">
      <c r="B501" s="88" t="s">
        <v>15</v>
      </c>
      <c r="C501" s="135" t="s">
        <v>416</v>
      </c>
      <c r="D501" s="39"/>
      <c r="E501" s="84" t="s">
        <v>12</v>
      </c>
      <c r="F501" s="19"/>
      <c r="G501" s="25"/>
      <c r="H501" s="23"/>
    </row>
    <row r="502" spans="1:8" x14ac:dyDescent="0.25">
      <c r="B502" s="43"/>
      <c r="C502" s="17"/>
      <c r="D502" s="39"/>
      <c r="E502" s="84" t="s">
        <v>13</v>
      </c>
      <c r="F502" s="19"/>
      <c r="G502" s="18"/>
      <c r="H502" s="23"/>
    </row>
    <row r="503" spans="1:8" s="16" customFormat="1" x14ac:dyDescent="0.25">
      <c r="A503" s="4"/>
      <c r="B503" s="160" t="s">
        <v>105</v>
      </c>
      <c r="C503" s="137" t="s">
        <v>417</v>
      </c>
      <c r="D503" s="40"/>
      <c r="E503" s="13"/>
      <c r="F503" s="15"/>
      <c r="G503" s="27"/>
      <c r="H503" s="14"/>
    </row>
    <row r="504" spans="1:8" x14ac:dyDescent="0.25">
      <c r="B504" s="88" t="s">
        <v>15</v>
      </c>
      <c r="C504" s="134" t="s">
        <v>418</v>
      </c>
      <c r="D504" s="39"/>
      <c r="E504" s="84" t="s">
        <v>9</v>
      </c>
      <c r="F504" s="19"/>
      <c r="G504" s="25"/>
      <c r="H504" s="20" t="b">
        <f>IF(D506="x",H$2,H$1)</f>
        <v>0</v>
      </c>
    </row>
    <row r="505" spans="1:8" x14ac:dyDescent="0.25">
      <c r="B505" s="88" t="s">
        <v>15</v>
      </c>
      <c r="C505" s="135" t="s">
        <v>419</v>
      </c>
      <c r="D505" s="39"/>
      <c r="E505" s="84" t="s">
        <v>10</v>
      </c>
      <c r="F505" s="21" t="str">
        <f>IF(H506=1,IF(H504=H$2,H504,""),"")</f>
        <v/>
      </c>
      <c r="G505" s="25"/>
      <c r="H505" s="20" t="str">
        <f>IF(E$529="comprobar",COUNTIF(D504:D508,"x"),"")</f>
        <v/>
      </c>
    </row>
    <row r="506" spans="1:8" x14ac:dyDescent="0.25">
      <c r="B506" s="88" t="s">
        <v>15</v>
      </c>
      <c r="C506" s="135" t="s">
        <v>420</v>
      </c>
      <c r="D506" s="39"/>
      <c r="E506" s="84" t="s">
        <v>11</v>
      </c>
      <c r="F506" s="22" t="str">
        <f>IF(H506=-0.33,IF(H504=H$1,H504,""),"")</f>
        <v/>
      </c>
      <c r="G506" s="25"/>
      <c r="H506" s="23">
        <f t="shared" ref="H506" si="43">IF(H505=1,IF(H504=H$2,1,-0.33),0)</f>
        <v>0</v>
      </c>
    </row>
    <row r="507" spans="1:8" x14ac:dyDescent="0.25">
      <c r="B507" s="88" t="s">
        <v>15</v>
      </c>
      <c r="C507" s="134" t="s">
        <v>421</v>
      </c>
      <c r="D507" s="39"/>
      <c r="E507" s="84" t="s">
        <v>12</v>
      </c>
      <c r="F507" s="19"/>
      <c r="G507" s="25"/>
      <c r="H507" s="23"/>
    </row>
    <row r="508" spans="1:8" x14ac:dyDescent="0.25">
      <c r="B508" s="43"/>
      <c r="C508" s="135"/>
      <c r="D508" s="39"/>
      <c r="E508" s="84" t="s">
        <v>13</v>
      </c>
      <c r="F508" s="19"/>
      <c r="G508" s="18"/>
      <c r="H508" s="23"/>
    </row>
    <row r="509" spans="1:8" s="16" customFormat="1" x14ac:dyDescent="0.25">
      <c r="A509" s="4"/>
      <c r="B509" s="160" t="s">
        <v>106</v>
      </c>
      <c r="C509" s="137" t="s">
        <v>422</v>
      </c>
      <c r="D509" s="40"/>
      <c r="E509" s="13"/>
      <c r="F509" s="15"/>
      <c r="G509" s="27"/>
      <c r="H509" s="14"/>
    </row>
    <row r="510" spans="1:8" x14ac:dyDescent="0.25">
      <c r="B510" s="88" t="s">
        <v>15</v>
      </c>
      <c r="C510" s="134" t="s">
        <v>423</v>
      </c>
      <c r="D510" s="39"/>
      <c r="E510" s="84" t="s">
        <v>9</v>
      </c>
      <c r="F510" s="19"/>
      <c r="G510" s="25"/>
      <c r="H510" s="20" t="b">
        <f>IF(D512="x",H$2,H$1)</f>
        <v>0</v>
      </c>
    </row>
    <row r="511" spans="1:8" x14ac:dyDescent="0.25">
      <c r="B511" s="88" t="s">
        <v>15</v>
      </c>
      <c r="C511" s="134" t="s">
        <v>424</v>
      </c>
      <c r="D511" s="39"/>
      <c r="E511" s="84" t="s">
        <v>10</v>
      </c>
      <c r="F511" s="21" t="str">
        <f>IF(H512=1,IF(H510=H$2,H510,""),"")</f>
        <v/>
      </c>
      <c r="G511" s="25"/>
      <c r="H511" s="20" t="str">
        <f>IF(E$529="comprobar",COUNTIF(D510:D514,"x"),"")</f>
        <v/>
      </c>
    </row>
    <row r="512" spans="1:8" x14ac:dyDescent="0.25">
      <c r="B512" s="88" t="s">
        <v>15</v>
      </c>
      <c r="C512" s="134" t="s">
        <v>425</v>
      </c>
      <c r="D512" s="39"/>
      <c r="E512" s="84" t="s">
        <v>11</v>
      </c>
      <c r="F512" s="22" t="str">
        <f>IF(H512=-0.33,IF(H510=H$1,H510,""),"")</f>
        <v/>
      </c>
      <c r="G512" s="25"/>
      <c r="H512" s="23">
        <f t="shared" ref="H512" si="44">IF(H511=1,IF(H510=H$2,1,-0.33),0)</f>
        <v>0</v>
      </c>
    </row>
    <row r="513" spans="2:8" x14ac:dyDescent="0.25">
      <c r="B513" s="88" t="s">
        <v>15</v>
      </c>
      <c r="C513" s="134" t="s">
        <v>426</v>
      </c>
      <c r="D513" s="39"/>
      <c r="E513" s="84" t="s">
        <v>12</v>
      </c>
      <c r="F513" s="19"/>
      <c r="G513" s="25"/>
      <c r="H513" s="23"/>
    </row>
    <row r="514" spans="2:8" x14ac:dyDescent="0.25">
      <c r="B514" s="118"/>
      <c r="C514" s="17"/>
      <c r="D514" s="39"/>
      <c r="E514" s="84" t="s">
        <v>13</v>
      </c>
      <c r="F514" s="19"/>
      <c r="G514" s="18"/>
      <c r="H514" s="23"/>
    </row>
    <row r="515" spans="2:8" x14ac:dyDescent="0.25">
      <c r="B515" s="118"/>
      <c r="C515" s="17"/>
      <c r="D515" s="49"/>
      <c r="E515" s="159"/>
      <c r="F515" s="19"/>
      <c r="G515" s="18"/>
      <c r="H515" s="23"/>
    </row>
    <row r="516" spans="2:8" x14ac:dyDescent="0.25">
      <c r="B516" s="160" t="s">
        <v>218</v>
      </c>
      <c r="C516" s="137" t="s">
        <v>427</v>
      </c>
      <c r="D516" s="40"/>
      <c r="E516" s="13"/>
      <c r="F516" s="15"/>
      <c r="G516" s="27"/>
      <c r="H516" s="14"/>
    </row>
    <row r="517" spans="2:8" x14ac:dyDescent="0.25">
      <c r="B517" s="88" t="s">
        <v>15</v>
      </c>
      <c r="C517" s="134" t="s">
        <v>428</v>
      </c>
      <c r="D517" s="39"/>
      <c r="E517" s="159" t="s">
        <v>9</v>
      </c>
      <c r="F517" s="19"/>
      <c r="G517" s="25"/>
      <c r="H517" s="20" t="b">
        <f>IF(D517="x",H$2,H$1)</f>
        <v>0</v>
      </c>
    </row>
    <row r="518" spans="2:8" x14ac:dyDescent="0.25">
      <c r="B518" s="88" t="s">
        <v>15</v>
      </c>
      <c r="C518" s="134" t="s">
        <v>429</v>
      </c>
      <c r="D518" s="39"/>
      <c r="E518" s="159" t="s">
        <v>10</v>
      </c>
      <c r="F518" s="21" t="str">
        <f>IF(H519=1,IF(H517=H$2,H517,""),"")</f>
        <v/>
      </c>
      <c r="G518" s="25"/>
      <c r="H518" s="20" t="str">
        <f>IF(E$529="comprobar",COUNTIF(D517:D521,"x"),"")</f>
        <v/>
      </c>
    </row>
    <row r="519" spans="2:8" x14ac:dyDescent="0.25">
      <c r="B519" s="88" t="s">
        <v>15</v>
      </c>
      <c r="C519" s="134" t="s">
        <v>430</v>
      </c>
      <c r="D519" s="39"/>
      <c r="E519" s="159" t="s">
        <v>11</v>
      </c>
      <c r="F519" s="22" t="str">
        <f>IF(H519=-0.33,IF(H517=H$1,H517,""),"")</f>
        <v/>
      </c>
      <c r="G519" s="25"/>
      <c r="H519" s="23">
        <f t="shared" ref="H519" si="45">IF(H518=1,IF(H517=H$2,1,-0.33),0)</f>
        <v>0</v>
      </c>
    </row>
    <row r="520" spans="2:8" x14ac:dyDescent="0.25">
      <c r="B520" s="88" t="s">
        <v>15</v>
      </c>
      <c r="C520" s="134" t="s">
        <v>431</v>
      </c>
      <c r="D520" s="39"/>
      <c r="E520" s="159" t="s">
        <v>12</v>
      </c>
      <c r="F520" s="19"/>
      <c r="G520" s="25"/>
      <c r="H520" s="23"/>
    </row>
    <row r="521" spans="2:8" x14ac:dyDescent="0.25">
      <c r="B521" s="118"/>
      <c r="C521" s="17"/>
      <c r="D521" s="39"/>
      <c r="E521" s="159" t="s">
        <v>13</v>
      </c>
      <c r="F521" s="19"/>
      <c r="G521" s="18"/>
      <c r="H521" s="23"/>
    </row>
    <row r="522" spans="2:8" x14ac:dyDescent="0.25">
      <c r="B522" s="118"/>
      <c r="C522" s="17"/>
      <c r="D522" s="49"/>
      <c r="E522" s="159"/>
      <c r="F522" s="19"/>
      <c r="G522" s="18"/>
      <c r="H522" s="23"/>
    </row>
    <row r="523" spans="2:8" x14ac:dyDescent="0.25">
      <c r="B523" s="160" t="s">
        <v>175</v>
      </c>
      <c r="C523" s="137" t="s">
        <v>432</v>
      </c>
      <c r="D523" s="40"/>
      <c r="E523" s="13"/>
      <c r="F523" s="15"/>
      <c r="G523" s="27"/>
      <c r="H523" s="14"/>
    </row>
    <row r="524" spans="2:8" x14ac:dyDescent="0.25">
      <c r="B524" s="88" t="s">
        <v>15</v>
      </c>
      <c r="C524" s="134" t="s">
        <v>433</v>
      </c>
      <c r="D524" s="39"/>
      <c r="E524" s="159" t="s">
        <v>9</v>
      </c>
      <c r="F524" s="19"/>
      <c r="G524" s="25"/>
      <c r="H524" s="20" t="b">
        <f>IF(D526="x",H$2,H$1)</f>
        <v>0</v>
      </c>
    </row>
    <row r="525" spans="2:8" x14ac:dyDescent="0.25">
      <c r="B525" s="88" t="s">
        <v>15</v>
      </c>
      <c r="C525" s="134" t="s">
        <v>434</v>
      </c>
      <c r="D525" s="39"/>
      <c r="E525" s="159" t="s">
        <v>10</v>
      </c>
      <c r="F525" s="21" t="str">
        <f>IF(H526=1,IF(H524=H$2,H524,""),"")</f>
        <v/>
      </c>
      <c r="G525" s="25"/>
      <c r="H525" s="20" t="str">
        <f>IF(E$529="comprobar",COUNTIF(D524:D528,"x"),"")</f>
        <v/>
      </c>
    </row>
    <row r="526" spans="2:8" x14ac:dyDescent="0.25">
      <c r="B526" s="88" t="s">
        <v>15</v>
      </c>
      <c r="C526" s="134" t="s">
        <v>435</v>
      </c>
      <c r="D526" s="39"/>
      <c r="E526" s="159" t="s">
        <v>11</v>
      </c>
      <c r="F526" s="22" t="str">
        <f>IF(H526=-0.33,IF(H524=H$1,H524,""),"")</f>
        <v/>
      </c>
      <c r="G526" s="25"/>
      <c r="H526" s="23">
        <f t="shared" ref="H526" si="46">IF(H525=1,IF(H524=H$2,1,-0.33),0)</f>
        <v>0</v>
      </c>
    </row>
    <row r="527" spans="2:8" x14ac:dyDescent="0.25">
      <c r="B527" s="88" t="s">
        <v>15</v>
      </c>
      <c r="C527" s="134" t="s">
        <v>436</v>
      </c>
      <c r="D527" s="39"/>
      <c r="E527" s="159" t="s">
        <v>12</v>
      </c>
      <c r="F527" s="19"/>
      <c r="G527" s="25"/>
      <c r="H527" s="23"/>
    </row>
    <row r="528" spans="2:8" x14ac:dyDescent="0.25">
      <c r="B528" s="118"/>
      <c r="C528" s="17"/>
      <c r="D528" s="39"/>
      <c r="E528" s="159" t="s">
        <v>13</v>
      </c>
      <c r="F528" s="19"/>
      <c r="G528" s="18"/>
      <c r="H528" s="23"/>
    </row>
    <row r="529" spans="1:8" x14ac:dyDescent="0.25">
      <c r="B529" s="118"/>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69"/>
      <c r="E531" s="169"/>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18</v>
      </c>
      <c r="C533" s="85" t="s">
        <v>437</v>
      </c>
      <c r="D533" s="85"/>
      <c r="E533" s="85"/>
      <c r="F533" s="86"/>
    </row>
    <row r="534" spans="1:8" s="16" customFormat="1" ht="31.5" x14ac:dyDescent="0.25">
      <c r="A534" s="4"/>
      <c r="B534" s="162" t="s">
        <v>75</v>
      </c>
      <c r="C534" s="132" t="s">
        <v>438</v>
      </c>
      <c r="D534" s="13"/>
      <c r="E534" s="13"/>
      <c r="F534" s="15"/>
      <c r="G534" s="146"/>
      <c r="H534" s="14"/>
    </row>
    <row r="535" spans="1:8" x14ac:dyDescent="0.25">
      <c r="B535" s="88" t="s">
        <v>15</v>
      </c>
      <c r="C535" s="134" t="s">
        <v>439</v>
      </c>
      <c r="D535" s="39"/>
      <c r="E535" s="84" t="s">
        <v>9</v>
      </c>
      <c r="F535" s="19"/>
      <c r="G535" s="25"/>
      <c r="H535" s="20" t="b">
        <f>IF(D538="x",H$2,H$1)</f>
        <v>0</v>
      </c>
    </row>
    <row r="536" spans="1:8" x14ac:dyDescent="0.25">
      <c r="B536" s="88" t="s">
        <v>15</v>
      </c>
      <c r="C536" t="s">
        <v>440</v>
      </c>
      <c r="D536" s="39"/>
      <c r="E536" s="84" t="s">
        <v>10</v>
      </c>
      <c r="F536" s="21" t="str">
        <f>IF(H537=1,IF(H535=H$2,H535,""),"")</f>
        <v/>
      </c>
      <c r="G536" s="25"/>
      <c r="H536" s="20">
        <f>IF(E$594="comprobar",COUNTIF(D535:D539,"x"),"")</f>
        <v>0</v>
      </c>
    </row>
    <row r="537" spans="1:8" x14ac:dyDescent="0.25">
      <c r="B537" s="88" t="s">
        <v>15</v>
      </c>
      <c r="C537" s="135" t="s">
        <v>441</v>
      </c>
      <c r="D537" s="39"/>
      <c r="E537" s="84" t="s">
        <v>11</v>
      </c>
      <c r="F537" s="22" t="str">
        <f>IF(H537=-0.33,IF(H535=H$1,H535,""),"")</f>
        <v/>
      </c>
      <c r="G537" s="25"/>
      <c r="H537" s="23">
        <f>IF(H536=1,IF(H535=H$2,1,-0.33),0)</f>
        <v>0</v>
      </c>
    </row>
    <row r="538" spans="1:8" x14ac:dyDescent="0.25">
      <c r="B538" s="88" t="s">
        <v>15</v>
      </c>
      <c r="C538" s="135" t="s">
        <v>442</v>
      </c>
      <c r="D538" s="39"/>
      <c r="E538" s="84" t="s">
        <v>12</v>
      </c>
      <c r="F538" s="19"/>
      <c r="G538" s="25"/>
      <c r="H538" s="23"/>
    </row>
    <row r="539" spans="1:8" x14ac:dyDescent="0.25">
      <c r="B539" s="133"/>
      <c r="C539" s="17"/>
      <c r="D539" s="39"/>
      <c r="E539" s="84" t="s">
        <v>13</v>
      </c>
      <c r="F539" s="19"/>
      <c r="G539" s="18"/>
      <c r="H539" s="23"/>
    </row>
    <row r="540" spans="1:8" s="16" customFormat="1" x14ac:dyDescent="0.25">
      <c r="A540" s="4"/>
      <c r="B540" s="131" t="s">
        <v>73</v>
      </c>
      <c r="C540" s="163" t="s">
        <v>443</v>
      </c>
      <c r="D540" s="40"/>
      <c r="E540" s="13"/>
      <c r="F540" s="15"/>
      <c r="G540" s="146"/>
      <c r="H540" s="14"/>
    </row>
    <row r="541" spans="1:8" x14ac:dyDescent="0.25">
      <c r="B541" s="88" t="s">
        <v>15</v>
      </c>
      <c r="C541" s="134" t="s">
        <v>444</v>
      </c>
      <c r="D541" s="39"/>
      <c r="E541" s="84" t="s">
        <v>9</v>
      </c>
      <c r="F541" s="19"/>
      <c r="G541" s="25"/>
      <c r="H541" s="20" t="b">
        <f>IF(D542="x",H$2,H$1)</f>
        <v>0</v>
      </c>
    </row>
    <row r="542" spans="1:8" x14ac:dyDescent="0.25">
      <c r="B542" s="88" t="s">
        <v>15</v>
      </c>
      <c r="C542" s="135" t="s">
        <v>445</v>
      </c>
      <c r="D542" s="39"/>
      <c r="E542" s="84" t="s">
        <v>10</v>
      </c>
      <c r="F542" s="21" t="str">
        <f>IF(H543=1,IF(H541=H$2,H541,""),"")</f>
        <v/>
      </c>
      <c r="G542" s="25"/>
      <c r="H542" s="20">
        <f>IF(E$594="comprobar",COUNTIF(D541:D545,"x"),"")</f>
        <v>0</v>
      </c>
    </row>
    <row r="543" spans="1:8" x14ac:dyDescent="0.25">
      <c r="B543" s="88" t="s">
        <v>15</v>
      </c>
      <c r="C543" s="135" t="s">
        <v>446</v>
      </c>
      <c r="D543" s="39"/>
      <c r="E543" s="84" t="s">
        <v>11</v>
      </c>
      <c r="F543" s="22" t="str">
        <f>IF(H543=-0.33,IF(H541=H$1,H541,""),"")</f>
        <v/>
      </c>
      <c r="G543" s="25"/>
      <c r="H543" s="23">
        <f t="shared" ref="H543" si="47">IF(H542=1,IF(H541=H$2,1,-0.33),0)</f>
        <v>0</v>
      </c>
    </row>
    <row r="544" spans="1:8" x14ac:dyDescent="0.25">
      <c r="B544" s="88" t="s">
        <v>15</v>
      </c>
      <c r="C544" s="135" t="s">
        <v>447</v>
      </c>
      <c r="D544" s="39"/>
      <c r="E544" s="84" t="s">
        <v>12</v>
      </c>
      <c r="F544" s="19"/>
      <c r="G544" s="25"/>
      <c r="H544" s="23"/>
    </row>
    <row r="545" spans="1:8" x14ac:dyDescent="0.25">
      <c r="B545" s="133"/>
      <c r="C545" s="17"/>
      <c r="D545" s="39"/>
      <c r="E545" s="84" t="s">
        <v>13</v>
      </c>
      <c r="F545" s="19"/>
      <c r="G545" s="18"/>
      <c r="H545" s="23"/>
    </row>
    <row r="546" spans="1:8" s="16" customFormat="1" x14ac:dyDescent="0.25">
      <c r="A546" s="4"/>
      <c r="B546" s="131" t="s">
        <v>81</v>
      </c>
      <c r="C546" s="164" t="s">
        <v>448</v>
      </c>
      <c r="D546" s="40"/>
      <c r="E546" s="13"/>
      <c r="F546" s="15"/>
      <c r="G546" s="27"/>
      <c r="H546" s="14"/>
    </row>
    <row r="547" spans="1:8" x14ac:dyDescent="0.25">
      <c r="B547" s="88" t="s">
        <v>15</v>
      </c>
      <c r="C547" s="134" t="s">
        <v>449</v>
      </c>
      <c r="D547" s="39"/>
      <c r="E547" s="84" t="s">
        <v>9</v>
      </c>
      <c r="F547" s="19"/>
      <c r="G547" s="25"/>
      <c r="H547" s="20" t="b">
        <f>IF(D547="x",H$2,H$1)</f>
        <v>0</v>
      </c>
    </row>
    <row r="548" spans="1:8" x14ac:dyDescent="0.25">
      <c r="B548" s="88" t="s">
        <v>15</v>
      </c>
      <c r="C548" s="135" t="s">
        <v>450</v>
      </c>
      <c r="D548" s="39"/>
      <c r="E548" s="84" t="s">
        <v>10</v>
      </c>
      <c r="F548" s="21" t="str">
        <f>IF(H549=1,IF(H547=H$2,H547,""),"")</f>
        <v/>
      </c>
      <c r="G548" s="25"/>
      <c r="H548" s="20">
        <f>IF(E$594="comprobar",COUNTIF(D547:D551,"x"),"")</f>
        <v>0</v>
      </c>
    </row>
    <row r="549" spans="1:8" x14ac:dyDescent="0.25">
      <c r="B549" s="88" t="s">
        <v>15</v>
      </c>
      <c r="C549" s="135" t="s">
        <v>451</v>
      </c>
      <c r="D549" s="39"/>
      <c r="E549" s="84" t="s">
        <v>11</v>
      </c>
      <c r="F549" s="22" t="str">
        <f>IF(H549=-0.33,IF(H547=H$1,H547,""),"")</f>
        <v/>
      </c>
      <c r="G549" s="25"/>
      <c r="H549" s="23">
        <f t="shared" ref="H549" si="48">IF(H548=1,IF(H547=H$2,1,-0.33),0)</f>
        <v>0</v>
      </c>
    </row>
    <row r="550" spans="1:8" x14ac:dyDescent="0.25">
      <c r="B550" s="88" t="s">
        <v>15</v>
      </c>
      <c r="C550" s="135" t="s">
        <v>452</v>
      </c>
      <c r="D550" s="39"/>
      <c r="E550" s="84" t="s">
        <v>12</v>
      </c>
      <c r="F550" s="19"/>
      <c r="G550" s="25"/>
      <c r="H550" s="23"/>
    </row>
    <row r="551" spans="1:8" x14ac:dyDescent="0.25">
      <c r="B551" s="133"/>
      <c r="C551" s="17"/>
      <c r="D551" s="39"/>
      <c r="E551" s="84" t="s">
        <v>13</v>
      </c>
      <c r="F551" s="19"/>
      <c r="G551" s="18"/>
      <c r="H551" s="23"/>
    </row>
    <row r="552" spans="1:8" s="16" customFormat="1" x14ac:dyDescent="0.25">
      <c r="A552" s="4"/>
      <c r="B552" s="131" t="s">
        <v>87</v>
      </c>
      <c r="C552" s="12" t="s">
        <v>453</v>
      </c>
      <c r="D552" s="40"/>
      <c r="E552" s="13"/>
      <c r="F552" s="15"/>
      <c r="G552" s="27"/>
      <c r="H552" s="14"/>
    </row>
    <row r="553" spans="1:8" x14ac:dyDescent="0.25">
      <c r="B553" s="88" t="s">
        <v>15</v>
      </c>
      <c r="C553" s="134" t="s">
        <v>454</v>
      </c>
      <c r="D553" s="39"/>
      <c r="E553" s="84" t="s">
        <v>9</v>
      </c>
      <c r="F553" s="19"/>
      <c r="G553" s="25"/>
      <c r="H553" s="20" t="b">
        <f>IF(D555="x",H$2,H$1)</f>
        <v>0</v>
      </c>
    </row>
    <row r="554" spans="1:8" x14ac:dyDescent="0.25">
      <c r="B554" s="88" t="s">
        <v>15</v>
      </c>
      <c r="C554" s="135" t="s">
        <v>455</v>
      </c>
      <c r="D554" s="39"/>
      <c r="E554" s="84" t="s">
        <v>10</v>
      </c>
      <c r="F554" s="21" t="str">
        <f>IF(H555=1,IF(H553=H$2,H553,""),"")</f>
        <v/>
      </c>
      <c r="G554" s="25"/>
      <c r="H554" s="20">
        <f>IF(E$594="comprobar",COUNTIF(D553:D557,"x"),"")</f>
        <v>0</v>
      </c>
    </row>
    <row r="555" spans="1:8" x14ac:dyDescent="0.25">
      <c r="B555" s="88" t="s">
        <v>15</v>
      </c>
      <c r="C555" s="135" t="s">
        <v>456</v>
      </c>
      <c r="D555" s="39"/>
      <c r="E555" s="84" t="s">
        <v>11</v>
      </c>
      <c r="F555" s="22" t="str">
        <f>IF(H555=-0.33,IF(H553=H$1,H553,""),"")</f>
        <v/>
      </c>
      <c r="G555" s="25"/>
      <c r="H555" s="23">
        <f t="shared" ref="H555" si="49">IF(H554=1,IF(H553=H$2,1,-0.33),0)</f>
        <v>0</v>
      </c>
    </row>
    <row r="556" spans="1:8" x14ac:dyDescent="0.25">
      <c r="B556" s="88" t="s">
        <v>15</v>
      </c>
      <c r="C556" s="165">
        <v>192168100216</v>
      </c>
      <c r="D556" s="39"/>
      <c r="E556" s="84" t="s">
        <v>12</v>
      </c>
      <c r="F556" s="19"/>
      <c r="G556" s="25"/>
      <c r="H556" s="23"/>
    </row>
    <row r="557" spans="1:8" x14ac:dyDescent="0.25">
      <c r="B557" s="133"/>
      <c r="C557" s="17"/>
      <c r="D557" s="39"/>
      <c r="E557" s="84" t="s">
        <v>13</v>
      </c>
      <c r="F557" s="19"/>
      <c r="G557" s="18"/>
      <c r="H557" s="23"/>
    </row>
    <row r="558" spans="1:8" s="16" customFormat="1" x14ac:dyDescent="0.25">
      <c r="A558" s="4"/>
      <c r="B558" s="131" t="s">
        <v>93</v>
      </c>
      <c r="C558" s="137" t="s">
        <v>457</v>
      </c>
      <c r="D558" s="40"/>
      <c r="E558" s="13"/>
      <c r="F558" s="15"/>
      <c r="G558" s="27"/>
      <c r="H558" s="14"/>
    </row>
    <row r="559" spans="1:8" x14ac:dyDescent="0.25">
      <c r="B559" s="88" t="s">
        <v>15</v>
      </c>
      <c r="C559" s="134" t="s">
        <v>458</v>
      </c>
      <c r="D559" s="39"/>
      <c r="E559" s="84" t="s">
        <v>9</v>
      </c>
      <c r="F559" s="19"/>
      <c r="G559" s="25"/>
      <c r="H559" s="20" t="str">
        <f>IF(D561="x",H$2,H$1)</f>
        <v>CORRECTO</v>
      </c>
    </row>
    <row r="560" spans="1:8" x14ac:dyDescent="0.25">
      <c r="B560" s="88" t="s">
        <v>15</v>
      </c>
      <c r="C560" s="135" t="s">
        <v>459</v>
      </c>
      <c r="D560" s="39"/>
      <c r="E560" s="84" t="s">
        <v>10</v>
      </c>
      <c r="F560" s="21" t="str">
        <f>IF(H561=1,IF(H559=H$2,H559,""),"")</f>
        <v>CORRECTO</v>
      </c>
      <c r="G560" s="25"/>
      <c r="H560" s="20">
        <f>IF(E$594="comprobar",COUNTIF(D559:D563,"x"),"")</f>
        <v>1</v>
      </c>
    </row>
    <row r="561" spans="1:8" x14ac:dyDescent="0.25">
      <c r="B561" s="88" t="s">
        <v>15</v>
      </c>
      <c r="C561" s="135" t="s">
        <v>460</v>
      </c>
      <c r="D561" s="39" t="s">
        <v>534</v>
      </c>
      <c r="E561" s="84" t="s">
        <v>11</v>
      </c>
      <c r="F561" s="22" t="str">
        <f>IF(H561=-0.33,IF(H559=H$1,H559,""),"")</f>
        <v/>
      </c>
      <c r="G561" s="25"/>
      <c r="H561" s="23">
        <f t="shared" ref="H561" si="50">IF(H560=1,IF(H559=H$2,1,-0.33),0)</f>
        <v>1</v>
      </c>
    </row>
    <row r="562" spans="1:8" x14ac:dyDescent="0.25">
      <c r="B562" s="88" t="s">
        <v>15</v>
      </c>
      <c r="C562" s="135" t="s">
        <v>461</v>
      </c>
      <c r="D562" s="39"/>
      <c r="E562" s="84" t="s">
        <v>12</v>
      </c>
      <c r="F562" s="19"/>
      <c r="G562" s="25"/>
      <c r="H562" s="23"/>
    </row>
    <row r="563" spans="1:8" x14ac:dyDescent="0.25">
      <c r="B563" s="133"/>
      <c r="C563" s="17"/>
      <c r="D563" s="39"/>
      <c r="E563" s="84" t="s">
        <v>13</v>
      </c>
      <c r="F563" s="19"/>
      <c r="G563" s="18"/>
      <c r="H563" s="23"/>
    </row>
    <row r="564" spans="1:8" s="16" customFormat="1" x14ac:dyDescent="0.25">
      <c r="A564" s="4"/>
      <c r="B564" s="131" t="s">
        <v>99</v>
      </c>
      <c r="C564" s="164" t="s">
        <v>462</v>
      </c>
      <c r="D564" s="40"/>
      <c r="E564" s="13"/>
      <c r="F564" s="15"/>
      <c r="G564" s="27"/>
      <c r="H564" s="14"/>
    </row>
    <row r="565" spans="1:8" x14ac:dyDescent="0.25">
      <c r="B565" s="88" t="s">
        <v>15</v>
      </c>
      <c r="C565" s="134" t="s">
        <v>463</v>
      </c>
      <c r="D565" s="39" t="s">
        <v>534</v>
      </c>
      <c r="E565" s="84" t="s">
        <v>9</v>
      </c>
      <c r="F565" s="19"/>
      <c r="G565" s="25"/>
      <c r="H565" s="20" t="str">
        <f>IF(D565="x",H$2,H$1)</f>
        <v>CORRECTO</v>
      </c>
    </row>
    <row r="566" spans="1:8" x14ac:dyDescent="0.25">
      <c r="B566" s="88" t="s">
        <v>15</v>
      </c>
      <c r="C566" s="135" t="s">
        <v>464</v>
      </c>
      <c r="D566" s="39"/>
      <c r="E566" s="84" t="s">
        <v>10</v>
      </c>
      <c r="F566" s="21" t="str">
        <f>IF(H567=1,IF(H565=H$2,H565,""),"")</f>
        <v>CORRECTO</v>
      </c>
      <c r="G566" s="25"/>
      <c r="H566" s="20">
        <f>IF(E$594="comprobar",COUNTIF(D565:D569,"x"),"")</f>
        <v>1</v>
      </c>
    </row>
    <row r="567" spans="1:8" x14ac:dyDescent="0.25">
      <c r="B567" s="88" t="s">
        <v>15</v>
      </c>
      <c r="C567" s="135" t="s">
        <v>465</v>
      </c>
      <c r="D567" s="39"/>
      <c r="E567" s="84" t="s">
        <v>11</v>
      </c>
      <c r="F567" s="22" t="str">
        <f>IF(H567=-0.33,IF(H565=H$1,H565,""),"")</f>
        <v/>
      </c>
      <c r="G567" s="25"/>
      <c r="H567" s="23">
        <f t="shared" ref="H567" si="51">IF(H566=1,IF(H565=H$2,1,-0.33),0)</f>
        <v>1</v>
      </c>
    </row>
    <row r="568" spans="1:8" x14ac:dyDescent="0.25">
      <c r="B568" s="88" t="s">
        <v>15</v>
      </c>
      <c r="C568" s="135" t="s">
        <v>466</v>
      </c>
      <c r="D568" s="39"/>
      <c r="E568" s="84" t="s">
        <v>12</v>
      </c>
      <c r="F568" s="19"/>
      <c r="G568" s="25"/>
      <c r="H568" s="23"/>
    </row>
    <row r="569" spans="1:8" x14ac:dyDescent="0.25">
      <c r="B569" s="133"/>
      <c r="C569" s="17"/>
      <c r="D569" s="39"/>
      <c r="E569" s="84" t="s">
        <v>13</v>
      </c>
      <c r="F569" s="19"/>
      <c r="G569" s="18"/>
      <c r="H569" s="23"/>
    </row>
    <row r="570" spans="1:8" s="16" customFormat="1" x14ac:dyDescent="0.25">
      <c r="A570" s="4"/>
      <c r="B570" s="131" t="s">
        <v>105</v>
      </c>
      <c r="C570" s="163" t="s">
        <v>467</v>
      </c>
      <c r="D570" s="40"/>
      <c r="E570" s="13"/>
      <c r="F570" s="15"/>
      <c r="G570" s="27"/>
      <c r="H570" s="14"/>
    </row>
    <row r="571" spans="1:8" x14ac:dyDescent="0.25">
      <c r="B571" s="88" t="s">
        <v>15</v>
      </c>
      <c r="C571" s="134" t="s">
        <v>469</v>
      </c>
      <c r="D571" s="39"/>
      <c r="E571" s="84" t="s">
        <v>9</v>
      </c>
      <c r="F571" s="19"/>
      <c r="G571" s="25"/>
      <c r="H571" s="20" t="str">
        <f>IF(D574="x",H$2,H$1)</f>
        <v>CORRECTO</v>
      </c>
    </row>
    <row r="572" spans="1:8" x14ac:dyDescent="0.25">
      <c r="B572" s="88" t="s">
        <v>15</v>
      </c>
      <c r="C572" s="135" t="s">
        <v>470</v>
      </c>
      <c r="D572" s="39"/>
      <c r="E572" s="84" t="s">
        <v>10</v>
      </c>
      <c r="F572" s="21" t="str">
        <f>IF(H573=1,IF(H571=H$2,H571,""),"")</f>
        <v>CORRECTO</v>
      </c>
      <c r="G572" s="25"/>
      <c r="H572" s="20">
        <f>IF(E$594="comprobar",COUNTIF(D571:D575,"x"),"")</f>
        <v>1</v>
      </c>
    </row>
    <row r="573" spans="1:8" x14ac:dyDescent="0.25">
      <c r="B573" s="88" t="s">
        <v>15</v>
      </c>
      <c r="C573" s="135" t="s">
        <v>471</v>
      </c>
      <c r="D573" s="39"/>
      <c r="E573" s="84" t="s">
        <v>11</v>
      </c>
      <c r="F573" s="22" t="str">
        <f>IF(H573=-0.33,IF(H571=H$1,H571,""),"")</f>
        <v/>
      </c>
      <c r="G573" s="25"/>
      <c r="H573" s="23">
        <f t="shared" ref="H573" si="52">IF(H572=1,IF(H571=H$2,1,-0.33),0)</f>
        <v>1</v>
      </c>
    </row>
    <row r="574" spans="1:8" x14ac:dyDescent="0.25">
      <c r="B574" s="88" t="s">
        <v>15</v>
      </c>
      <c r="C574" s="135" t="s">
        <v>468</v>
      </c>
      <c r="D574" s="39" t="s">
        <v>534</v>
      </c>
      <c r="E574" s="84" t="s">
        <v>12</v>
      </c>
      <c r="F574" s="19"/>
      <c r="G574" s="25"/>
      <c r="H574" s="23"/>
    </row>
    <row r="575" spans="1:8" x14ac:dyDescent="0.25">
      <c r="B575" s="133"/>
      <c r="C575" s="17"/>
      <c r="D575" s="39"/>
      <c r="E575" s="84" t="s">
        <v>13</v>
      </c>
      <c r="F575" s="19"/>
      <c r="G575" s="18"/>
      <c r="H575" s="23"/>
    </row>
    <row r="576" spans="1:8" s="16" customFormat="1" ht="47.25" x14ac:dyDescent="0.25">
      <c r="A576" s="4"/>
      <c r="B576" s="131" t="s">
        <v>106</v>
      </c>
      <c r="C576" s="132" t="s">
        <v>472</v>
      </c>
      <c r="D576" s="40"/>
      <c r="E576" s="13"/>
      <c r="F576" s="15"/>
      <c r="G576" s="27"/>
      <c r="H576" s="14"/>
    </row>
    <row r="577" spans="2:9" x14ac:dyDescent="0.25">
      <c r="B577" s="88" t="s">
        <v>15</v>
      </c>
      <c r="C577" s="134" t="s">
        <v>473</v>
      </c>
      <c r="D577" s="39"/>
      <c r="E577" s="84" t="s">
        <v>9</v>
      </c>
      <c r="F577" s="19"/>
      <c r="G577" s="25"/>
      <c r="H577" s="20" t="b">
        <f>IF(D580="x",H$2,H$1)</f>
        <v>0</v>
      </c>
    </row>
    <row r="578" spans="2:9" x14ac:dyDescent="0.25">
      <c r="B578" s="88" t="s">
        <v>15</v>
      </c>
      <c r="C578" s="135" t="s">
        <v>474</v>
      </c>
      <c r="D578" s="39"/>
      <c r="E578" s="84" t="s">
        <v>10</v>
      </c>
      <c r="F578" s="21" t="str">
        <f>IF(H579=1,IF(H577=H$2,H577,""),"")</f>
        <v/>
      </c>
      <c r="G578" s="25"/>
      <c r="H578" s="20">
        <f>IF(E$594="comprobar",COUNTIF(D577:D581,"x"),"")</f>
        <v>0</v>
      </c>
    </row>
    <row r="579" spans="2:9" x14ac:dyDescent="0.25">
      <c r="B579" s="88" t="s">
        <v>15</v>
      </c>
      <c r="C579" s="135" t="s">
        <v>475</v>
      </c>
      <c r="D579" s="39"/>
      <c r="E579" s="84" t="s">
        <v>11</v>
      </c>
      <c r="F579" s="22" t="str">
        <f>IF(H579=-0.33,IF(H577=H$1,H577,""),"")</f>
        <v/>
      </c>
      <c r="G579" s="25"/>
      <c r="H579" s="23">
        <f t="shared" ref="H579" si="53">IF(H578=1,IF(H577=H$2,1,-0.33),0)</f>
        <v>0</v>
      </c>
    </row>
    <row r="580" spans="2:9" x14ac:dyDescent="0.25">
      <c r="B580" s="88" t="s">
        <v>15</v>
      </c>
      <c r="C580" s="135" t="s">
        <v>476</v>
      </c>
      <c r="D580" s="39"/>
      <c r="E580" s="84" t="s">
        <v>12</v>
      </c>
      <c r="F580" s="19"/>
      <c r="G580" s="25"/>
      <c r="H580" s="23"/>
    </row>
    <row r="581" spans="2:9" x14ac:dyDescent="0.25">
      <c r="B581" s="133"/>
      <c r="C581" s="17"/>
      <c r="D581" s="39"/>
      <c r="E581" s="84" t="s">
        <v>13</v>
      </c>
      <c r="F581" s="19"/>
      <c r="G581" s="18"/>
      <c r="H581" s="23"/>
    </row>
    <row r="582" spans="2:9" x14ac:dyDescent="0.25">
      <c r="B582" s="131" t="s">
        <v>218</v>
      </c>
      <c r="C582" s="163" t="s">
        <v>477</v>
      </c>
      <c r="D582" s="40"/>
      <c r="E582" s="13"/>
      <c r="F582" s="15"/>
      <c r="G582" s="27"/>
      <c r="H582" s="14"/>
      <c r="I582" s="16"/>
    </row>
    <row r="583" spans="2:9" x14ac:dyDescent="0.25">
      <c r="B583" s="88" t="s">
        <v>15</v>
      </c>
      <c r="C583" s="134" t="s">
        <v>478</v>
      </c>
      <c r="D583" s="39"/>
      <c r="E583" s="161" t="s">
        <v>9</v>
      </c>
      <c r="F583" s="19"/>
      <c r="G583" s="25"/>
      <c r="H583" s="20" t="b">
        <f>IF(D583="x",H$2,H$1)</f>
        <v>0</v>
      </c>
    </row>
    <row r="584" spans="2:9" x14ac:dyDescent="0.25">
      <c r="B584" s="88" t="s">
        <v>15</v>
      </c>
      <c r="C584" s="135" t="s">
        <v>479</v>
      </c>
      <c r="D584" s="39"/>
      <c r="E584" s="161" t="s">
        <v>10</v>
      </c>
      <c r="F584" s="21" t="str">
        <f>IF(H585=1,IF(H583=H$2,H583,""),"")</f>
        <v/>
      </c>
      <c r="G584" s="25"/>
      <c r="H584" s="20">
        <f>IF(E$594="comprobar",COUNTIF(D583:D587,"x"),"")</f>
        <v>0</v>
      </c>
    </row>
    <row r="585" spans="2:9" x14ac:dyDescent="0.25">
      <c r="B585" s="88" t="s">
        <v>15</v>
      </c>
      <c r="C585" s="135" t="s">
        <v>480</v>
      </c>
      <c r="D585" s="39"/>
      <c r="E585" s="161" t="s">
        <v>11</v>
      </c>
      <c r="F585" s="22" t="str">
        <f>IF(H585=-0.33,IF(H583=H$1,H583,""),"")</f>
        <v/>
      </c>
      <c r="G585" s="25"/>
      <c r="H585" s="23">
        <f t="shared" ref="H585" si="54">IF(H584=1,IF(H583=H$2,1,-0.33),0)</f>
        <v>0</v>
      </c>
    </row>
    <row r="586" spans="2:9" x14ac:dyDescent="0.25">
      <c r="B586" s="88" t="s">
        <v>15</v>
      </c>
      <c r="C586" s="135" t="s">
        <v>481</v>
      </c>
      <c r="D586" s="39"/>
      <c r="E586" s="161" t="s">
        <v>12</v>
      </c>
      <c r="F586" s="19"/>
      <c r="G586" s="25"/>
      <c r="H586" s="23"/>
    </row>
    <row r="587" spans="2:9" x14ac:dyDescent="0.25">
      <c r="B587" s="133"/>
      <c r="C587" s="17"/>
      <c r="D587" s="39"/>
      <c r="E587" s="161" t="s">
        <v>13</v>
      </c>
      <c r="F587" s="19"/>
      <c r="G587" s="18"/>
      <c r="H587" s="23"/>
    </row>
    <row r="588" spans="2:9" ht="47.25" x14ac:dyDescent="0.25">
      <c r="B588" s="131" t="s">
        <v>175</v>
      </c>
      <c r="C588" s="132" t="s">
        <v>482</v>
      </c>
      <c r="D588" s="40"/>
      <c r="E588" s="13"/>
      <c r="F588" s="15"/>
      <c r="G588" s="27"/>
      <c r="H588" s="14"/>
      <c r="I588" s="16"/>
    </row>
    <row r="589" spans="2:9" x14ac:dyDescent="0.25">
      <c r="B589" s="88" t="s">
        <v>15</v>
      </c>
      <c r="C589" s="134" t="s">
        <v>483</v>
      </c>
      <c r="D589" s="39"/>
      <c r="E589" s="161" t="s">
        <v>9</v>
      </c>
      <c r="F589" s="19"/>
      <c r="G589" s="25"/>
      <c r="H589" s="20" t="b">
        <f>IF(D589="x",H$2,H$1)</f>
        <v>0</v>
      </c>
    </row>
    <row r="590" spans="2:9" x14ac:dyDescent="0.25">
      <c r="B590" s="88" t="s">
        <v>15</v>
      </c>
      <c r="C590" s="135" t="s">
        <v>484</v>
      </c>
      <c r="D590" s="39"/>
      <c r="E590" s="161" t="s">
        <v>10</v>
      </c>
      <c r="F590" s="21" t="str">
        <f>IF(H591=1,IF(H589=H$2,H589,""),"")</f>
        <v/>
      </c>
      <c r="G590" s="25"/>
      <c r="H590" s="20">
        <f>IF(E$594="comprobar",COUNTIF(D589:D593,"x"),"")</f>
        <v>0</v>
      </c>
    </row>
    <row r="591" spans="2:9" x14ac:dyDescent="0.25">
      <c r="B591" s="88" t="s">
        <v>15</v>
      </c>
      <c r="C591" s="135" t="s">
        <v>485</v>
      </c>
      <c r="D591" s="39"/>
      <c r="E591" s="161" t="s">
        <v>11</v>
      </c>
      <c r="F591" s="22" t="str">
        <f>IF(H591=-0.33,IF(H589=H$1,H589,""),"")</f>
        <v/>
      </c>
      <c r="G591" s="25"/>
      <c r="H591" s="23">
        <f t="shared" ref="H591" si="55">IF(H590=1,IF(H589=H$2,1,-0.33),0)</f>
        <v>0</v>
      </c>
    </row>
    <row r="592" spans="2:9" x14ac:dyDescent="0.25">
      <c r="B592" s="88" t="s">
        <v>15</v>
      </c>
      <c r="C592" s="135" t="s">
        <v>486</v>
      </c>
      <c r="D592" s="39"/>
      <c r="E592" s="161" t="s">
        <v>12</v>
      </c>
      <c r="F592" s="19"/>
      <c r="G592" s="25"/>
      <c r="H592" s="23"/>
    </row>
    <row r="593" spans="2:9" x14ac:dyDescent="0.25">
      <c r="B593" s="133"/>
      <c r="C593" s="17"/>
      <c r="D593" s="39"/>
      <c r="E593" s="161" t="s">
        <v>13</v>
      </c>
      <c r="F593" s="19"/>
      <c r="G593" s="18"/>
      <c r="H593" s="23"/>
    </row>
    <row r="594" spans="2:9" x14ac:dyDescent="0.25">
      <c r="B594" s="133"/>
      <c r="C594" s="17"/>
      <c r="D594" s="49"/>
      <c r="E594" s="55" t="s">
        <v>535</v>
      </c>
      <c r="F594" s="19"/>
      <c r="G594" s="18"/>
      <c r="H594" s="23"/>
    </row>
    <row r="595" spans="2:9" x14ac:dyDescent="0.25">
      <c r="B595" s="43"/>
      <c r="C595" s="8"/>
      <c r="D595" s="49"/>
      <c r="E595" s="60"/>
      <c r="F595" s="29" t="s">
        <v>8</v>
      </c>
      <c r="G595" s="18" t="s">
        <v>6</v>
      </c>
      <c r="H595" s="18" t="s">
        <v>7</v>
      </c>
    </row>
    <row r="596" spans="2:9" ht="20.25" thickBot="1" x14ac:dyDescent="0.3">
      <c r="B596" s="43"/>
      <c r="C596" s="8"/>
      <c r="D596" s="169"/>
      <c r="E596" s="169"/>
      <c r="F596" s="30">
        <f>IF(E594="comprobar",H579+H573+H567+H561+H555+H549+H543+H537+H585+H591,"")</f>
        <v>3</v>
      </c>
      <c r="G596" s="18">
        <f>10/2</f>
        <v>5</v>
      </c>
      <c r="H596" s="18"/>
    </row>
    <row r="597" spans="2:9" ht="28.5" x14ac:dyDescent="0.45">
      <c r="B597" s="62" t="s">
        <v>18</v>
      </c>
      <c r="C597" s="167" t="s">
        <v>487</v>
      </c>
      <c r="D597" s="167"/>
      <c r="E597" s="167"/>
      <c r="F597" s="168"/>
    </row>
    <row r="598" spans="2:9" x14ac:dyDescent="0.25">
      <c r="B598" s="162" t="s">
        <v>75</v>
      </c>
      <c r="C598" s="132" t="s">
        <v>488</v>
      </c>
      <c r="D598" s="13"/>
      <c r="E598" s="13"/>
      <c r="F598" s="15"/>
      <c r="G598" s="146"/>
      <c r="H598" s="14"/>
      <c r="I598" s="16"/>
    </row>
    <row r="599" spans="2:9" x14ac:dyDescent="0.25">
      <c r="B599" s="88" t="s">
        <v>15</v>
      </c>
      <c r="C599" s="134" t="s">
        <v>489</v>
      </c>
      <c r="D599" s="39"/>
      <c r="E599" s="166" t="s">
        <v>9</v>
      </c>
      <c r="F599" s="19"/>
      <c r="G599" s="25"/>
      <c r="H599" s="20" t="b">
        <f>IF(D600="x",H$2,H$1)</f>
        <v>0</v>
      </c>
    </row>
    <row r="600" spans="2:9" x14ac:dyDescent="0.25">
      <c r="B600" s="88" t="s">
        <v>15</v>
      </c>
      <c r="C600" s="135" t="s">
        <v>490</v>
      </c>
      <c r="D600" s="39"/>
      <c r="E600" s="166" t="s">
        <v>10</v>
      </c>
      <c r="F600" s="21" t="str">
        <f>IF(H601=1,IF(H599=H$2,H599,""),"")</f>
        <v/>
      </c>
      <c r="G600" s="25"/>
      <c r="H600" s="20" t="str">
        <f>IF(E$658="comprobar",COUNTIF(D599:D603,"x"),"")</f>
        <v/>
      </c>
    </row>
    <row r="601" spans="2:9" x14ac:dyDescent="0.25">
      <c r="B601" s="88" t="s">
        <v>15</v>
      </c>
      <c r="C601" s="135" t="s">
        <v>491</v>
      </c>
      <c r="D601" s="39"/>
      <c r="E601" s="166" t="s">
        <v>11</v>
      </c>
      <c r="F601" s="22" t="str">
        <f>IF(H601=-0.33,IF(H599=H$1,H599,""),"")</f>
        <v/>
      </c>
      <c r="G601" s="25"/>
      <c r="H601" s="23">
        <f>IF(H600=1,IF(H599=H$2,1,-0.33),0)</f>
        <v>0</v>
      </c>
    </row>
    <row r="602" spans="2:9" x14ac:dyDescent="0.25">
      <c r="B602" s="88" t="s">
        <v>15</v>
      </c>
      <c r="C602" s="135" t="s">
        <v>492</v>
      </c>
      <c r="D602" s="39"/>
      <c r="E602" s="166" t="s">
        <v>12</v>
      </c>
      <c r="F602" s="19"/>
      <c r="G602" s="25"/>
      <c r="H602" s="23"/>
    </row>
    <row r="603" spans="2:9" x14ac:dyDescent="0.25">
      <c r="B603" s="133"/>
      <c r="C603" s="17"/>
      <c r="D603" s="39"/>
      <c r="E603" s="166" t="s">
        <v>13</v>
      </c>
      <c r="F603" s="19"/>
      <c r="G603" s="18"/>
      <c r="H603" s="23"/>
    </row>
    <row r="604" spans="2:9" x14ac:dyDescent="0.25">
      <c r="B604" s="131" t="s">
        <v>73</v>
      </c>
      <c r="C604" s="164" t="s">
        <v>493</v>
      </c>
      <c r="D604" s="40"/>
      <c r="E604" s="13"/>
      <c r="F604" s="15"/>
      <c r="G604" s="146"/>
      <c r="H604" s="14"/>
      <c r="I604" s="16"/>
    </row>
    <row r="605" spans="2:9" x14ac:dyDescent="0.25">
      <c r="B605" s="88" t="s">
        <v>15</v>
      </c>
      <c r="C605" s="135" t="s">
        <v>494</v>
      </c>
      <c r="D605" s="39"/>
      <c r="E605" s="166" t="s">
        <v>9</v>
      </c>
      <c r="F605" s="19"/>
      <c r="G605" s="25"/>
      <c r="H605" s="20" t="b">
        <f>IF(D605="x",H$2,H$1)</f>
        <v>0</v>
      </c>
    </row>
    <row r="606" spans="2:9" x14ac:dyDescent="0.25">
      <c r="B606" s="88" t="s">
        <v>15</v>
      </c>
      <c r="C606" s="135" t="s">
        <v>495</v>
      </c>
      <c r="D606" s="39"/>
      <c r="E606" s="166" t="s">
        <v>10</v>
      </c>
      <c r="F606" s="21" t="str">
        <f>IF(H607=1,IF(H605=H$2,H605,""),"")</f>
        <v/>
      </c>
      <c r="G606" s="25"/>
      <c r="H606" s="20" t="str">
        <f>IF(E$658="comprobar",COUNTIF(D605:D609,"x"),"")</f>
        <v/>
      </c>
    </row>
    <row r="607" spans="2:9" x14ac:dyDescent="0.25">
      <c r="B607" s="88" t="s">
        <v>15</v>
      </c>
      <c r="C607" s="135" t="s">
        <v>496</v>
      </c>
      <c r="D607" s="39"/>
      <c r="E607" s="166" t="s">
        <v>11</v>
      </c>
      <c r="F607" s="22" t="str">
        <f>IF(H607=-0.33,IF(H605=H$1,H605,""),"")</f>
        <v/>
      </c>
      <c r="G607" s="25"/>
      <c r="H607" s="23">
        <f t="shared" ref="H607" si="56">IF(H606=1,IF(H605=H$2,1,-0.33),0)</f>
        <v>0</v>
      </c>
    </row>
    <row r="608" spans="2:9" x14ac:dyDescent="0.25">
      <c r="B608" s="88" t="s">
        <v>15</v>
      </c>
      <c r="C608" s="135" t="s">
        <v>497</v>
      </c>
      <c r="D608" s="39"/>
      <c r="E608" s="166" t="s">
        <v>12</v>
      </c>
      <c r="F608" s="19"/>
      <c r="G608" s="25"/>
      <c r="H608" s="23"/>
    </row>
    <row r="609" spans="2:9" x14ac:dyDescent="0.25">
      <c r="B609" s="133"/>
      <c r="C609" s="135"/>
      <c r="D609" s="39"/>
      <c r="E609" s="166" t="s">
        <v>13</v>
      </c>
      <c r="F609" s="19"/>
      <c r="G609" s="18"/>
      <c r="H609" s="23"/>
    </row>
    <row r="610" spans="2:9" x14ac:dyDescent="0.25">
      <c r="B610" s="131" t="s">
        <v>81</v>
      </c>
      <c r="C610" s="164" t="s">
        <v>498</v>
      </c>
      <c r="D610" s="40"/>
      <c r="E610" s="13"/>
      <c r="F610" s="15"/>
      <c r="G610" s="27"/>
      <c r="H610" s="14"/>
      <c r="I610" s="16"/>
    </row>
    <row r="611" spans="2:9" x14ac:dyDescent="0.25">
      <c r="B611" s="88" t="s">
        <v>15</v>
      </c>
      <c r="C611" s="134" t="s">
        <v>499</v>
      </c>
      <c r="D611" s="39"/>
      <c r="E611" s="166" t="s">
        <v>9</v>
      </c>
      <c r="F611" s="19"/>
      <c r="G611" s="25"/>
      <c r="H611" s="20" t="b">
        <f>IF(D612="x",H$2,H$1)</f>
        <v>0</v>
      </c>
    </row>
    <row r="612" spans="2:9" x14ac:dyDescent="0.25">
      <c r="B612" s="88" t="s">
        <v>15</v>
      </c>
      <c r="C612" s="135" t="s">
        <v>500</v>
      </c>
      <c r="D612" s="39"/>
      <c r="E612" s="166" t="s">
        <v>10</v>
      </c>
      <c r="F612" s="21" t="str">
        <f>IF(H613=1,IF(H611=H$2,H611,""),"")</f>
        <v/>
      </c>
      <c r="G612" s="25"/>
      <c r="H612" s="20" t="str">
        <f>IF(E$658="comprobar",COUNTIF(D611:D615,"x"),"")</f>
        <v/>
      </c>
    </row>
    <row r="613" spans="2:9" x14ac:dyDescent="0.25">
      <c r="B613" s="88" t="s">
        <v>15</v>
      </c>
      <c r="C613" s="135" t="s">
        <v>501</v>
      </c>
      <c r="D613" s="39"/>
      <c r="E613" s="166" t="s">
        <v>11</v>
      </c>
      <c r="F613" s="22" t="str">
        <f>IF(H613=-0.33,IF(H611=H$1,H611,""),"")</f>
        <v/>
      </c>
      <c r="G613" s="25"/>
      <c r="H613" s="23">
        <f t="shared" ref="H613" si="57">IF(H612=1,IF(H611=H$2,1,-0.33),0)</f>
        <v>0</v>
      </c>
    </row>
    <row r="614" spans="2:9" x14ac:dyDescent="0.25">
      <c r="B614" s="88" t="s">
        <v>15</v>
      </c>
      <c r="C614" s="135" t="s">
        <v>502</v>
      </c>
      <c r="D614" s="39"/>
      <c r="E614" s="166" t="s">
        <v>12</v>
      </c>
      <c r="F614" s="19"/>
      <c r="G614" s="25"/>
      <c r="H614" s="23"/>
    </row>
    <row r="615" spans="2:9" x14ac:dyDescent="0.25">
      <c r="B615" s="133"/>
      <c r="C615" s="17"/>
      <c r="D615" s="39"/>
      <c r="E615" s="166" t="s">
        <v>13</v>
      </c>
      <c r="F615" s="19"/>
      <c r="G615" s="18"/>
      <c r="H615" s="23"/>
    </row>
    <row r="616" spans="2:9" x14ac:dyDescent="0.25">
      <c r="B616" s="131" t="s">
        <v>87</v>
      </c>
      <c r="C616" s="163" t="s">
        <v>503</v>
      </c>
      <c r="D616" s="40"/>
      <c r="E616" s="13"/>
      <c r="F616" s="15"/>
      <c r="G616" s="27"/>
      <c r="H616" s="14"/>
      <c r="I616" s="16"/>
    </row>
    <row r="617" spans="2:9" x14ac:dyDescent="0.25">
      <c r="B617" s="88" t="s">
        <v>15</v>
      </c>
      <c r="C617" s="134" t="s">
        <v>504</v>
      </c>
      <c r="D617" s="39"/>
      <c r="E617" s="166" t="s">
        <v>9</v>
      </c>
      <c r="F617" s="19"/>
      <c r="G617" s="25"/>
      <c r="H617" s="20" t="b">
        <f>IF(D620="x",H$2,H$1)</f>
        <v>0</v>
      </c>
    </row>
    <row r="618" spans="2:9" x14ac:dyDescent="0.25">
      <c r="B618" s="88" t="s">
        <v>15</v>
      </c>
      <c r="C618" s="135" t="s">
        <v>505</v>
      </c>
      <c r="D618" s="39"/>
      <c r="E618" s="166" t="s">
        <v>10</v>
      </c>
      <c r="F618" s="21" t="str">
        <f>IF(H619=1,IF(H617=H$2,H617,""),"")</f>
        <v/>
      </c>
      <c r="G618" s="25"/>
      <c r="H618" s="20" t="str">
        <f>IF(E$658="comprobar",COUNTIF(D617:D621,"x"),"")</f>
        <v/>
      </c>
    </row>
    <row r="619" spans="2:9" x14ac:dyDescent="0.25">
      <c r="B619" s="88" t="s">
        <v>15</v>
      </c>
      <c r="C619" s="135" t="s">
        <v>506</v>
      </c>
      <c r="D619" s="39"/>
      <c r="E619" s="166" t="s">
        <v>11</v>
      </c>
      <c r="F619" s="22" t="str">
        <f>IF(H619=-0.33,IF(H617=H$1,H617,""),"")</f>
        <v/>
      </c>
      <c r="G619" s="25"/>
      <c r="H619" s="23">
        <f t="shared" ref="H619" si="58">IF(H618=1,IF(H617=H$2,1,-0.33),0)</f>
        <v>0</v>
      </c>
    </row>
    <row r="620" spans="2:9" x14ac:dyDescent="0.25">
      <c r="B620" s="88" t="s">
        <v>15</v>
      </c>
      <c r="C620" s="165" t="s">
        <v>356</v>
      </c>
      <c r="D620" s="39"/>
      <c r="E620" s="166" t="s">
        <v>12</v>
      </c>
      <c r="F620" s="19"/>
      <c r="G620" s="25"/>
      <c r="H620" s="23"/>
    </row>
    <row r="621" spans="2:9" x14ac:dyDescent="0.25">
      <c r="B621" s="133"/>
      <c r="C621" s="17"/>
      <c r="D621" s="39"/>
      <c r="E621" s="166" t="s">
        <v>13</v>
      </c>
      <c r="F621" s="19"/>
      <c r="G621" s="18"/>
      <c r="H621" s="23"/>
    </row>
    <row r="622" spans="2:9" ht="31.5" x14ac:dyDescent="0.25">
      <c r="B622" s="131" t="s">
        <v>93</v>
      </c>
      <c r="C622" s="137" t="s">
        <v>507</v>
      </c>
      <c r="D622" s="40"/>
      <c r="E622" s="13"/>
      <c r="F622" s="15"/>
      <c r="G622" s="27"/>
      <c r="H622" s="14"/>
      <c r="I622" s="16"/>
    </row>
    <row r="623" spans="2:9" x14ac:dyDescent="0.25">
      <c r="B623" s="88" t="s">
        <v>15</v>
      </c>
      <c r="C623" s="134" t="s">
        <v>508</v>
      </c>
      <c r="D623" s="39"/>
      <c r="E623" s="166" t="s">
        <v>9</v>
      </c>
      <c r="F623" s="19"/>
      <c r="G623" s="25"/>
      <c r="H623" s="20" t="b">
        <f>IF(D623="x",H$2,H$1)</f>
        <v>0</v>
      </c>
    </row>
    <row r="624" spans="2:9" x14ac:dyDescent="0.25">
      <c r="B624" s="88" t="s">
        <v>15</v>
      </c>
      <c r="C624" s="135" t="s">
        <v>509</v>
      </c>
      <c r="D624" s="39"/>
      <c r="E624" s="166" t="s">
        <v>10</v>
      </c>
      <c r="F624" s="21" t="str">
        <f>IF(H625=1,IF(H623=H$2,H623,""),"")</f>
        <v/>
      </c>
      <c r="G624" s="25"/>
      <c r="H624" s="20" t="str">
        <f>IF(E$658="comprobar",COUNTIF(D623:D627,"x"),"")</f>
        <v/>
      </c>
    </row>
    <row r="625" spans="2:9" x14ac:dyDescent="0.25">
      <c r="B625" s="88" t="s">
        <v>15</v>
      </c>
      <c r="C625" s="135" t="s">
        <v>510</v>
      </c>
      <c r="D625" s="39"/>
      <c r="E625" s="166" t="s">
        <v>11</v>
      </c>
      <c r="F625" s="22" t="str">
        <f>IF(H625=-0.33,IF(H623=H$1,H623,""),"")</f>
        <v/>
      </c>
      <c r="G625" s="25"/>
      <c r="H625" s="23">
        <f t="shared" ref="H625" si="59">IF(H624=1,IF(H623=H$2,1,-0.33),0)</f>
        <v>0</v>
      </c>
    </row>
    <row r="626" spans="2:9" x14ac:dyDescent="0.25">
      <c r="B626" s="88" t="s">
        <v>15</v>
      </c>
      <c r="C626" s="135" t="s">
        <v>511</v>
      </c>
      <c r="D626" s="39"/>
      <c r="E626" s="166" t="s">
        <v>12</v>
      </c>
      <c r="F626" s="19"/>
      <c r="G626" s="25"/>
      <c r="H626" s="23"/>
    </row>
    <row r="627" spans="2:9" x14ac:dyDescent="0.25">
      <c r="B627" s="133"/>
      <c r="C627" s="17"/>
      <c r="D627" s="39"/>
      <c r="E627" s="166" t="s">
        <v>13</v>
      </c>
      <c r="F627" s="19"/>
      <c r="G627" s="18"/>
      <c r="H627" s="23"/>
    </row>
    <row r="628" spans="2:9" x14ac:dyDescent="0.25">
      <c r="B628" s="131" t="s">
        <v>99</v>
      </c>
      <c r="C628" s="164" t="s">
        <v>512</v>
      </c>
      <c r="D628" s="40"/>
      <c r="E628" s="13"/>
      <c r="F628" s="15"/>
      <c r="G628" s="27"/>
      <c r="H628" s="14"/>
      <c r="I628" s="16"/>
    </row>
    <row r="629" spans="2:9" x14ac:dyDescent="0.25">
      <c r="B629" s="88" t="s">
        <v>15</v>
      </c>
      <c r="C629" s="134" t="s">
        <v>514</v>
      </c>
      <c r="D629" s="39"/>
      <c r="E629" s="166" t="s">
        <v>9</v>
      </c>
      <c r="F629" s="19"/>
      <c r="G629" s="25"/>
      <c r="H629" s="20" t="b">
        <f>IF(D632="x",H$2,H$1)</f>
        <v>0</v>
      </c>
    </row>
    <row r="630" spans="2:9" x14ac:dyDescent="0.25">
      <c r="B630" s="88" t="s">
        <v>15</v>
      </c>
      <c r="C630" s="135" t="s">
        <v>515</v>
      </c>
      <c r="D630" s="39"/>
      <c r="E630" s="166" t="s">
        <v>10</v>
      </c>
      <c r="F630" s="21" t="str">
        <f>IF(H631=1,IF(H629=H$2,H629,""),"")</f>
        <v/>
      </c>
      <c r="G630" s="25"/>
      <c r="H630" s="20" t="str">
        <f>IF(E$658="comprobar",COUNTIF(D629:D633,"x"),"")</f>
        <v/>
      </c>
    </row>
    <row r="631" spans="2:9" x14ac:dyDescent="0.25">
      <c r="B631" s="88" t="s">
        <v>15</v>
      </c>
      <c r="C631" s="135" t="s">
        <v>516</v>
      </c>
      <c r="D631" s="39"/>
      <c r="E631" s="166" t="s">
        <v>11</v>
      </c>
      <c r="F631" s="22" t="str">
        <f>IF(H631=-0.33,IF(H629=H$1,H629,""),"")</f>
        <v/>
      </c>
      <c r="G631" s="25"/>
      <c r="H631" s="23">
        <f t="shared" ref="H631" si="60">IF(H630=1,IF(H629=H$2,1,-0.33),0)</f>
        <v>0</v>
      </c>
    </row>
    <row r="632" spans="2:9" x14ac:dyDescent="0.25">
      <c r="B632" s="88" t="s">
        <v>15</v>
      </c>
      <c r="C632" s="135" t="s">
        <v>513</v>
      </c>
      <c r="D632" s="39"/>
      <c r="E632" s="166" t="s">
        <v>12</v>
      </c>
      <c r="F632" s="19"/>
      <c r="G632" s="25"/>
      <c r="H632" s="23"/>
    </row>
    <row r="633" spans="2:9" x14ac:dyDescent="0.25">
      <c r="B633" s="133"/>
      <c r="C633" s="17"/>
      <c r="D633" s="39"/>
      <c r="E633" s="166" t="s">
        <v>13</v>
      </c>
      <c r="F633" s="19"/>
      <c r="G633" s="18"/>
      <c r="H633" s="23"/>
    </row>
    <row r="634" spans="2:9" x14ac:dyDescent="0.25">
      <c r="B634" s="131" t="s">
        <v>105</v>
      </c>
      <c r="C634" s="163" t="s">
        <v>517</v>
      </c>
      <c r="D634" s="40"/>
      <c r="E634" s="13"/>
      <c r="F634" s="15"/>
      <c r="G634" s="27"/>
      <c r="H634" s="14"/>
      <c r="I634" s="16"/>
    </row>
    <row r="635" spans="2:9" x14ac:dyDescent="0.25">
      <c r="B635" s="88" t="s">
        <v>15</v>
      </c>
      <c r="C635" s="134" t="s">
        <v>519</v>
      </c>
      <c r="D635" s="39"/>
      <c r="E635" s="166" t="s">
        <v>9</v>
      </c>
      <c r="F635" s="19"/>
      <c r="G635" s="25"/>
      <c r="H635" s="20" t="b">
        <f>IF(D636="x",H$2,H$1)</f>
        <v>0</v>
      </c>
    </row>
    <row r="636" spans="2:9" x14ac:dyDescent="0.25">
      <c r="B636" s="88" t="s">
        <v>15</v>
      </c>
      <c r="C636" s="135" t="s">
        <v>518</v>
      </c>
      <c r="D636" s="39"/>
      <c r="E636" s="166" t="s">
        <v>10</v>
      </c>
      <c r="F636" s="21" t="str">
        <f>IF(H637=1,IF(H635=H$2,H635,""),"")</f>
        <v/>
      </c>
      <c r="G636" s="25"/>
      <c r="H636" s="20" t="str">
        <f>IF(E$658="comprobar",COUNTIF(D635:D639,"x"),"")</f>
        <v/>
      </c>
    </row>
    <row r="637" spans="2:9" x14ac:dyDescent="0.25">
      <c r="B637" s="88" t="s">
        <v>15</v>
      </c>
      <c r="C637" s="135" t="s">
        <v>520</v>
      </c>
      <c r="D637" s="39"/>
      <c r="E637" s="166" t="s">
        <v>11</v>
      </c>
      <c r="F637" s="22" t="str">
        <f>IF(H637=-0.33,IF(H635=H$1,H635,""),"")</f>
        <v/>
      </c>
      <c r="G637" s="25"/>
      <c r="H637" s="23">
        <f t="shared" ref="H637" si="61">IF(H636=1,IF(H635=H$2,1,-0.33),0)</f>
        <v>0</v>
      </c>
    </row>
    <row r="638" spans="2:9" x14ac:dyDescent="0.25">
      <c r="B638" s="88" t="s">
        <v>15</v>
      </c>
      <c r="C638" s="135" t="s">
        <v>521</v>
      </c>
      <c r="D638" s="39"/>
      <c r="E638" s="166" t="s">
        <v>12</v>
      </c>
      <c r="F638" s="19"/>
      <c r="G638" s="25"/>
      <c r="H638" s="23"/>
    </row>
    <row r="639" spans="2:9" x14ac:dyDescent="0.25">
      <c r="B639" s="133"/>
      <c r="C639" s="17"/>
      <c r="D639" s="39"/>
      <c r="E639" s="166" t="s">
        <v>13</v>
      </c>
      <c r="F639" s="19"/>
      <c r="G639" s="18"/>
      <c r="H639" s="23"/>
    </row>
    <row r="640" spans="2:9" ht="47.25" x14ac:dyDescent="0.25">
      <c r="B640" s="131" t="s">
        <v>106</v>
      </c>
      <c r="C640" s="132" t="s">
        <v>522</v>
      </c>
      <c r="D640" s="40"/>
      <c r="E640" s="13"/>
      <c r="F640" s="15"/>
      <c r="G640" s="27"/>
      <c r="H640" s="14"/>
      <c r="I640" s="16"/>
    </row>
    <row r="641" spans="2:9" x14ac:dyDescent="0.25">
      <c r="B641" s="88" t="s">
        <v>15</v>
      </c>
      <c r="C641" s="134" t="s">
        <v>524</v>
      </c>
      <c r="D641" s="39"/>
      <c r="E641" s="166" t="s">
        <v>9</v>
      </c>
      <c r="F641" s="19"/>
      <c r="G641" s="25"/>
      <c r="H641" s="20" t="b">
        <f>IF(D643="x",H$2,H$1)</f>
        <v>0</v>
      </c>
    </row>
    <row r="642" spans="2:9" x14ac:dyDescent="0.25">
      <c r="B642" s="88" t="s">
        <v>15</v>
      </c>
      <c r="C642" s="135" t="s">
        <v>525</v>
      </c>
      <c r="D642" s="39"/>
      <c r="E642" s="166" t="s">
        <v>10</v>
      </c>
      <c r="F642" s="21" t="str">
        <f>IF(H643=1,IF(H641=H$2,H641,""),"")</f>
        <v/>
      </c>
      <c r="G642" s="25"/>
      <c r="H642" s="20" t="str">
        <f>IF(E$658="comprobar",COUNTIF(D641:D645,"x"),"")</f>
        <v/>
      </c>
    </row>
    <row r="643" spans="2:9" x14ac:dyDescent="0.25">
      <c r="B643" s="88" t="s">
        <v>15</v>
      </c>
      <c r="C643" s="135" t="s">
        <v>523</v>
      </c>
      <c r="D643" s="39"/>
      <c r="E643" s="166" t="s">
        <v>11</v>
      </c>
      <c r="F643" s="22" t="str">
        <f>IF(H643=-0.33,IF(H641=H$1,H641,""),"")</f>
        <v/>
      </c>
      <c r="G643" s="25"/>
      <c r="H643" s="23">
        <f t="shared" ref="H643" si="62">IF(H642=1,IF(H641=H$2,1,-0.33),0)</f>
        <v>0</v>
      </c>
    </row>
    <row r="644" spans="2:9" x14ac:dyDescent="0.25">
      <c r="B644" s="88" t="s">
        <v>15</v>
      </c>
      <c r="C644" s="135" t="s">
        <v>526</v>
      </c>
      <c r="D644" s="39"/>
      <c r="E644" s="166" t="s">
        <v>12</v>
      </c>
      <c r="F644" s="19"/>
      <c r="G644" s="25"/>
      <c r="H644" s="23"/>
    </row>
    <row r="645" spans="2:9" x14ac:dyDescent="0.25">
      <c r="B645" s="133"/>
      <c r="C645" s="17"/>
      <c r="D645" s="39"/>
      <c r="E645" s="166" t="s">
        <v>13</v>
      </c>
      <c r="F645" s="19"/>
      <c r="G645" s="18"/>
      <c r="H645" s="23"/>
    </row>
    <row r="646" spans="2:9" x14ac:dyDescent="0.25">
      <c r="B646" s="131" t="s">
        <v>218</v>
      </c>
      <c r="C646" s="163" t="s">
        <v>527</v>
      </c>
      <c r="D646" s="40"/>
      <c r="E646" s="13"/>
      <c r="F646" s="15"/>
      <c r="G646" s="27"/>
      <c r="H646" s="14"/>
      <c r="I646" s="16"/>
    </row>
    <row r="647" spans="2:9" x14ac:dyDescent="0.25">
      <c r="B647" s="88" t="s">
        <v>15</v>
      </c>
      <c r="C647" s="134" t="s">
        <v>528</v>
      </c>
      <c r="D647" s="39"/>
      <c r="E647" s="166" t="s">
        <v>9</v>
      </c>
      <c r="F647" s="19"/>
      <c r="G647" s="25"/>
      <c r="H647" s="20" t="b">
        <f>IF(D647="x",H$2,H$1)</f>
        <v>0</v>
      </c>
    </row>
    <row r="648" spans="2:9" x14ac:dyDescent="0.25">
      <c r="B648" s="88" t="s">
        <v>15</v>
      </c>
      <c r="C648" s="135" t="s">
        <v>529</v>
      </c>
      <c r="D648" s="39"/>
      <c r="E648" s="166" t="s">
        <v>10</v>
      </c>
      <c r="F648" s="21" t="str">
        <f>IF(H649=1,IF(H647=H$2,H647,""),"")</f>
        <v/>
      </c>
      <c r="G648" s="25"/>
      <c r="H648" s="20" t="str">
        <f>IF(E$658="comprobar",COUNTIF(D647:D651,"x"),"")</f>
        <v/>
      </c>
    </row>
    <row r="649" spans="2:9" x14ac:dyDescent="0.25">
      <c r="B649" s="88" t="s">
        <v>15</v>
      </c>
      <c r="C649" s="135" t="s">
        <v>530</v>
      </c>
      <c r="D649" s="39"/>
      <c r="E649" s="166" t="s">
        <v>11</v>
      </c>
      <c r="F649" s="22" t="str">
        <f>IF(H649=-0.33,IF(H647=H$1,H647,""),"")</f>
        <v/>
      </c>
      <c r="G649" s="25"/>
      <c r="H649" s="23">
        <f t="shared" ref="H649" si="63">IF(H648=1,IF(H647=H$2,1,-0.33),0)</f>
        <v>0</v>
      </c>
    </row>
    <row r="650" spans="2:9" x14ac:dyDescent="0.25">
      <c r="B650" s="88" t="s">
        <v>15</v>
      </c>
      <c r="C650" s="135" t="s">
        <v>531</v>
      </c>
      <c r="D650" s="39"/>
      <c r="E650" s="166" t="s">
        <v>12</v>
      </c>
      <c r="F650" s="19"/>
      <c r="G650" s="25"/>
      <c r="H650" s="23"/>
    </row>
    <row r="651" spans="2:9" x14ac:dyDescent="0.25">
      <c r="B651" s="133"/>
      <c r="C651" s="17"/>
      <c r="D651" s="39"/>
      <c r="E651" s="166" t="s">
        <v>13</v>
      </c>
      <c r="F651" s="19"/>
      <c r="G651" s="18"/>
      <c r="H651" s="23"/>
    </row>
    <row r="652" spans="2:9" x14ac:dyDescent="0.25">
      <c r="B652" s="131" t="s">
        <v>175</v>
      </c>
      <c r="C652" s="132" t="s">
        <v>532</v>
      </c>
      <c r="D652" s="40"/>
      <c r="E652" s="13"/>
      <c r="F652" s="15"/>
      <c r="G652" s="27"/>
      <c r="H652" s="14"/>
      <c r="I652" s="16"/>
    </row>
    <row r="653" spans="2:9" x14ac:dyDescent="0.25">
      <c r="B653" s="88" t="s">
        <v>15</v>
      </c>
      <c r="C653" s="134" t="s">
        <v>536</v>
      </c>
      <c r="D653" s="39"/>
      <c r="E653" s="166" t="s">
        <v>9</v>
      </c>
      <c r="F653" s="19"/>
      <c r="G653" s="25"/>
      <c r="H653" s="20" t="b">
        <f>IF(D654="x",H$2,H$1)</f>
        <v>0</v>
      </c>
    </row>
    <row r="654" spans="2:9" x14ac:dyDescent="0.25">
      <c r="B654" s="88" t="s">
        <v>15</v>
      </c>
      <c r="C654" s="135" t="s">
        <v>533</v>
      </c>
      <c r="D654" s="39"/>
      <c r="E654" s="166" t="s">
        <v>10</v>
      </c>
      <c r="F654" s="21" t="str">
        <f>IF(H655=1,IF(H653=H$2,H653,""),"")</f>
        <v/>
      </c>
      <c r="G654" s="25"/>
      <c r="H654" s="20" t="str">
        <f>IF(E$658="comprobar",COUNTIF(D653:D657,"x"),"")</f>
        <v/>
      </c>
    </row>
    <row r="655" spans="2:9" x14ac:dyDescent="0.25">
      <c r="B655" s="88" t="s">
        <v>15</v>
      </c>
      <c r="C655" s="135" t="s">
        <v>537</v>
      </c>
      <c r="D655" s="39"/>
      <c r="E655" s="166" t="s">
        <v>11</v>
      </c>
      <c r="F655" s="22" t="str">
        <f>IF(H655=-0.33,IF(H653=H$1,H653,""),"")</f>
        <v/>
      </c>
      <c r="G655" s="25"/>
      <c r="H655" s="23">
        <f t="shared" ref="H655" si="64">IF(H654=1,IF(H653=H$2,1,-0.33),0)</f>
        <v>0</v>
      </c>
    </row>
    <row r="656" spans="2:9" x14ac:dyDescent="0.25">
      <c r="B656" s="88" t="s">
        <v>15</v>
      </c>
      <c r="C656" s="135" t="s">
        <v>538</v>
      </c>
      <c r="D656" s="39"/>
      <c r="E656" s="166" t="s">
        <v>12</v>
      </c>
      <c r="F656" s="19"/>
      <c r="G656" s="25"/>
      <c r="H656" s="23"/>
    </row>
    <row r="657" spans="2:8" x14ac:dyDescent="0.25">
      <c r="B657" s="133"/>
      <c r="C657" s="17"/>
      <c r="D657" s="39"/>
      <c r="E657" s="166" t="s">
        <v>13</v>
      </c>
      <c r="F657" s="19"/>
      <c r="G657" s="18"/>
      <c r="H657" s="23"/>
    </row>
    <row r="658" spans="2:8" x14ac:dyDescent="0.25">
      <c r="B658" s="133"/>
      <c r="C658" s="17"/>
      <c r="D658" s="49"/>
      <c r="E658" s="55"/>
      <c r="F658" s="19"/>
      <c r="G658" s="18"/>
      <c r="H658" s="23"/>
    </row>
    <row r="659" spans="2:8" x14ac:dyDescent="0.25">
      <c r="B659" s="43"/>
      <c r="C659" s="8"/>
      <c r="D659" s="49"/>
      <c r="E659" s="60"/>
      <c r="F659" s="29" t="s">
        <v>8</v>
      </c>
      <c r="G659" s="18" t="s">
        <v>6</v>
      </c>
      <c r="H659" s="18" t="s">
        <v>7</v>
      </c>
    </row>
    <row r="660" spans="2:8" ht="19.5" x14ac:dyDescent="0.25">
      <c r="B660" s="43"/>
      <c r="C660" s="8"/>
      <c r="D660" s="169"/>
      <c r="E660" s="169"/>
      <c r="F660" s="30" t="str">
        <f>IF(E658="comprobar",H643+H637+H631+H625+H619+H613+H607+H601+H649+H655,"")</f>
        <v/>
      </c>
      <c r="G660" s="18">
        <f>10/2</f>
        <v>5</v>
      </c>
      <c r="H660" s="18"/>
    </row>
    <row r="661" spans="2:8" ht="16.5" thickBot="1" x14ac:dyDescent="0.3">
      <c r="B661" s="67"/>
      <c r="C661" s="68"/>
      <c r="D661" s="32"/>
      <c r="E661" s="9"/>
      <c r="F661" s="33"/>
      <c r="G661" s="18"/>
      <c r="H661" s="18"/>
    </row>
  </sheetData>
  <mergeCells count="6">
    <mergeCell ref="D660:E660"/>
    <mergeCell ref="D596:E596"/>
    <mergeCell ref="D531:E531"/>
    <mergeCell ref="D69:E69"/>
    <mergeCell ref="C6:F6"/>
    <mergeCell ref="C71:F71"/>
  </mergeCells>
  <phoneticPr fontId="8" type="noConversion"/>
  <hyperlinks>
    <hyperlink ref="C215" r:id="rId1"/>
    <hyperlink ref="C216" r:id="rId2"/>
    <hyperlink ref="C217" r:id="rId3"/>
  </hyperlinks>
  <printOptions horizontalCentered="1" verticalCentered="1"/>
  <pageMargins left="0" right="0" top="0" bottom="0" header="0" footer="0"/>
  <pageSetup paperSize="9" scale="72"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6">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7">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2018-05-07T20:41:54Z</dcterms:modified>
  <cp:category/>
  <cp:contentStatus/>
</cp:coreProperties>
</file>