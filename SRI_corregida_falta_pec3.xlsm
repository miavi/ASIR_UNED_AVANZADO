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8431" codeName="{B1203076-2D4D-A25B-A398-973B695A806A}"/>
  <workbookPr codeName="ThisWorkbook"/>
  <mc:AlternateContent xmlns:mc="http://schemas.openxmlformats.org/markup-compatibility/2006">
    <mc:Choice Requires="x15">
      <x15ac:absPath xmlns:x15ac="http://schemas.microsoft.com/office/spreadsheetml/2010/11/ac" url="C:\Users\miavi\Documents\GitHub\ASIR_UNED_AVANZADO\"/>
    </mc:Choice>
  </mc:AlternateContent>
  <bookViews>
    <workbookView xWindow="0" yWindow="0" windowWidth="5340" windowHeight="0" tabRatio="500"/>
  </bookViews>
  <sheets>
    <sheet name="SRI" sheetId="6" r:id="rId1"/>
  </sheets>
  <definedNames>
    <definedName name="_xlnm.Print_Area" localSheetId="0">SRI!$B$1:$H$70</definedName>
    <definedName name="OLE_LINK2" localSheetId="0">SRI!$B$72</definedName>
  </definedNames>
  <calcPr calcId="171027"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H769" i="6" l="1"/>
  <c r="H768" i="6"/>
  <c r="H770" i="6"/>
  <c r="H775" i="6"/>
  <c r="H774" i="6"/>
  <c r="H776" i="6"/>
  <c r="H781" i="6"/>
  <c r="H780" i="6"/>
  <c r="H782" i="6"/>
  <c r="F787" i="6"/>
  <c r="H763" i="6"/>
  <c r="H757" i="6"/>
  <c r="H751" i="6"/>
  <c r="H745" i="6"/>
  <c r="H739" i="6"/>
  <c r="H733" i="6"/>
  <c r="H727" i="6"/>
  <c r="H721" i="6"/>
  <c r="H715" i="6"/>
  <c r="H709" i="6"/>
  <c r="H703" i="6"/>
  <c r="H697" i="6"/>
  <c r="H691" i="6"/>
  <c r="H685" i="6"/>
  <c r="H679" i="6"/>
  <c r="H673" i="6"/>
  <c r="H667" i="6"/>
  <c r="G787" i="6"/>
  <c r="F782" i="6"/>
  <c r="F781" i="6"/>
  <c r="F776" i="6"/>
  <c r="F775" i="6"/>
  <c r="F770" i="6"/>
  <c r="F769" i="6"/>
  <c r="H764" i="6"/>
  <c r="F764" i="6"/>
  <c r="F763" i="6"/>
  <c r="H762" i="6"/>
  <c r="H758" i="6"/>
  <c r="F758" i="6"/>
  <c r="F757" i="6"/>
  <c r="H756" i="6"/>
  <c r="H752" i="6"/>
  <c r="F752" i="6"/>
  <c r="F751" i="6"/>
  <c r="H750" i="6"/>
  <c r="H746" i="6"/>
  <c r="F746" i="6"/>
  <c r="F745" i="6"/>
  <c r="H744" i="6"/>
  <c r="H740" i="6"/>
  <c r="F740" i="6"/>
  <c r="F739" i="6"/>
  <c r="H738" i="6"/>
  <c r="H734" i="6"/>
  <c r="F734" i="6"/>
  <c r="F733" i="6"/>
  <c r="H732" i="6"/>
  <c r="H728" i="6"/>
  <c r="F728" i="6"/>
  <c r="F727" i="6"/>
  <c r="H726" i="6"/>
  <c r="H722" i="6"/>
  <c r="F722" i="6"/>
  <c r="F721" i="6"/>
  <c r="H720" i="6"/>
  <c r="H716" i="6"/>
  <c r="F716" i="6"/>
  <c r="F715" i="6"/>
  <c r="H714" i="6"/>
  <c r="H710" i="6"/>
  <c r="F710" i="6"/>
  <c r="F709" i="6"/>
  <c r="H708" i="6"/>
  <c r="H704" i="6"/>
  <c r="F704" i="6"/>
  <c r="F703" i="6"/>
  <c r="H702" i="6"/>
  <c r="H698" i="6"/>
  <c r="F698" i="6"/>
  <c r="F697" i="6"/>
  <c r="H696" i="6"/>
  <c r="H692" i="6"/>
  <c r="F692" i="6"/>
  <c r="F691" i="6"/>
  <c r="H690" i="6"/>
  <c r="H686" i="6"/>
  <c r="F686" i="6"/>
  <c r="F685" i="6"/>
  <c r="H684" i="6"/>
  <c r="H680" i="6"/>
  <c r="F680" i="6"/>
  <c r="F679" i="6"/>
  <c r="H678" i="6"/>
  <c r="H674" i="6"/>
  <c r="F674" i="6"/>
  <c r="F673" i="6"/>
  <c r="H672" i="6"/>
  <c r="H668" i="6"/>
  <c r="F668" i="6"/>
  <c r="F667" i="6"/>
  <c r="H666" i="6"/>
  <c r="H109" i="6"/>
  <c r="H571" i="6"/>
  <c r="H565" i="6"/>
  <c r="H559" i="6"/>
  <c r="H553" i="6"/>
  <c r="H653" i="6"/>
  <c r="H641" i="6"/>
  <c r="H635" i="6"/>
  <c r="H617" i="6"/>
  <c r="H611" i="6"/>
  <c r="H605" i="6"/>
  <c r="H654" i="6"/>
  <c r="H648" i="6"/>
  <c r="H642" i="6"/>
  <c r="H636" i="6"/>
  <c r="H630" i="6"/>
  <c r="H624" i="6"/>
  <c r="H618" i="6"/>
  <c r="H612" i="6"/>
  <c r="H606" i="6"/>
  <c r="H599" i="6"/>
  <c r="H600" i="6"/>
  <c r="H601" i="6"/>
  <c r="F600" i="6"/>
  <c r="F601" i="6"/>
  <c r="H607" i="6"/>
  <c r="F606" i="6"/>
  <c r="F607" i="6"/>
  <c r="H613" i="6"/>
  <c r="F612" i="6"/>
  <c r="F613" i="6"/>
  <c r="H619" i="6"/>
  <c r="F618" i="6"/>
  <c r="F619" i="6"/>
  <c r="H623" i="6"/>
  <c r="H625" i="6"/>
  <c r="F624" i="6"/>
  <c r="F625" i="6"/>
  <c r="H629" i="6"/>
  <c r="H631" i="6"/>
  <c r="F630" i="6"/>
  <c r="F631" i="6"/>
  <c r="H637" i="6"/>
  <c r="F636" i="6"/>
  <c r="F637" i="6"/>
  <c r="H643" i="6"/>
  <c r="F642" i="6"/>
  <c r="F643" i="6"/>
  <c r="H647" i="6"/>
  <c r="H649" i="6"/>
  <c r="F648" i="6"/>
  <c r="F649" i="6"/>
  <c r="H655" i="6"/>
  <c r="F654" i="6"/>
  <c r="F655" i="6"/>
  <c r="F660" i="6"/>
  <c r="G660" i="6"/>
  <c r="H536" i="6"/>
  <c r="H542" i="6"/>
  <c r="H548" i="6"/>
  <c r="H554" i="6"/>
  <c r="H560" i="6"/>
  <c r="H566" i="6"/>
  <c r="H572" i="6"/>
  <c r="H578" i="6"/>
  <c r="H584" i="6"/>
  <c r="H590" i="6"/>
  <c r="H577" i="6"/>
  <c r="H579" i="6"/>
  <c r="H573" i="6"/>
  <c r="H567" i="6"/>
  <c r="H561" i="6"/>
  <c r="H555" i="6"/>
  <c r="H547" i="6"/>
  <c r="H549" i="6"/>
  <c r="H541" i="6"/>
  <c r="H543" i="6"/>
  <c r="H535" i="6"/>
  <c r="H537" i="6"/>
  <c r="H583" i="6"/>
  <c r="H585" i="6"/>
  <c r="H589" i="6"/>
  <c r="H591" i="6"/>
  <c r="F596" i="6"/>
  <c r="G596" i="6"/>
  <c r="F591" i="6"/>
  <c r="F590" i="6"/>
  <c r="F585" i="6"/>
  <c r="F584" i="6"/>
  <c r="H404" i="6"/>
  <c r="H403" i="6"/>
  <c r="H405" i="6"/>
  <c r="H410" i="6"/>
  <c r="H409" i="6"/>
  <c r="H411" i="6"/>
  <c r="H416" i="6"/>
  <c r="H415" i="6"/>
  <c r="H417" i="6"/>
  <c r="H422" i="6"/>
  <c r="H421" i="6"/>
  <c r="H423" i="6"/>
  <c r="H428" i="6"/>
  <c r="H427" i="6"/>
  <c r="H429" i="6"/>
  <c r="H434" i="6"/>
  <c r="H433" i="6"/>
  <c r="H435" i="6"/>
  <c r="H440" i="6"/>
  <c r="H439" i="6"/>
  <c r="H441" i="6"/>
  <c r="H446" i="6"/>
  <c r="H445" i="6"/>
  <c r="H447" i="6"/>
  <c r="H452" i="6"/>
  <c r="H451" i="6"/>
  <c r="H453" i="6"/>
  <c r="H458" i="6"/>
  <c r="H457" i="6"/>
  <c r="H459" i="6"/>
  <c r="F464" i="6"/>
  <c r="H393" i="6"/>
  <c r="H392" i="6"/>
  <c r="H394" i="6"/>
  <c r="H387" i="6"/>
  <c r="H386" i="6"/>
  <c r="H388" i="6"/>
  <c r="H381" i="6"/>
  <c r="H380" i="6"/>
  <c r="H382" i="6"/>
  <c r="H375" i="6"/>
  <c r="H374" i="6"/>
  <c r="H376" i="6"/>
  <c r="H369" i="6"/>
  <c r="H368" i="6"/>
  <c r="H370" i="6"/>
  <c r="H363" i="6"/>
  <c r="H362" i="6"/>
  <c r="H364" i="6"/>
  <c r="H357" i="6"/>
  <c r="H356" i="6"/>
  <c r="H358" i="6"/>
  <c r="H351" i="6"/>
  <c r="H350" i="6"/>
  <c r="H352" i="6"/>
  <c r="H345" i="6"/>
  <c r="H344" i="6"/>
  <c r="H346" i="6"/>
  <c r="H339" i="6"/>
  <c r="H338" i="6"/>
  <c r="H340" i="6"/>
  <c r="F399" i="6"/>
  <c r="H327" i="6"/>
  <c r="H326" i="6"/>
  <c r="H328" i="6"/>
  <c r="H321" i="6"/>
  <c r="H320" i="6"/>
  <c r="H322" i="6"/>
  <c r="H315" i="6"/>
  <c r="H314" i="6"/>
  <c r="H316" i="6"/>
  <c r="H309" i="6"/>
  <c r="H308" i="6"/>
  <c r="H310" i="6"/>
  <c r="H303" i="6"/>
  <c r="H302" i="6"/>
  <c r="H304" i="6"/>
  <c r="H297" i="6"/>
  <c r="H296" i="6"/>
  <c r="H298" i="6"/>
  <c r="H291" i="6"/>
  <c r="H290" i="6"/>
  <c r="H292" i="6"/>
  <c r="H285" i="6"/>
  <c r="H284" i="6"/>
  <c r="H286" i="6"/>
  <c r="H279" i="6"/>
  <c r="H278" i="6"/>
  <c r="H280" i="6"/>
  <c r="H272" i="6"/>
  <c r="H271" i="6"/>
  <c r="H273" i="6"/>
  <c r="F332" i="6"/>
  <c r="H511" i="6"/>
  <c r="H510" i="6"/>
  <c r="H512" i="6"/>
  <c r="H505" i="6"/>
  <c r="H504" i="6"/>
  <c r="H506" i="6"/>
  <c r="H499" i="6"/>
  <c r="H498" i="6"/>
  <c r="H500" i="6"/>
  <c r="H493" i="6"/>
  <c r="H492" i="6"/>
  <c r="H494" i="6"/>
  <c r="H487" i="6"/>
  <c r="H486" i="6"/>
  <c r="H488" i="6"/>
  <c r="H481" i="6"/>
  <c r="H480" i="6"/>
  <c r="H482" i="6"/>
  <c r="H475" i="6"/>
  <c r="H474" i="6"/>
  <c r="H476" i="6"/>
  <c r="H469" i="6"/>
  <c r="H468" i="6"/>
  <c r="H470" i="6"/>
  <c r="H518" i="6"/>
  <c r="H517" i="6"/>
  <c r="H519" i="6"/>
  <c r="H525" i="6"/>
  <c r="H524" i="6"/>
  <c r="H526" i="6"/>
  <c r="F531" i="6"/>
  <c r="H258" i="6"/>
  <c r="H257" i="6"/>
  <c r="H259" i="6"/>
  <c r="H252" i="6"/>
  <c r="H251" i="6"/>
  <c r="H253" i="6"/>
  <c r="H246" i="6"/>
  <c r="H245" i="6"/>
  <c r="H247" i="6"/>
  <c r="H240" i="6"/>
  <c r="H239" i="6"/>
  <c r="H241" i="6"/>
  <c r="H234" i="6"/>
  <c r="H233" i="6"/>
  <c r="H235" i="6"/>
  <c r="H228" i="6"/>
  <c r="H229" i="6"/>
  <c r="H222" i="6"/>
  <c r="H221" i="6"/>
  <c r="H223" i="6"/>
  <c r="H216" i="6"/>
  <c r="H215" i="6"/>
  <c r="H217" i="6"/>
  <c r="H210" i="6"/>
  <c r="H209" i="6"/>
  <c r="H211" i="6"/>
  <c r="H204" i="6"/>
  <c r="H203" i="6"/>
  <c r="H205" i="6"/>
  <c r="F264" i="6"/>
  <c r="G531" i="6"/>
  <c r="F532" i="6"/>
  <c r="F526" i="6"/>
  <c r="F525" i="6"/>
  <c r="F519" i="6"/>
  <c r="F518" i="6"/>
  <c r="G464" i="6"/>
  <c r="F459" i="6"/>
  <c r="F458" i="6"/>
  <c r="F453" i="6"/>
  <c r="F452" i="6"/>
  <c r="F447" i="6"/>
  <c r="F446" i="6"/>
  <c r="F441" i="6"/>
  <c r="F440" i="6"/>
  <c r="F435" i="6"/>
  <c r="F434" i="6"/>
  <c r="F465" i="6"/>
  <c r="F322" i="6"/>
  <c r="F321" i="6"/>
  <c r="H227" i="6"/>
  <c r="H192" i="6"/>
  <c r="H186" i="6"/>
  <c r="H180" i="6"/>
  <c r="H174" i="6"/>
  <c r="H168" i="6"/>
  <c r="H162" i="6"/>
  <c r="H150" i="6"/>
  <c r="H144" i="6"/>
  <c r="H138" i="6"/>
  <c r="H127" i="6"/>
  <c r="H121" i="6"/>
  <c r="H115" i="6"/>
  <c r="H103" i="6"/>
  <c r="H91" i="6"/>
  <c r="H85" i="6"/>
  <c r="H79" i="6"/>
  <c r="H56" i="6"/>
  <c r="H50" i="6"/>
  <c r="H44" i="6"/>
  <c r="H38" i="6"/>
  <c r="H26" i="6"/>
  <c r="H27" i="6"/>
  <c r="H28" i="6"/>
  <c r="H33" i="6"/>
  <c r="H32" i="6"/>
  <c r="H34" i="6"/>
  <c r="H39" i="6"/>
  <c r="H40" i="6"/>
  <c r="H45" i="6"/>
  <c r="H46" i="6"/>
  <c r="H51" i="6"/>
  <c r="H52" i="6"/>
  <c r="H57" i="6"/>
  <c r="H58" i="6"/>
  <c r="H63" i="6"/>
  <c r="H62" i="6"/>
  <c r="H64" i="6"/>
  <c r="H21" i="6"/>
  <c r="H20" i="6"/>
  <c r="H22" i="6"/>
  <c r="H15" i="6"/>
  <c r="H14" i="6"/>
  <c r="H16" i="6"/>
  <c r="H9" i="6"/>
  <c r="H8" i="6"/>
  <c r="H10" i="6"/>
  <c r="F69" i="6"/>
  <c r="G69" i="6"/>
  <c r="F70" i="6"/>
  <c r="F9" i="6"/>
  <c r="F579" i="6"/>
  <c r="F578" i="6"/>
  <c r="F573" i="6"/>
  <c r="F572" i="6"/>
  <c r="F567" i="6"/>
  <c r="F566" i="6"/>
  <c r="F561" i="6"/>
  <c r="F560" i="6"/>
  <c r="F555" i="6"/>
  <c r="F554" i="6"/>
  <c r="F549" i="6"/>
  <c r="F548" i="6"/>
  <c r="F543" i="6"/>
  <c r="F542" i="6"/>
  <c r="F537" i="6"/>
  <c r="F536" i="6"/>
  <c r="H156" i="6"/>
  <c r="H145" i="6"/>
  <c r="H97" i="6"/>
  <c r="H73" i="6"/>
  <c r="F328" i="6"/>
  <c r="F327" i="6"/>
  <c r="G134" i="6"/>
  <c r="H128" i="6"/>
  <c r="H129" i="6"/>
  <c r="H122" i="6"/>
  <c r="H123" i="6"/>
  <c r="H116" i="6"/>
  <c r="H117" i="6"/>
  <c r="H110" i="6"/>
  <c r="H111" i="6"/>
  <c r="H104" i="6"/>
  <c r="H105" i="6"/>
  <c r="H98" i="6"/>
  <c r="H99" i="6"/>
  <c r="H92" i="6"/>
  <c r="H93" i="6"/>
  <c r="H86" i="6"/>
  <c r="H87" i="6"/>
  <c r="H80" i="6"/>
  <c r="H81" i="6"/>
  <c r="H74" i="6"/>
  <c r="H75" i="6"/>
  <c r="F134" i="6"/>
  <c r="G399" i="6"/>
  <c r="G332" i="6"/>
  <c r="G264" i="6"/>
  <c r="G199" i="6"/>
  <c r="H193" i="6"/>
  <c r="H194" i="6"/>
  <c r="H187" i="6"/>
  <c r="H188" i="6"/>
  <c r="H181" i="6"/>
  <c r="H182" i="6"/>
  <c r="H175" i="6"/>
  <c r="H176" i="6"/>
  <c r="H169" i="6"/>
  <c r="H170" i="6"/>
  <c r="H163" i="6"/>
  <c r="H164" i="6"/>
  <c r="H157" i="6"/>
  <c r="H158" i="6"/>
  <c r="H151" i="6"/>
  <c r="H152" i="6"/>
  <c r="H146" i="6"/>
  <c r="H139" i="6"/>
  <c r="H140" i="6"/>
  <c r="F199" i="6"/>
  <c r="F429" i="6"/>
  <c r="F428" i="6"/>
  <c r="F423" i="6"/>
  <c r="F422" i="6"/>
  <c r="F417" i="6"/>
  <c r="F416" i="6"/>
  <c r="F411" i="6"/>
  <c r="F410" i="6"/>
  <c r="F405" i="6"/>
  <c r="F404" i="6"/>
  <c r="F400" i="6"/>
  <c r="F394" i="6"/>
  <c r="F393" i="6"/>
  <c r="F388" i="6"/>
  <c r="F387" i="6"/>
  <c r="F382" i="6"/>
  <c r="F381" i="6"/>
  <c r="F376" i="6"/>
  <c r="F375" i="6"/>
  <c r="F370" i="6"/>
  <c r="F369" i="6"/>
  <c r="F364" i="6"/>
  <c r="F363" i="6"/>
  <c r="F358" i="6"/>
  <c r="F357" i="6"/>
  <c r="F352" i="6"/>
  <c r="F351" i="6"/>
  <c r="F346" i="6"/>
  <c r="F345" i="6"/>
  <c r="F340" i="6"/>
  <c r="F339" i="6"/>
  <c r="F333" i="6"/>
  <c r="F316" i="6"/>
  <c r="F315" i="6"/>
  <c r="F310" i="6"/>
  <c r="F309" i="6"/>
  <c r="F304" i="6"/>
  <c r="F303" i="6"/>
  <c r="F298" i="6"/>
  <c r="F297" i="6"/>
  <c r="F292" i="6"/>
  <c r="F291" i="6"/>
  <c r="F286" i="6"/>
  <c r="F285" i="6"/>
  <c r="F280" i="6"/>
  <c r="F279" i="6"/>
  <c r="F274" i="6"/>
  <c r="F273" i="6"/>
  <c r="F265" i="6"/>
  <c r="F259" i="6"/>
  <c r="F258" i="6"/>
  <c r="F253" i="6"/>
  <c r="F252" i="6"/>
  <c r="F247" i="6"/>
  <c r="F246" i="6"/>
  <c r="F241" i="6"/>
  <c r="F240" i="6"/>
  <c r="F235" i="6"/>
  <c r="F234" i="6"/>
  <c r="F229" i="6"/>
  <c r="F228" i="6"/>
  <c r="F223" i="6"/>
  <c r="F222" i="6"/>
  <c r="F217" i="6"/>
  <c r="F216" i="6"/>
  <c r="F211" i="6"/>
  <c r="F210" i="6"/>
  <c r="F205" i="6"/>
  <c r="F204" i="6"/>
  <c r="F200" i="6"/>
  <c r="F194" i="6"/>
  <c r="F193" i="6"/>
  <c r="F188" i="6"/>
  <c r="F187" i="6"/>
  <c r="F182" i="6"/>
  <c r="F181" i="6"/>
  <c r="F176" i="6"/>
  <c r="F175" i="6"/>
  <c r="F170" i="6"/>
  <c r="F169" i="6"/>
  <c r="F164" i="6"/>
  <c r="F163" i="6"/>
  <c r="F158" i="6"/>
  <c r="F157" i="6"/>
  <c r="F152" i="6"/>
  <c r="F151" i="6"/>
  <c r="F146" i="6"/>
  <c r="F145" i="6"/>
  <c r="F140" i="6"/>
  <c r="F139" i="6"/>
  <c r="F135" i="6"/>
  <c r="F129" i="6"/>
  <c r="F128" i="6"/>
  <c r="F123" i="6"/>
  <c r="F122" i="6"/>
  <c r="F117" i="6"/>
  <c r="F116" i="6"/>
  <c r="F111" i="6"/>
  <c r="F110" i="6"/>
  <c r="F105" i="6"/>
  <c r="F104" i="6"/>
  <c r="F99" i="6"/>
  <c r="F98" i="6"/>
  <c r="F93" i="6"/>
  <c r="F92" i="6"/>
  <c r="F87" i="6"/>
  <c r="F86" i="6"/>
  <c r="F81" i="6"/>
  <c r="F80" i="6"/>
  <c r="F75" i="6"/>
  <c r="F74" i="6"/>
  <c r="F64" i="6"/>
  <c r="F63" i="6"/>
  <c r="F58" i="6"/>
  <c r="F57" i="6"/>
  <c r="F52" i="6"/>
  <c r="F51" i="6"/>
  <c r="F46" i="6"/>
  <c r="F45" i="6"/>
  <c r="F40" i="6"/>
  <c r="F39" i="6"/>
  <c r="F34" i="6"/>
  <c r="F33" i="6"/>
  <c r="F28" i="6"/>
  <c r="F27" i="6"/>
  <c r="F22" i="6"/>
  <c r="F21" i="6"/>
  <c r="F16" i="6"/>
  <c r="F15" i="6"/>
  <c r="F10" i="6"/>
  <c r="F500" i="6"/>
  <c r="F499" i="6"/>
  <c r="F512" i="6"/>
  <c r="F511" i="6"/>
  <c r="F506" i="6"/>
  <c r="F505" i="6"/>
  <c r="F494" i="6"/>
  <c r="F493" i="6"/>
  <c r="F488" i="6"/>
  <c r="F487" i="6"/>
  <c r="F482" i="6"/>
  <c r="F481" i="6"/>
  <c r="F476" i="6"/>
  <c r="F475" i="6"/>
  <c r="F470" i="6"/>
  <c r="F469" i="6"/>
</calcChain>
</file>

<file path=xl/sharedStrings.xml><?xml version="1.0" encoding="utf-8"?>
<sst xmlns="http://schemas.openxmlformats.org/spreadsheetml/2006/main" count="1857" uniqueCount="630">
  <si>
    <t>TEMA 1</t>
  </si>
  <si>
    <t>Marca con una X la respuesta correcta</t>
  </si>
  <si>
    <t>CORRECTO</t>
  </si>
  <si>
    <t>Preguntas correctas = 1 punto</t>
  </si>
  <si>
    <t>Preguntas falladas = -0.33 puntos</t>
  </si>
  <si>
    <t>Preguntas no respondida = 0 puntos</t>
  </si>
  <si>
    <t>APROBADO</t>
  </si>
  <si>
    <t>SUSPENDIDO</t>
  </si>
  <si>
    <t>NOTA</t>
  </si>
  <si>
    <t>a</t>
  </si>
  <si>
    <t>b</t>
  </si>
  <si>
    <t>c</t>
  </si>
  <si>
    <t>d</t>
  </si>
  <si>
    <t>e</t>
  </si>
  <si>
    <t>E</t>
  </si>
  <si>
    <t>•</t>
  </si>
  <si>
    <t>TEMA 8</t>
  </si>
  <si>
    <t>SRI</t>
  </si>
  <si>
    <t>Transporte</t>
  </si>
  <si>
    <t>Aplicación</t>
  </si>
  <si>
    <t>Presentacion</t>
  </si>
  <si>
    <t>Internet</t>
  </si>
  <si>
    <t>192.168.0.1/16</t>
  </si>
  <si>
    <t>21.255.254.255/24</t>
  </si>
  <si>
    <t>145.34.1.0/16</t>
  </si>
  <si>
    <t>10.0.0.255/8</t>
  </si>
  <si>
    <t>10.10.10.1/8</t>
  </si>
  <si>
    <t>172.26.3.1/16</t>
  </si>
  <si>
    <t>172.168.4.1/16</t>
  </si>
  <si>
    <t>192.168.0.3/24</t>
  </si>
  <si>
    <t>No existe tabla de encaminamiento en los host porque el encaminamiento depende exclusivamente de los routers</t>
  </si>
  <si>
    <t>Todos los host de una misma red deben tener obligatoriamente entradas idénticas en sus tablas de encaminamiento</t>
  </si>
  <si>
    <t>Un router solo puede encaminar hacia las redes a las que está directamente conectado</t>
  </si>
  <si>
    <t>La tabla de encaminamiento de un host debe contener al menos dos entradas, una para la red local y otra para salir de la red local</t>
  </si>
  <si>
    <t>Los puertos de encaminamiento ofrecen la interfaz por el que los procesos del nivel de aplicación acceden a las transmisiones de datos</t>
  </si>
  <si>
    <t>La principal utilidad de la numeración de los puertos de comunicación es distinguir los puertos del protocolo TCP de los puertos del protocolo UDP</t>
  </si>
  <si>
    <t>Los puertos permiten a los equipos mantener varias comunicaciones extremo a extremo pero no simultáneamente</t>
  </si>
  <si>
    <t>Existen puertos de comunicaciones exclusivos de TCP, otros exclusivos de UDP y otros mixtos, válidos para TCP y UDP</t>
  </si>
  <si>
    <t>Un router consulta la dirección IP de origen del datagrama a la hora de encaminarlo</t>
  </si>
  <si>
    <t>Un router consulta la dirección IP de destino del datagrama a la hora de encaminarlo</t>
  </si>
  <si>
    <t>Un router descarta los datagramas IP que van dirigidos a una red a la que están directamente conectados</t>
  </si>
  <si>
    <t>Para encaminar, un router necesita conocer las rutas para todas las redes públicas.</t>
  </si>
  <si>
    <t>El Servidor permanece siempre a la escucha en un puerto y puede atender varias solicitudes simultánea</t>
  </si>
  <si>
    <t>Los servidores son los que inician la comunicación con el cliente.</t>
  </si>
  <si>
    <t>El Cliente permanece siempre a la escucha en un puerto para atender las posibles peticiones del servidor.</t>
  </si>
  <si>
    <t>Los servidores y los clientes comparten recursos por igual.</t>
  </si>
  <si>
    <t>Los protocolos de aplicación y las aplicaciones son lo mismo.</t>
  </si>
  <si>
    <t>Cada Aplicación utiliza un único protocolo, específico de dicha aplicación,  que comunica la interfaz de usuario con la red.</t>
  </si>
  <si>
    <t>Una aplicación utiliza uno o varios protocolos del nivel de aplicación, que le comunican directamente con las demás aplicaciones, pues no puede comunicarse con protocolos de otros niveles.</t>
  </si>
  <si>
    <t>Una aplicación utiliza protocolos del nivel de aplicación, que a su vez utilizan protocolos de niveles inferiores para poder transmitirse.</t>
  </si>
  <si>
    <t>Es la interfaz de red a la que el router envía los datagramas descartados.</t>
  </si>
  <si>
    <t>Es la interfaz de red a la que se envían los datagramas para salir de la red local.</t>
  </si>
  <si>
    <t>Es la interfaz de red a la que se envían los datagramas que salen a Internet.</t>
  </si>
  <si>
    <t>Es la interfaz de red a la que se envían todos los datagramas para ser encaminados.</t>
  </si>
  <si>
    <t>Tendrá primero que conectarse a la IP pública de su router, que le remitirá a la web de google.es</t>
  </si>
  <si>
    <t>Tendrá primero que comunicarse con la IP privada de su router, que hará NAT para poder enviar el mensaje a google.es</t>
  </si>
  <si>
    <t>Podrá comunicarse directamente con google.es puesto que desde que hay IPv6 los equipos pueden conectarse extremo a extremo.</t>
  </si>
  <si>
    <t>No podrá comunicarse con google.es porque tenemos que configurar manualmente un port forwarding en el router para que los mensajes de vuelta lleguen al equipo</t>
  </si>
  <si>
    <t>Configurar manualmente los equipos de la red es costoso en tiempo</t>
  </si>
  <si>
    <t>Se pueden cometer errores al configurar manualmente los parámetros de la red de los equipos</t>
  </si>
  <si>
    <t>Si un equipo no autorizado se configura con una dirección IP válida podría acceder a la red</t>
  </si>
  <si>
    <t>Si un equipo se conecta a una subred diferente es necesario volver a configurarlo manualmente.</t>
  </si>
  <si>
    <t>2 .-</t>
  </si>
  <si>
    <t>¿Qué es cierto?</t>
  </si>
  <si>
    <t>1 .-</t>
  </si>
  <si>
    <t>Un servidor DHCP tiene mecanismos de seguridad para detectar clientes no autorizados</t>
  </si>
  <si>
    <t>Un servidor DHCP mantiene una base de datos con todas las concesiones activas</t>
  </si>
  <si>
    <t>Un servidor DHCP no puede dar servicio a varias subredes a la vez</t>
  </si>
  <si>
    <t>Un servidor DHCP no puede cambiar su configuración una vez iniciado.</t>
  </si>
  <si>
    <t>3 .-</t>
  </si>
  <si>
    <t>¿Qué no es cierto al hablar de las reservas?</t>
  </si>
  <si>
    <t xml:space="preserve">
Las reservas son lo mismo que las exclusiones
</t>
  </si>
  <si>
    <t>Se utilizan para configurar equipos que necesitan tener siempre la misma IP</t>
  </si>
  <si>
    <t>Es necesario saber la dirección MAC del equipos al que se le quiere reservar una dirección IP</t>
  </si>
  <si>
    <t>Si un equipo configurado con una reserva se reinicia, este obtendrá la misma dirección IP</t>
  </si>
  <si>
    <t>4 .-</t>
  </si>
  <si>
    <t>Dhcp3</t>
  </si>
  <si>
    <t>Servidor DHCP de Windows 2012</t>
  </si>
  <si>
    <t>Servidor DHCP integrado en un router</t>
  </si>
  <si>
    <t>Agent Rely</t>
  </si>
  <si>
    <t>5 .-</t>
  </si>
  <si>
    <t>Los parámetros se definen siempre a nivel del servidor y son comunes para todos los ámbitos.</t>
  </si>
  <si>
    <t xml:space="preserve">
Permiten notificar a todos los clientes un cambio en el servidor DNS que les da servicio
</t>
  </si>
  <si>
    <t>Permiten configurar la máscara de subred, la puerta de enlace, servidores DNS, correo, etc</t>
  </si>
  <si>
    <t>La configuración manual de un parámetro prevalece ante la enviada por el servidor DHCP</t>
  </si>
  <si>
    <t>6 .-</t>
  </si>
  <si>
    <t>¿Qué es falso?</t>
  </si>
  <si>
    <t>En una red pueden existir varios servidores DHCP</t>
  </si>
  <si>
    <t>Un mismo servidor DHCP puede dar servicio a varias subredes</t>
  </si>
  <si>
    <t>Dos servidores DHCP pueden trabajar de manera conjunta</t>
  </si>
  <si>
    <t>Un servidor DHCP aumenta considerablemente el tráfico de una red</t>
  </si>
  <si>
    <t>7 .-</t>
  </si>
  <si>
    <t>8 .-</t>
  </si>
  <si>
    <t xml:space="preserve">9 .- </t>
  </si>
  <si>
    <t xml:space="preserve">10 .- </t>
  </si>
  <si>
    <t>¿Qué tipo de asignación tiene un tiempo de concesión ilimitado?</t>
  </si>
  <si>
    <t>Asignación estática</t>
  </si>
  <si>
    <t>Asignación automática</t>
  </si>
  <si>
    <t>Asignación Dinámica</t>
  </si>
  <si>
    <t>Todos los tipos de asignación tienen un tiempo de concesión limitado.</t>
  </si>
  <si>
    <t>Cada vez que se reinicia el cliente intenta renovar la concesión</t>
  </si>
  <si>
    <t>Se intenta renovar la concesión periódicamente cada cierto tiempo configurable</t>
  </si>
  <si>
    <t>El cliente puede solicitar la renovación manualmente</t>
  </si>
  <si>
    <t>Antes de finalizar el plazo de concesión se solicita la renovación.</t>
  </si>
  <si>
    <t>Se suelen utilizar los ámbitos para administrar las diferentes subredes lógicas a configurar</t>
  </si>
  <si>
    <t>Se pueden establecer opciones de configuración a nivel de ámbito o comunes para todos los ámbitos</t>
  </si>
  <si>
    <t>Un servidor DHCP3 puede configurar equipos clientes con S.O. Windows</t>
  </si>
  <si>
    <t>El servidor DHCP integrado en Windows Server 2012 no puede configurar equipos clientes Linux</t>
  </si>
  <si>
    <t>¿Qué comando relacionado con DHCP no existe?</t>
  </si>
  <si>
    <t>ipconfig /release</t>
  </si>
  <si>
    <t>ipconfig /renew</t>
  </si>
  <si>
    <t>ipconfig /reserve</t>
  </si>
  <si>
    <t>ipconfig /all</t>
  </si>
  <si>
    <t>TEMA 3 DNS</t>
  </si>
  <si>
    <t>TEMA 2 DHCP</t>
  </si>
  <si>
    <t>Los dominios .com y .net están definidos dentro de…</t>
  </si>
  <si>
    <t>Los ggcTLD</t>
  </si>
  <si>
    <t>Los ccTLD</t>
  </si>
  <si>
    <t>Los gTLD</t>
  </si>
  <si>
    <t>Los h-TLD</t>
  </si>
  <si>
    <t>La estructura de DNS es</t>
  </si>
  <si>
    <t>Plana para facilidad de configuración</t>
  </si>
  <si>
    <t xml:space="preserve">
Jerárquica por facilidad de búsqueda
</t>
  </si>
  <si>
    <t xml:space="preserve">
Jerárquica por agotamiento de direcciones</t>
  </si>
  <si>
    <t>Plana y Jerárquica simultáneamente.</t>
  </si>
  <si>
    <t>En un Servidor DNS es imprescindible configurar al menos:</t>
  </si>
  <si>
    <t>Regiones</t>
  </si>
  <si>
    <t>Una Zona de Búsqueda inversa (Reverse Zone)</t>
  </si>
  <si>
    <t>Ámbitos</t>
  </si>
  <si>
    <t>Una Zona de Búsqueda Directa</t>
  </si>
  <si>
    <t>¿Cómo accede nuestro navegador a la dirección solicitada?</t>
  </si>
  <si>
    <t>Solicita la dirección a un servidor DNS, en caso de ser correcta nos devuelve la dirección IP que utilizamos y almacena en la memoria Caché para futuras consultas. En caso de ser incorrecta, nos redirecciona a otro servidor. Luego la guarda en la caché para futuras consultas.</t>
  </si>
  <si>
    <t>Solicita la dirección a un servidor DNS, en caso de ser correcta nos devuelve la dirección IP que utilizamos y almacena en el archivo Hosts para futuras consultas. En caso de ser incorrecta, nos redirecciona a otro servidor. Luego la guarda en la caché para futuras consultas</t>
  </si>
  <si>
    <t>Comprueba si ya tenemos información de la URL en el archivo en la caché. De ser así, mira el archivo Hosts; de no haberlo hecho lo solicita a su servidor DNS para que le diga la IP de ese dominio. Luego la guarda en la caché para futuras consultas.</t>
  </si>
  <si>
    <t>Consulta el archivo Hosts, que se actualiza automáticamente, y accede al servidor solicitado a través de la IP que lo identifica.</t>
  </si>
  <si>
    <t>La autoridad que regula los dominios raíz de DNS se llama:</t>
  </si>
  <si>
    <t>NIC (Network Information Center)</t>
  </si>
  <si>
    <t>IANA</t>
  </si>
  <si>
    <t>W3C</t>
  </si>
  <si>
    <t>ISO</t>
  </si>
  <si>
    <t>¿Qué registros de recursos permiten asociar direcciones IP a nombres en la resolución inversa?</t>
  </si>
  <si>
    <t>NS y SOA</t>
  </si>
  <si>
    <t>A y AAAA</t>
  </si>
  <si>
    <t>CNAME y MX</t>
  </si>
  <si>
    <t>PTR</t>
  </si>
  <si>
    <t>¿Qué tipo de sistema es el sistema de nombres de dominios en Internet?</t>
  </si>
  <si>
    <t>Se trata de un sistema centralizado e independiente y plano. El punto central se basa en un árbol que define la jerarquía entre los dominios y los sub-dominios.</t>
  </si>
  <si>
    <t>Se trata de un sistema centralizado, independiente y único. El punto central se basa en un árbol que define la jerarquía entre los dominios y los sub-dominios.</t>
  </si>
  <si>
    <t>Se trata de un sistema distribuido, jerárquico, replicado y tolerante a fallos. El punto central se basa en un árbol que define la jerarquía entre los dominios y los sub-dominios.</t>
  </si>
  <si>
    <t>Se trata de un sistema distribuido, plano y replicado . El punto central se basa en un árbol que define la jerarquía entre los dominios y los sub-dominios.</t>
  </si>
  <si>
    <t>¿Qué RR fundamentales hay en un servidor DNS que es autoridad de zona?</t>
  </si>
  <si>
    <t>IN, A, SOA, NS, MX</t>
  </si>
  <si>
    <t>SOA, A</t>
  </si>
  <si>
    <t>A, AAAA, PTR</t>
  </si>
  <si>
    <t>A, IN</t>
  </si>
  <si>
    <t>¿Las direcciones DNS utilizan algún tipo de jerarquía?</t>
  </si>
  <si>
    <t>No, todos los nombre son independientes entre si. Solo existe jerarquía dentro de un mismo dominio.</t>
  </si>
  <si>
    <t>Si, utiliza una jerarquía donde empezando por la derecha nos indica desde el nodo final hasta los nodos padres (Ejemplo: www.cc.intec.edu.es---&gt; es (nodo final) indica el nombre del país, edu el tipo de organización, intec el nombre de la organización, cc el departamento, www (nodo padre) el nombre del computador).</t>
  </si>
  <si>
    <t>A veces utiliza jerarquía, y otras utiliza nombres planos cómo en Hosts.</t>
  </si>
  <si>
    <t>10 .-</t>
  </si>
  <si>
    <t>¿Qué tipos de peticiones de dominio podemos distinguir?</t>
  </si>
  <si>
    <t xml:space="preserve">
Recursivas, iterativas, y recurrentes.
</t>
  </si>
  <si>
    <t>Todas son por definición recursivas.</t>
  </si>
  <si>
    <t>Recursivas e iterativas.</t>
  </si>
  <si>
    <t>Recurrentes y Simples</t>
  </si>
  <si>
    <t>TEMA 4 FTP</t>
  </si>
  <si>
    <t>Conexiones en modo activo</t>
  </si>
  <si>
    <t>Conexiones anónimas</t>
  </si>
  <si>
    <t>Conexiones en modo pasivo</t>
  </si>
  <si>
    <t>No me puedo conectar si utilizo NATP</t>
  </si>
  <si>
    <t xml:space="preserve">2 .- </t>
  </si>
  <si>
    <t>En FTPS explícito los clientes establecen conexiones de control al puerto 21/TCP de los servidores y negocian si utilizan SSL/TLS o no</t>
  </si>
  <si>
    <t>En FTPS explícito el cliente y el servidor pueden negociar qué parte de las comunicaciones, conexión de control y/o conexiones de datos serán cifradas</t>
  </si>
  <si>
    <t>FTP no es un protocolo seguro. Las conexiones de datos y de control no son cifradas</t>
  </si>
  <si>
    <t>FTP no es un protocolo seguro, el nombre y la contraseña de los usuario en la red se envía cifrada pero los ficheros intercambiados no</t>
  </si>
  <si>
    <t>Para conectarte a un servidor FTP por el puerto 51678 utilizando un navegador escribes en la url…</t>
  </si>
  <si>
    <t>http://miservidor_ftp/ftp$5</t>
  </si>
  <si>
    <t>ftp://miservidor_ftp@51678</t>
  </si>
  <si>
    <t>ftp://miservidor_ftp:51678</t>
  </si>
  <si>
    <t>no se puede hacer</t>
  </si>
  <si>
    <t>Respecto a distintos servidores y clientes FTP podemos afirmar que…</t>
  </si>
  <si>
    <t>Filezilla utiliza los usuarios del sistema operativo como usuarios del servidor FTP</t>
  </si>
  <si>
    <t>En el servidor vsftpd hay que habilitar la directiva write_enable=yes para permitir la conexión de usuarios locales</t>
  </si>
  <si>
    <t>El servidor FTP de Filezilla no permite conexiones de usuarios anónimos</t>
  </si>
  <si>
    <t>Desde cualquier cliente FTP, si no se indica explícitamente un puerto de conexión, se intenta conectar al puerto 21 del servidor. Pero siempre hay que indicar el servidor, usuario y contraseña.</t>
  </si>
  <si>
    <t>¿Cuál de las siguientes afirmaciones sobre TFTP es falsa?</t>
  </si>
  <si>
    <t>TFTP utiliza UDP como protocolo de transporte</t>
  </si>
  <si>
    <t>Cuando TFTP utiliza seguridad se le conoce como STFTP</t>
  </si>
  <si>
    <t>Las transferencias usando TFTP son más rápidas que usando FTP</t>
  </si>
  <si>
    <t>Las conexiones TFTP se suelen utilizar en carga automática de configuraciones de routers por no necesitar autenticación.</t>
  </si>
  <si>
    <t>El protocolo FTP abstrae a los usuarios de los detalles de los sistemas operativos utilizados por el servidor</t>
  </si>
  <si>
    <t>El protocolo FTP no permite transferencia de ficheros si los equipos tienen distintos Sistemas Operativos</t>
  </si>
  <si>
    <t>Es posible borrar un archivo en un sistema remoto usando un cliente FTP</t>
  </si>
  <si>
    <t>El protocolo FTP permite transferencias de ficheros entre equipos con distintos Sistemas Operativos</t>
  </si>
  <si>
    <t>Para transmitir con FTP un fichero .iso utilizarías preferiblemente…</t>
  </si>
  <si>
    <t>es indiferente</t>
  </si>
  <si>
    <t>modo pasivo</t>
  </si>
  <si>
    <t>modo binario</t>
  </si>
  <si>
    <t>modo ascii</t>
  </si>
  <si>
    <t>9 .-</t>
  </si>
  <si>
    <t>Normalmente los usuarios anónimos están confinados en su directorio home.</t>
  </si>
  <si>
    <t>Los usuario locales no pueden estar confinados o enjaulados en su directorio home</t>
  </si>
  <si>
    <t>Lo habitual es que los usuarios anónimos solo puedan bajar archivos</t>
  </si>
  <si>
    <t>Los usuarios de un servidor FTP pueden ser usuarios locales del sistema o usuarios virtuales</t>
  </si>
  <si>
    <t xml:space="preserve">¿Qué es cierto?
</t>
  </si>
  <si>
    <t>Los clientes FTP, en el modo activo, inician una conexión con el puerto 20/TCP de los servidores.</t>
  </si>
  <si>
    <t>Los clientes FTP establecen conexiones de control al puerto 21/UDP de los servidores FTP</t>
  </si>
  <si>
    <t>En el modo activo, el servidor FTP inicia una conexión con el puerto 20/TCP del servidor cliente</t>
  </si>
  <si>
    <t>En el modo pasivo el cliente FTP inicia conexiones de datos a puertos mayores que 1023/TCP del servidor FTP</t>
  </si>
  <si>
    <t>ls y get fichero</t>
  </si>
  <si>
    <t>¡ls y put fichero</t>
  </si>
  <si>
    <t>ls y pwd fichero</t>
  </si>
  <si>
    <t>¡ls y get fichero</t>
  </si>
  <si>
    <t>TEMA 5 WEB</t>
  </si>
  <si>
    <t>¿Qué afirmación es cierta?</t>
  </si>
  <si>
    <t>La línea HTTP/1.1 200 OK es la línea de cabecera de un mensaje de petición HTTP</t>
  </si>
  <si>
    <t>El tipo MIME del mensaje se envía en la línea de estado del mensaje de respuesta</t>
  </si>
  <si>
    <t>La línea GET /index.html HTTP/1.1 puede ser la línea de petición de un mensaje de petición</t>
  </si>
  <si>
    <t>En los mensajes de respuesta siembre debe haber una línea en blanco antes del cuerpo del mensaje, aunque en los de petición no es necesaria.</t>
  </si>
  <si>
    <t>¿Cuál de los siguentes no es un servidor web?</t>
  </si>
  <si>
    <t>Lighttpd</t>
  </si>
  <si>
    <t>IIS</t>
  </si>
  <si>
    <t>Apache</t>
  </si>
  <si>
    <t>Firefox</t>
  </si>
  <si>
    <t>En caso de que a la hora de hacer una solicitud HTTP a un servidor se produzca un error en éste, ¿qué familia de código de respuesta devolverá?</t>
  </si>
  <si>
    <t>4xx</t>
  </si>
  <si>
    <t>3xx</t>
  </si>
  <si>
    <t>2xx</t>
  </si>
  <si>
    <t>5xx</t>
  </si>
  <si>
    <t>¿Qué es cierto sobre el alojamiento virtual de sitios web?</t>
  </si>
  <si>
    <t>Aunque IIS soporta esta característica, Apache 2 no puede hacerlo.</t>
  </si>
  <si>
    <t>El número máximo de servidores web virtuales en un equipo es de 25</t>
  </si>
  <si>
    <t>El alojamiento web basado en nombres es el más común para que sea transparente a los usuarios.</t>
  </si>
  <si>
    <t>Aumenta el número de máquinas físicas necesarias para alojar sitios web</t>
  </si>
  <si>
    <t>El uso de cookies mejora la seguridad de las aplicaciones web</t>
  </si>
  <si>
    <t>El uso de cookies permite a las aplicaciones web diferenciar a los usuarios para enviarles información personalizada.</t>
  </si>
  <si>
    <t>La utilización de cookies puede implementar la función de sesión de usuario para productos adquiridos en una compra online.</t>
  </si>
  <si>
    <t>Es obligatorio para toda web que utilice cookies avisar al usuario final sobre su existencia</t>
  </si>
  <si>
    <t xml:space="preserve">Sobre proxyes y cachés, ¿Qué es cierto?
</t>
  </si>
  <si>
    <t>Los proxies directos se utilizan generalmente para ofrecer acceso a servidores web que están detrás de cortafuegos y balancear la carga entre varios servidores.</t>
  </si>
  <si>
    <t>Los navegadores y proxies almacenan todos los recursos que reciben de los servidores en la caché para aumentar la velocidad de acceso</t>
  </si>
  <si>
    <t>Los servidores proxies inversos reciben la petición de los clientes directamente, y la redirigen al servidor correspondiente.</t>
  </si>
  <si>
    <t>Los proxies directos aceleran el tráfico de la red porque son capaces de filtrar tráfico no deseado, pero no son capaces de controlar el acceso por usuarios.</t>
  </si>
  <si>
    <t xml:space="preserve">Si el protocolo HTTP/1.1 utiliza conexiones persistentes implica que...
</t>
  </si>
  <si>
    <t>Aumenta el uso de CPU/memoria.</t>
  </si>
  <si>
    <t>La conexión no se cierra hasta que el usuario no apaga el equipo.</t>
  </si>
  <si>
    <t>El tiempo de respuesta es mayor, pero más fiable.</t>
  </si>
  <si>
    <t>En una misma conexión se transmiten varias peticiones y respuestas</t>
  </si>
  <si>
    <t xml:space="preserve">8 .- </t>
  </si>
  <si>
    <t>El cliente utiliza el método GET para solicitar la información.</t>
  </si>
  <si>
    <t>El servidor escucha en el puerto 80 por ser un servidor web</t>
  </si>
  <si>
    <t>El archivo buscar.php tiene que estar en el directorio raíz del servidor www.asir.net</t>
  </si>
  <si>
    <t>La información viaja cifrada</t>
  </si>
  <si>
    <t>Los métodos HTTP más comúnmente empleados son…</t>
  </si>
  <si>
    <t>POST, PUT y DELETE</t>
  </si>
  <si>
    <t>GET, PUT y HEAD</t>
  </si>
  <si>
    <t>POST, TRACE y HEAD</t>
  </si>
  <si>
    <t>GET, POST y HEAD</t>
  </si>
  <si>
    <t>Los mecanismos de autenticación Basic y Digest no son seguros</t>
  </si>
  <si>
    <t>HTTP es vulnerable a ataques de sniffing pero es inmune a man-in-the-middle</t>
  </si>
  <si>
    <t>HTTPS usa por defecto el puerto 443/TCP</t>
  </si>
  <si>
    <t>HTTPS utiliza certificados digitales</t>
  </si>
  <si>
    <t>TEMA 6 Correo Electronico</t>
  </si>
  <si>
    <t xml:space="preserve">El coste del correo electrónico es cero (sin contar la conexión a Internet). </t>
  </si>
  <si>
    <t xml:space="preserve">Es muy rápido, un email puede tardar entre un segundo o unos minutos en llegar. </t>
  </si>
  <si>
    <t xml:space="preserve">El email te permite mandar elementos físicos, como postales, detalles… </t>
  </si>
  <si>
    <t xml:space="preserve">Es más eficiente, el correo electrónico puede llegar a muchos destinatarios a la vez  </t>
  </si>
  <si>
    <t xml:space="preserve">En el correo electrónico, el MTA es: 
</t>
  </si>
  <si>
    <t xml:space="preserve">El agente de transferencia, que envía el correo de un ordenador a otro.  </t>
  </si>
  <si>
    <t xml:space="preserve">El agente de entrega, distribuye y entrega los correos a los buzones de los destinatarios. </t>
  </si>
  <si>
    <t xml:space="preserve">El cliente de correo que permite enviar, recibir y escribir correos. </t>
  </si>
  <si>
    <t xml:space="preserve">Ninguna de las anteriores es correcta. </t>
  </si>
  <si>
    <t xml:space="preserve">Al escribir un correo electrónico, el campo CCO se usa para 
</t>
  </si>
  <si>
    <t xml:space="preserve">3 .- </t>
  </si>
  <si>
    <t xml:space="preserve">Enviar un correo, pero los destinatarios ahí incluidos no serán visibles por los receptores.  </t>
  </si>
  <si>
    <t xml:space="preserve">Indicar la dirección del remitente. </t>
  </si>
  <si>
    <t xml:space="preserve">Enviar el correo a los destinatarios ahí incluidos. Los Usuarios de CC no pueden ver sus direcciones de correo, pero otros destinatarios CCO sí que pueden verse entre ellos. </t>
  </si>
  <si>
    <t xml:space="preserve">Para poner el asunto del email. </t>
  </si>
  <si>
    <t xml:space="preserve">Las direcciones de correo electrónico pueden estar formadas por: 
</t>
  </si>
  <si>
    <t xml:space="preserve">Nombre de usuario, arroba y nombre del servidor de correo electrónico. </t>
  </si>
  <si>
    <t xml:space="preserve">Nombre de usuario, arroba y nombre o IP del servidor de correo electrónico. </t>
  </si>
  <si>
    <t xml:space="preserve">Nombre de usuario, arroba e IP del servidor de correo electrónico. </t>
  </si>
  <si>
    <t xml:space="preserve">Nombre de usuario y contraseña. </t>
  </si>
  <si>
    <t xml:space="preserve">Los tipos MIME: 
</t>
  </si>
  <si>
    <t xml:space="preserve">Son unas especificaciones de intercambio de todo tipo de archivos (audio, vídeo, pdf, etc.) </t>
  </si>
  <si>
    <t xml:space="preserve">Gracias a los tipos MIME, podemos adjuntar casi cualquier tipo de archivo a nuestros emails. </t>
  </si>
  <si>
    <t xml:space="preserve">Los tipos MIME son capaces de soportar texto en caracteres no ASCII. </t>
  </si>
  <si>
    <t>Todas las anteriores son correctas</t>
  </si>
  <si>
    <t xml:space="preserve">La comunicación a través del email suele ser: 
</t>
  </si>
  <si>
    <t xml:space="preserve">6 .- </t>
  </si>
  <si>
    <t xml:space="preserve">De tipo escrito y en diferido </t>
  </si>
  <si>
    <t xml:space="preserve">De tipo escrito y en tiempo real </t>
  </si>
  <si>
    <t xml:space="preserve">De tipo voz y en diferido </t>
  </si>
  <si>
    <t xml:space="preserve">De tipo escrito y voz en tiempo real </t>
  </si>
  <si>
    <t xml:space="preserve">El programa Postfix es 
</t>
  </si>
  <si>
    <t xml:space="preserve">Un servidor de correo electrónico. </t>
  </si>
  <si>
    <t xml:space="preserve">Un servidor de páginas web. </t>
  </si>
  <si>
    <t xml:space="preserve">Un cliente de correo electrónico. </t>
  </si>
  <si>
    <t xml:space="preserve">Las opciones A y C son correctas. </t>
  </si>
  <si>
    <t xml:space="preserve">En España, el envío de comunicaciones comerciales por correo electrónico sin permiso (spam): 
</t>
  </si>
  <si>
    <t xml:space="preserve">Está totalmente permitido </t>
  </si>
  <si>
    <t xml:space="preserve">Está penado con multas de hasta 30000 €, o hasta 150000 € si el envío es de forma masiva </t>
  </si>
  <si>
    <t xml:space="preserve">Está penado con el cierre de la página web. </t>
  </si>
  <si>
    <t xml:space="preserve">El programa de correo Outlook es un: 
</t>
  </si>
  <si>
    <t>MDA</t>
  </si>
  <si>
    <t>MTA</t>
  </si>
  <si>
    <t>MUA</t>
  </si>
  <si>
    <t>Ninguna de las anteriores</t>
  </si>
  <si>
    <t xml:space="preserve">En el correo electrónico, los buzones de usuario son: </t>
  </si>
  <si>
    <t xml:space="preserve">Carpetas creadas en el cliente de correo para almacenar los emails recibidos de cada usuario. </t>
  </si>
  <si>
    <t xml:space="preserve">Dominios de correo electrónico, distinto para cada usuario. </t>
  </si>
  <si>
    <t>Carpetas creadas en el servidor de correo para almacenar los emails recibidos de cada usuario.</t>
  </si>
  <si>
    <t xml:space="preserve">Todas las opciones son verdaderas. </t>
  </si>
  <si>
    <t>TEMA  7 Mensajeria Instantanea</t>
  </si>
  <si>
    <t xml:space="preserve">Los servidores de Mensajería Instantánea:
</t>
  </si>
  <si>
    <t>Reciben las peticiones de conexión de los clientes, e informan automáticamente a los demás usuarios del cambio de estado de cualquiera.</t>
  </si>
  <si>
    <t>Reciben las peticiones de conexión de los clientes, pero no informan a los demás usuarios a no ser que éstos se lo soliciten.</t>
  </si>
  <si>
    <t>Mandan ping contínuo a sus usuarios registrados para comprobar su estado, y si están conectados mostrarlo adecuadamente a los demás usuarios.</t>
  </si>
  <si>
    <t>Pueden permanecer apagados siempre que ninguno de sus usuarios esté activo.</t>
  </si>
  <si>
    <t xml:space="preserve">En una lista de distribución…
</t>
  </si>
  <si>
    <t>Se puede programar el tiempo de visibilidad de un mensaje</t>
  </si>
  <si>
    <t>Podemos moderar los mensajes que envían los usuarios, según el tipo de lista que creemos.</t>
  </si>
  <si>
    <t>Podemos mantener un repositorio de mensajes relativos a un tema.</t>
  </si>
  <si>
    <t>Utilizan protocolo NTTP</t>
  </si>
  <si>
    <t>Un ejemplo de un servidor de IM es…</t>
  </si>
  <si>
    <t>Wampp</t>
  </si>
  <si>
    <t>Jabber</t>
  </si>
  <si>
    <t>Pan</t>
  </si>
  <si>
    <t>mIRC</t>
  </si>
  <si>
    <t xml:space="preserve">Un ejemplo de cliente de IM es…
</t>
  </si>
  <si>
    <t>Wanmp</t>
  </si>
  <si>
    <t>Whatsapp</t>
  </si>
  <si>
    <t>WWW</t>
  </si>
  <si>
    <t>WhoIs</t>
  </si>
  <si>
    <t>Una caracerística del protocolo IRC es que…</t>
  </si>
  <si>
    <t>Utiliza transporte por UDP.</t>
  </si>
  <si>
    <t>Utiliza siempre el puerto 6567</t>
  </si>
  <si>
    <t>Permite usuarios sin registrar</t>
  </si>
  <si>
    <t>El usuario sólo puede utilizar un canal (por ejemplo, deportes), y una vez elegido no puede cambiar a otro.</t>
  </si>
  <si>
    <t xml:space="preserve">Los grupos de noticias…
</t>
  </si>
  <si>
    <t>Permiten mantener un repositorio de mensajes relativos a un tema</t>
  </si>
  <si>
    <t>Podemos moderar los mensajes que envían los usuarios.</t>
  </si>
  <si>
    <t>Los mensajes nos llegan en forma de correo electrónico</t>
  </si>
  <si>
    <t>Debemos subscribirnos grupo a un canal.</t>
  </si>
  <si>
    <t>Almacenar mensajes para usuarios fuera de línea</t>
  </si>
  <si>
    <t>Crear salas de conferencia</t>
  </si>
  <si>
    <t xml:space="preserve">Mostrar el estado de los usuarios. </t>
  </si>
  <si>
    <t>Utiliza imagen para el usuario</t>
  </si>
  <si>
    <t xml:space="preserve">Los servidores de IM…
</t>
  </si>
  <si>
    <t>No son legales</t>
  </si>
  <si>
    <t>Utilizan todos protocolo XMPP</t>
  </si>
  <si>
    <t>No han seguido un estándar, y por lo tanto pueden utilizar cada uno un protocolo diferente.</t>
  </si>
  <si>
    <t>Parten de un protocolo IRC, que es modificado para que los usuarios puedan registrarse.</t>
  </si>
  <si>
    <t xml:space="preserve">Uno de los protocolos libres más utilizados (como base) para IM es:
</t>
  </si>
  <si>
    <t>XMPP</t>
  </si>
  <si>
    <t>XAMPP</t>
  </si>
  <si>
    <t>RTCP</t>
  </si>
  <si>
    <t>NTP</t>
  </si>
  <si>
    <t xml:space="preserve">Los clientes de mensajería Instantánea…
</t>
  </si>
  <si>
    <t>Son todos tipo texto, pues los clientes en modo gráfico consumirían muchos recursos</t>
  </si>
  <si>
    <t>Son todos gráficos, ya que nadie hoy en día utiliza otro método de acceso.</t>
  </si>
  <si>
    <t>Todos los que tienen modo texto también tienen modo gráfico.</t>
  </si>
  <si>
    <t>Pueden ser modo texto o modo gráfico, aunque lo más común es esto último.</t>
  </si>
  <si>
    <t>¿Cuántos canales simultáneos hacen falta en una comunicación streaming?</t>
  </si>
  <si>
    <t>Al menos uno, el de control, que utiliza RTSP</t>
  </si>
  <si>
    <t>Al menos uno, el de datos, que utiliza RTP.</t>
  </si>
  <si>
    <t>Al menos dos, el de control y el de datos.</t>
  </si>
  <si>
    <t>Todos los que queramos, según la cantidad de vídeos que queramos ver a la vez.</t>
  </si>
  <si>
    <t>Si utilizamos un códec MP3 para codificar un audio…</t>
  </si>
  <si>
    <t>Se pierde calidad, pero se reduce mucho su tamaño, por lo que se recomienda su uso en archivos de red.</t>
  </si>
  <si>
    <t>No se pierde calidad.</t>
  </si>
  <si>
    <t>Aumentamos el tamaño de archivo respecto a utilizar FLAC.</t>
  </si>
  <si>
    <t>Se pierde mucha calidad y por tanto no se recomienda su uso.</t>
  </si>
  <si>
    <t>El servicio de streaming se diferencia de otros servicios de transferencia de ficheros en que…</t>
  </si>
  <si>
    <t>Es el servidor el que inicia la comunicación con los clientes.</t>
  </si>
  <si>
    <t>El servidor utiliza múltiples puertos de escucha a la vez</t>
  </si>
  <si>
    <t>No hace falta que el archivo llegue entero para que se vaya leyendo</t>
  </si>
  <si>
    <t>El servidor tiene un buffer de entrada que permite atenuar el jitter.</t>
  </si>
  <si>
    <t>Si necesitamos enviar una señal de audio con una Frecuencia máxima de 4KHz, y una alta calidad (16 bits/muestra), necesitamos un Ancho de Banda mínimo de…</t>
  </si>
  <si>
    <t>128Kbps</t>
  </si>
  <si>
    <t>1Mbps</t>
  </si>
  <si>
    <t>700Kbps</t>
  </si>
  <si>
    <t>256Kbps</t>
  </si>
  <si>
    <t>Un ejemplo de servidor de voz sobre IP, también llamados VPBX, es…</t>
  </si>
  <si>
    <t>cSip</t>
  </si>
  <si>
    <t>Obelix</t>
  </si>
  <si>
    <t>Asterisk</t>
  </si>
  <si>
    <t>Ideafix</t>
  </si>
  <si>
    <t>Si nuestra Smart TV quiere enviar al servidor un mensaje de que la conexión es mala y se está recibiendo con mucha pérdida de paquetes, utilizaría protocolo…</t>
  </si>
  <si>
    <t>RTP</t>
  </si>
  <si>
    <t>HTTP</t>
  </si>
  <si>
    <t>RTSP</t>
  </si>
  <si>
    <t>Una imagen RAW que tiene 8 bits de profundidad y una resolución de 200x300px, ocupa un tamaño aproximado de…</t>
  </si>
  <si>
    <t>10MB</t>
  </si>
  <si>
    <t>48MB</t>
  </si>
  <si>
    <t>60MB</t>
  </si>
  <si>
    <t>4,8MB</t>
  </si>
  <si>
    <t>Si tenemos una centralita IP con un módulo de 2 FXO y otro de 4 FXS podemos…</t>
  </si>
  <si>
    <t>Conectar hasta 2 líneas ADSL y 4 de telefonía convencional</t>
  </si>
  <si>
    <t>Conectar hasta 4 líneas normales de telefonía y hasta 2 faxes</t>
  </si>
  <si>
    <t>Conectar hasta 2 líneas normales de telefonía, y hasta 4 terminales (fax, teléfonos, adaptadores…)</t>
  </si>
  <si>
    <t>Daría error porque el número de FXS y FXO debe ser el mismo en cualquier centralita IP</t>
  </si>
  <si>
    <t>Si estamos viendo un vídeo de youtube a través de su web, estamos utilizando una arquitectura…</t>
  </si>
  <si>
    <t>Client-less</t>
  </si>
  <si>
    <t>Cliente/servidor</t>
  </si>
  <si>
    <t>Server-less</t>
  </si>
  <si>
    <t>Peer to Peer</t>
  </si>
  <si>
    <t>MP4 es un ejemplo de:</t>
  </si>
  <si>
    <t>Códec de audio</t>
  </si>
  <si>
    <t>Formato multimedia</t>
  </si>
  <si>
    <t>Formato contenedor</t>
  </si>
  <si>
    <t>Códec de vídeo</t>
  </si>
  <si>
    <t>PEC1</t>
  </si>
  <si>
    <t>En una conexión observamos que el cliente ha utilizado la IP 192.168.1.33 y el puerto 53247 para solicitar una página web, pero el router ha sacado dicho paquete a Internet con la IP 186.25.68.129 y el puerto 38104. ¿Qué ha pasado?</t>
  </si>
  <si>
    <t>Que el cortafuegos está filtrando la conexión</t>
  </si>
  <si>
    <t>Que el router tiene activado NAT</t>
  </si>
  <si>
    <t>Que hay configurado un port-forwarding en el router hacia el 186.25.68.129</t>
  </si>
  <si>
    <t>Que el router tiene activado PAT o NATP</t>
  </si>
  <si>
    <t xml:space="preserve">¿Cuál de las siguientes afirmaciones es cierta sobre el modelo cliente-servidor?
</t>
  </si>
  <si>
    <t>El servidor inicia la comunicación con sus clientes.</t>
  </si>
  <si>
    <t>El servidor utiliza los puertos reservados definidos para cada protocolo asociado a un servicio.</t>
  </si>
  <si>
    <t>El cliente utiliza siempre los mismos puertos para comunicarse con un determinado servicio.</t>
  </si>
  <si>
    <t>El cliente y el servidor comparten recursos por igual</t>
  </si>
  <si>
    <t xml:space="preserve">En un servidor DHCP se puede configurar el tiempo que se “presta” una dirección a un cliente mediante…
</t>
  </si>
  <si>
    <t>El tiempo de concesión o lease time</t>
  </si>
  <si>
    <t>No se puede configurar porque siempre se establece al doble del tiempo del servidor.</t>
  </si>
  <si>
    <t>El tiempo de consulta o checking time</t>
  </si>
  <si>
    <t>El tiempo de reserva o reverse time</t>
  </si>
  <si>
    <t>10.100.1.1</t>
  </si>
  <si>
    <t>169.254.30.1</t>
  </si>
  <si>
    <t>172.35.1.8</t>
  </si>
  <si>
    <t>Conectar el servidor directamente a dichas subredes</t>
  </si>
  <si>
    <t>Que los enrutadores que conectan las subredes tengan la capacidad de retransmitir los mensajes del protocolo DHCP entre ellas</t>
  </si>
  <si>
    <t>Que el servidor DHCP envíe periódicamente un mensaje DHCP_CONECT a todas las subredes existentes para indicar a los potenciales clientes dónde está y poder ofrecerles IPs.</t>
  </si>
  <si>
    <t>Que exista en cada subred un agente de retransmisión DHCP configurado para que envíe las peticiones de su subred al servidor DHCP establecido.</t>
  </si>
  <si>
    <t xml:space="preserve">¿Qué dirección IP no sería válida para un equipo de la red?
</t>
  </si>
  <si>
    <t>172.18.0.0/16</t>
  </si>
  <si>
    <t>172.30.0.255/16</t>
  </si>
  <si>
    <t>10.0.255.1/16</t>
  </si>
  <si>
    <t>192.168.37.255/16</t>
  </si>
  <si>
    <t xml:space="preserve">Cuando un ordenador con cliente DHCP activado se enciende envía a la red automáticamente un mensaje:
</t>
  </si>
  <si>
    <t>DHCPDISCOVER</t>
  </si>
  <si>
    <t>DHCPOFFER</t>
  </si>
  <si>
    <t>DHCPREQUEST</t>
  </si>
  <si>
    <t>DHCPRELEASE</t>
  </si>
  <si>
    <t xml:space="preserve">¿Qué ocurre en un equipo de una red que tiene un servidor DHCP activo, si después de haber obtenido una IP y llevar un tiempo funcionando le vence el tiempo de la IP y necesita renovarla, pero el servidor DHCP se ha caído y no responde?
</t>
  </si>
  <si>
    <t>Que mantiene la IP que se le había asignado hasta que no le den otra.</t>
  </si>
  <si>
    <t>Que se queda sólo con la dirección de loopback o bucle local.</t>
  </si>
  <si>
    <t>Que pierde la dirección IP y se queda con el símbolo de “sin conexión” (una x roja sobre el símbolo de conexión) hasta que reiniciemos el equipo.</t>
  </si>
  <si>
    <t>Que al no ser capaz de renovar la dirección obtiene una dirección APIPA, que intenta renovarse cada pocos minutos.</t>
  </si>
  <si>
    <t xml:space="preserve">¿A qué se denomina socket de comunicación?
</t>
  </si>
  <si>
    <t>Al conjunto IP:puerto que se abre por cada cliente</t>
  </si>
  <si>
    <t>A la conexión que se establece entre el equipo y el router o puerta de enlace.</t>
  </si>
  <si>
    <t>Al conjunto IP:MAC de un equipo para cualquier comunicación a nivel de enlace</t>
  </si>
  <si>
    <t>Al puerto de comunicación que se abre por una aplicación.</t>
  </si>
  <si>
    <t xml:space="preserve">En la configuración de un servidor DHCP se ha definido que el servidor DNS de los clientes sea el 8.8.8.8. Pero en las opciones de uno de los ámbitos aparece definido como servidor DNS el 8.8.4.4. ¿Qué pasaría?
</t>
  </si>
  <si>
    <t>Los clientes que pertenecen al ámbito obtienen como servidor DNS el 8.8.4.4 pero todos los demás apuntan al DNS 8.8.8.8</t>
  </si>
  <si>
    <t>Todos los clientes del servidor, incluído los del ámbito en cuestión, obtienen la misma dirección DNS que es la 8.8.8.8 porque las opciones de servidor priman sobre cualquier otra.</t>
  </si>
  <si>
    <t>Los clientes que pertenecen al ámbito no obtienen servidor DNS porque hay una incongruencia en la configuración del servidor</t>
  </si>
  <si>
    <t>Todos los clientes del servidor obtienen como servidor DNS el 8.8.4.4 porque hemos sobreescrito al DNS del servidor.</t>
  </si>
  <si>
    <t>PEC2</t>
  </si>
  <si>
    <t>Si un servidor DNS no reenviador y con recursividad activada recibe una consulta, para la que no está autorizado ni tiene información en caché, …</t>
  </si>
  <si>
    <t>Devuelve siempre una respuesta negativa</t>
  </si>
  <si>
    <t>Reenvía consultas de manera iterativa hasta que obtiene una respuesta positiva o negativa</t>
  </si>
  <si>
    <t>Reenvía consultas de manera recursiva hasta que obtiene una respuesta positiva o negativa</t>
  </si>
  <si>
    <t>Devuelve siempre una respuesta positiva.</t>
  </si>
  <si>
    <r>
      <t xml:space="preserve">Cuando realizamos una conexión FTP y enviamos una solicitud </t>
    </r>
    <r>
      <rPr>
        <i/>
        <sz val="12"/>
        <color theme="1"/>
        <rFont val="Calibri"/>
        <family val="2"/>
        <scheme val="minor"/>
      </rPr>
      <t>get</t>
    </r>
    <r>
      <rPr>
        <sz val="12"/>
        <color theme="1"/>
        <rFont val="Calibri"/>
        <family val="2"/>
        <scheme val="minor"/>
      </rPr>
      <t xml:space="preserve"> para descargar un fichero estamos utilizando:</t>
    </r>
  </si>
  <si>
    <t>El puerto 21 del servidor</t>
  </si>
  <si>
    <t>El puerto 20 del servidor</t>
  </si>
  <si>
    <r>
      <t xml:space="preserve">El comando </t>
    </r>
    <r>
      <rPr>
        <i/>
        <sz val="12"/>
        <color theme="1"/>
        <rFont val="Calibri"/>
        <family val="2"/>
        <scheme val="minor"/>
      </rPr>
      <t xml:space="preserve">get </t>
    </r>
    <r>
      <rPr>
        <sz val="12"/>
        <color theme="1"/>
        <rFont val="Calibri"/>
        <family val="2"/>
        <scheme val="minor"/>
      </rPr>
      <t>no existe en FTP.</t>
    </r>
  </si>
  <si>
    <t>Cualquier puerto aleatorio superior a 1024</t>
  </si>
  <si>
    <t>En una URL www.deb_server.asir.gsd.com.es podemos decir que “gsd” es un…</t>
  </si>
  <si>
    <t>Dominio de segundo nivel</t>
  </si>
  <si>
    <t>Dominio de tercer nivel</t>
  </si>
  <si>
    <t>Dominio raíz</t>
  </si>
  <si>
    <t>Dominio de primer nivel o tld</t>
  </si>
  <si>
    <t>Protocolo HTTP</t>
  </si>
  <si>
    <t>Clientes WEB</t>
  </si>
  <si>
    <t>Servidores WEB</t>
  </si>
  <si>
    <t>Si en una zona directa DNS tenemos una entrada “asir.gsd.es.  IN  A  211.144.3.121” y queremos crear una zona de resolución inversa coherente a dicha zona directa, tendremos que introducir al menos una línea que indique:</t>
  </si>
  <si>
    <t>121.3.144.211.in-addr.arpa.       IN           PTR        asir.gsd.es.</t>
  </si>
  <si>
    <t>121.3.441.112                          IN           PTR        asir.gsd.es.</t>
  </si>
  <si>
    <t xml:space="preserve">121.3.441.112.in-addr.arpa.        IN           PTR        asir.gsd.es. </t>
  </si>
  <si>
    <t>121.3.144.211                         IN           PTR        asir.gsd.es.</t>
  </si>
  <si>
    <t xml:space="preserve">Sobre la modificación de los registros de un servidor DNS para que estén actualizados podemos afirmar que…
</t>
  </si>
  <si>
    <t>Se puede realizar tanto en un entorno de IPs privadas como con direcciones de Internet, y se denomina DDNS.</t>
  </si>
  <si>
    <t>Existen actualizaciones dinámicas que pueden realizar todos los servidores DHCP de modo automático, sin necesidad de configurarles nada extra.</t>
  </si>
  <si>
    <t>Los registros nunca van a estar del todo actualizados porque el tiempo de convergencia de las redes es demasiado grande, y cuando se alcanza ya se han cambiado muchos registros.</t>
  </si>
  <si>
    <t>Se puede realizar de dos maneras, manual o dinámica, siendo más fiable la primera.</t>
  </si>
  <si>
    <t xml:space="preserve">Si queremos ofrecer un servicio de hosting virtual para alquilar dominios a varios clientes en el servidor y que monten sus plataformas, crearíamos…
</t>
  </si>
  <si>
    <t>Alojamiento virtual basado en nombres</t>
  </si>
  <si>
    <t>Alojamiento virtual basado en Ips</t>
  </si>
  <si>
    <t>Alojamiento virtual basado en puertos</t>
  </si>
  <si>
    <t>Alojamiento virtual basado en servicios</t>
  </si>
  <si>
    <t>Un servidor TFTP</t>
  </si>
  <si>
    <t>Un servidor TFTP con un usuario anonymous</t>
  </si>
  <si>
    <t>Un servidor FTP sin seguridad implementad</t>
  </si>
  <si>
    <t>Un servidor FTPS con usuario anonymous</t>
  </si>
  <si>
    <t xml:space="preserve">Si queremos proteger nuestra red corporativa, pero permitir acceso desde fuera a nuestro servidor web
</t>
  </si>
  <si>
    <t>Montaríamos delante un proxy inverso</t>
  </si>
  <si>
    <t>Montaríamos delante un proxy directo.</t>
  </si>
  <si>
    <t>Montaríamos delante un proxy caché</t>
  </si>
  <si>
    <t>Montaríamos un port-forwarding en nuestro router.</t>
  </si>
  <si>
    <t>Cuando utilizamos el puerto 22 para una conexión de tipo FTP es porque estamos utilizando:</t>
  </si>
  <si>
    <t>SFTP, es decir FTP sobre SSH</t>
  </si>
  <si>
    <t>Modo pasivo</t>
  </si>
  <si>
    <t>Modo activo</t>
  </si>
  <si>
    <t>FTPS, es decir FTP sobre SSL</t>
  </si>
  <si>
    <t xml:space="preserve">Si, utiliza una jerarquía donde empezando por la izquierda nos indica desde el nodo final hasta los nodos padres (Ejemplo: www.cc.intec.edu.es---&gt; www (nodo final) el nombre del computador, cc el tipo de organización, intec el nombre de la organización, edu el departamento, es (nodo padre) indica el nombre del país ).
</t>
  </si>
  <si>
    <t>Suponiendo que estás conectado con un cliente FTP en modo comandos a un servidor FTP, para listar los ficheros del directorio actual dek servidor y posteriormente descargar un fichero, ejecutarías los comandos…</t>
  </si>
  <si>
    <t>Si necesitamos montar rápidamente un sistema en el que los equipos de interconexión -que no pueden autenticarse por sí mismos- (routers, switch…) se autoconfiguren a partir de un fichero remoto, el mejor sistema a montar sería…</t>
  </si>
  <si>
    <t>PEC3</t>
  </si>
  <si>
    <t xml:space="preserve">Exchange de Microsoft es un ejemplo de… </t>
  </si>
  <si>
    <t>MIME</t>
  </si>
  <si>
    <t>El ya en desuso “Messenger” de Hotmail es un ejemplo de…</t>
  </si>
  <si>
    <t>Cliente de IM</t>
  </si>
  <si>
    <t>Cliente de Chat</t>
  </si>
  <si>
    <t>Servidor de IM</t>
  </si>
  <si>
    <t>Servidor de Chat</t>
  </si>
  <si>
    <t>Si queremos conectar dos FAX directamente a una Centralita de voz IP, necesitamos pedir que la centralita tenga al menos…</t>
  </si>
  <si>
    <t>Una tarjeta con 2FXO</t>
  </si>
  <si>
    <t>Una tarjeta con 2FXS</t>
  </si>
  <si>
    <t>Una tarjeta con 2FXS y 2 FXO</t>
  </si>
  <si>
    <t>Una tarjeta con un E1</t>
  </si>
  <si>
    <t>Si necesitamos enviar una señal de audio con una Frecuencia máxima de 20KHz, y una calidad media (8 bits/muestra), necesitamos un Ancho de Banda mínimo de…</t>
  </si>
  <si>
    <t>760Kbps</t>
  </si>
  <si>
    <t>10Mbps</t>
  </si>
  <si>
    <t>320Kbps</t>
  </si>
  <si>
    <t>¿Cuál de las siguientes funciones de un servidor de IM es opcional?</t>
  </si>
  <si>
    <t>Registrar usuarios</t>
  </si>
  <si>
    <t>Crear salas de conferencias</t>
  </si>
  <si>
    <t>Enviar mensajes entre usuarios</t>
  </si>
  <si>
    <t>Mostrar el estado de los usuarios</t>
  </si>
  <si>
    <t>Cuál de los siguientes servicios no puede hacerlo una centralita convencional, y sí una centralita IP</t>
  </si>
  <si>
    <t>Desvio de llamada</t>
  </si>
  <si>
    <t>Identificacion de llamada</t>
  </si>
  <si>
    <t>Grupos de llamada</t>
  </si>
  <si>
    <t>Enviar fax entrantes por email</t>
  </si>
  <si>
    <t>Si hemos configurado un cliente de correo a un usuario, y el usuario nos indica que puede recibir correos pero no enviarlos, el problema más probable es que…</t>
  </si>
  <si>
    <t>No tengamos ningún tipo de conexión con el servidor.</t>
  </si>
  <si>
    <t>Falle el IMAP</t>
  </si>
  <si>
    <t>Falle el SMTP</t>
  </si>
  <si>
    <t>Falle el POP3</t>
  </si>
  <si>
    <t xml:space="preserve">En una dirección de correo electrónico, se incluye el uso del servicio de…: </t>
  </si>
  <si>
    <t>FTP</t>
  </si>
  <si>
    <t>DNS</t>
  </si>
  <si>
    <t xml:space="preserve">DHCP
</t>
  </si>
  <si>
    <t>IM</t>
  </si>
  <si>
    <t>Un vídeo de 10 minutos son comprimir, a 16 frames/s, cada uno de ellos con 16 bits de profundidad y una resolución de 4Mpix, ocupa un BW aproximado de…</t>
  </si>
  <si>
    <t>480MB</t>
  </si>
  <si>
    <t>32.000MB</t>
  </si>
  <si>
    <t>76.800MB</t>
  </si>
  <si>
    <t>14.</t>
  </si>
  <si>
    <t>15.</t>
  </si>
  <si>
    <t>16.</t>
  </si>
  <si>
    <t>17.</t>
  </si>
  <si>
    <t>18.</t>
  </si>
  <si>
    <t>11.</t>
  </si>
  <si>
    <t>12.</t>
  </si>
  <si>
    <t>13.</t>
  </si>
  <si>
    <t>19.</t>
  </si>
  <si>
    <t>20.</t>
  </si>
  <si>
    <t xml:space="preserve">Podemos adjuntar casi cualquier tipo de archivo a un email gracias a…: </t>
  </si>
  <si>
    <t>UNICODE</t>
  </si>
  <si>
    <t>Los MTA</t>
  </si>
  <si>
    <t>La aparición de EMOJI</t>
  </si>
  <si>
    <t>Los tipo MIME</t>
  </si>
  <si>
    <t>Uno de los protocolos libres más utilizados (como base) para IM es:</t>
  </si>
  <si>
    <t>Si utilizamos un códec lossless para codificar un audio…</t>
  </si>
  <si>
    <t>Aumentamos el tamaño de archivo.</t>
  </si>
  <si>
    <t xml:space="preserve">No se pierde calidad.
</t>
  </si>
  <si>
    <t xml:space="preserve">Se pierde mucha calidad y por tanto no se recomienda su uso.
</t>
  </si>
  <si>
    <t xml:space="preserve">En el correo electrónico, el MUA es: </t>
  </si>
  <si>
    <t xml:space="preserve">El cliente de correo que permite enviar, recibir y escribir correos. 
</t>
  </si>
  <si>
    <t xml:space="preserve">El agente de entrega, distribuye y entrega los correos a los buzones de los destinatarios. 
</t>
  </si>
  <si>
    <t>¿Cuál de los siguientes no es un tipo de servidor de correo?</t>
  </si>
  <si>
    <t>Open Relay</t>
  </si>
  <si>
    <t>Webinar</t>
  </si>
  <si>
    <t>Estafetas</t>
  </si>
  <si>
    <t>Smart Host</t>
  </si>
  <si>
    <t xml:space="preserve">Zonas dns para dicho usuario. </t>
  </si>
  <si>
    <t>Dominios de correo electrónico, distinto para cada usuario.</t>
  </si>
  <si>
    <t xml:space="preserve">Carpetas creadas en el servidor de correo para almacenar los emails recibidos de cada usuario. </t>
  </si>
  <si>
    <t xml:space="preserve">Carpetas creadas en el cliente de correo para almacenar los emails recibidos de cada usuario. 
</t>
  </si>
  <si>
    <t>Una lista de distribución puede ser…</t>
  </si>
  <si>
    <t>Modeada, Abierta y Privada</t>
  </si>
  <si>
    <t>Abierta, Pública y de Internet</t>
  </si>
  <si>
    <t>De Intranet, Cerrada y Moderada.</t>
  </si>
  <si>
    <t>Cerrada, Privada y Pública</t>
  </si>
  <si>
    <t>Para poder monitorizar los eventos de un servidor VPBX asterisk puedo escribir…</t>
  </si>
  <si>
    <t>asterisk –rvv</t>
  </si>
  <si>
    <t xml:space="preserve">./asterisk
</t>
  </si>
  <si>
    <t xml:space="preserve">show asterisk events
</t>
  </si>
  <si>
    <t>service asterisk2 review</t>
  </si>
  <si>
    <t>Si con el mando de nuestra nuestra Smart TV seleccionamos una determinada película a la carta, utilizaría protocolo…</t>
  </si>
  <si>
    <t>¿Qué inconveniente puede tener el correo electrónico frente al convencional?</t>
  </si>
  <si>
    <t>No podemos enviar elemntos fisicos</t>
  </si>
  <si>
    <t>El correo electronico es menos eficiente</t>
  </si>
  <si>
    <t>El coste es mayor</t>
  </si>
  <si>
    <t>El correo convencional es mas seguro</t>
  </si>
  <si>
    <t>Cuál de las siguientes acciones podemos realizarla en una lista de distribución y NO en un grupo de noticias…</t>
  </si>
  <si>
    <t xml:space="preserve">Podemos moderar los mensajes que envían los usuarios
</t>
  </si>
  <si>
    <t xml:space="preserve">Se puede programar el tiempo de visibilidad de un mensaje
</t>
  </si>
  <si>
    <t xml:space="preserve">Utilizan protocolo NTTP
</t>
  </si>
  <si>
    <r>
      <t xml:space="preserve"> ¿Cuál de los siguientes niveles </t>
    </r>
    <r>
      <rPr>
        <b/>
        <sz val="12"/>
        <color rgb="FFFF0000"/>
        <rFont val="Calibri"/>
        <family val="2"/>
        <scheme val="minor"/>
      </rPr>
      <t>NO</t>
    </r>
    <r>
      <rPr>
        <sz val="12"/>
        <color rgb="FF000000"/>
        <rFont val="Calibri"/>
        <family val="2"/>
        <scheme val="minor"/>
      </rPr>
      <t xml:space="preserve"> forma parte de la arquitectura TCP/IP?</t>
    </r>
  </si>
  <si>
    <t>Indica que Direccion Ip no es valida para un host</t>
  </si>
  <si>
    <t>En el modelo cliente-servidor</t>
  </si>
  <si>
    <t>Sobre protocolos de red en los servicios podemos afirmar que:</t>
  </si>
  <si>
    <t>¿Qué función desempeña la puerta de enlace de una red?</t>
  </si>
  <si>
    <r>
      <t xml:space="preserve">Si un equipo con IP </t>
    </r>
    <r>
      <rPr>
        <b/>
        <sz val="12"/>
        <color theme="4"/>
        <rFont val="Calibri"/>
        <family val="2"/>
        <scheme val="minor"/>
      </rPr>
      <t>10.0.30.2</t>
    </r>
    <r>
      <rPr>
        <sz val="12"/>
        <color rgb="FF000000"/>
        <rFont val="Calibri"/>
        <family val="2"/>
        <scheme val="minor"/>
      </rPr>
      <t xml:space="preserve"> quiere conectarse a </t>
    </r>
    <r>
      <rPr>
        <b/>
        <sz val="12"/>
        <color rgb="FFFF0000"/>
        <rFont val="Calibri"/>
        <family val="2"/>
        <scheme val="minor"/>
      </rPr>
      <t xml:space="preserve">www.google.es </t>
    </r>
    <r>
      <rPr>
        <b/>
        <sz val="12"/>
        <color theme="4"/>
        <rFont val="Calibri"/>
        <family val="2"/>
        <scheme val="minor"/>
      </rPr>
      <t>(216.58.211.227)</t>
    </r>
  </si>
  <si>
    <r>
      <t>Indicar que direccion IP</t>
    </r>
    <r>
      <rPr>
        <b/>
        <sz val="12"/>
        <color rgb="FFFF0000"/>
        <rFont val="Calibri"/>
        <family val="2"/>
        <scheme val="minor"/>
      </rPr>
      <t xml:space="preserve"> no es privada</t>
    </r>
    <r>
      <rPr>
        <sz val="12"/>
        <color rgb="FF000000"/>
        <rFont val="Calibri"/>
        <family val="2"/>
        <scheme val="minor"/>
      </rPr>
      <t>:</t>
    </r>
  </si>
  <si>
    <r>
      <t>¿Cuál de las siguientes afirmaciones es</t>
    </r>
    <r>
      <rPr>
        <b/>
        <sz val="12"/>
        <color rgb="FFFF0000"/>
        <rFont val="Calibri"/>
        <family val="2"/>
        <scheme val="minor"/>
      </rPr>
      <t xml:space="preserve"> verdadera</t>
    </r>
    <r>
      <rPr>
        <sz val="12"/>
        <color rgb="FF000000"/>
        <rFont val="Calibri"/>
        <family val="2"/>
        <scheme val="minor"/>
      </rPr>
      <t>?</t>
    </r>
  </si>
  <si>
    <r>
      <t xml:space="preserve">¿Cuál de las siguientes afirmaciones es </t>
    </r>
    <r>
      <rPr>
        <b/>
        <sz val="12"/>
        <color rgb="FFFF0000"/>
        <rFont val="Calibri"/>
        <family val="2"/>
        <scheme val="minor"/>
      </rPr>
      <t>verdadera</t>
    </r>
    <r>
      <rPr>
        <sz val="12"/>
        <color rgb="FF000000"/>
        <rFont val="Calibri"/>
        <family val="2"/>
        <scheme val="minor"/>
      </rPr>
      <t>?</t>
    </r>
  </si>
  <si>
    <r>
      <t xml:space="preserve">¿Qué afirmación es </t>
    </r>
    <r>
      <rPr>
        <b/>
        <sz val="12"/>
        <color rgb="FFFF0000"/>
        <rFont val="Calibri"/>
        <family val="2"/>
        <scheme val="minor"/>
      </rPr>
      <t>falsa</t>
    </r>
    <r>
      <rPr>
        <sz val="12"/>
        <color rgb="FF000000"/>
        <rFont val="Calibri"/>
        <family val="2"/>
        <scheme val="minor"/>
      </rPr>
      <t>?</t>
    </r>
  </si>
  <si>
    <r>
      <t>¿Cuál de los siguientes problemas</t>
    </r>
    <r>
      <rPr>
        <b/>
        <sz val="12"/>
        <color rgb="FFFF0000"/>
        <rFont val="Calibri"/>
        <family val="2"/>
        <scheme val="minor"/>
      </rPr>
      <t xml:space="preserve"> no se solventa</t>
    </r>
    <r>
      <rPr>
        <sz val="12"/>
        <color rgb="FF000000"/>
        <rFont val="Calibri"/>
        <family val="2"/>
        <scheme val="minor"/>
      </rPr>
      <t xml:space="preserve"> con DHCP?</t>
    </r>
  </si>
  <si>
    <r>
      <t xml:space="preserve">¿Cuál </t>
    </r>
    <r>
      <rPr>
        <b/>
        <sz val="12"/>
        <color rgb="FFFF0000"/>
        <rFont val="Calibri"/>
        <family val="2"/>
        <scheme val="minor"/>
      </rPr>
      <t>NO</t>
    </r>
    <r>
      <rPr>
        <sz val="12"/>
        <color rgb="FF000000"/>
        <rFont val="Calibri"/>
        <family val="2"/>
        <scheme val="minor"/>
      </rPr>
      <t xml:space="preserve"> es un servidor DHCP?</t>
    </r>
  </si>
  <si>
    <r>
      <t xml:space="preserve">¿Qué afirmación </t>
    </r>
    <r>
      <rPr>
        <b/>
        <sz val="12"/>
        <color rgb="FFFF0000"/>
        <rFont val="Calibri"/>
        <family val="2"/>
        <scheme val="minor"/>
      </rPr>
      <t>no es cierta</t>
    </r>
    <r>
      <rPr>
        <sz val="12"/>
        <color rgb="FF000000"/>
        <rFont val="Calibri"/>
        <family val="2"/>
        <scheme val="minor"/>
      </rPr>
      <t xml:space="preserve"> referente a los parámetros que puede configurar DHCP?</t>
    </r>
  </si>
  <si>
    <r>
      <t xml:space="preserve">¿Cuál de las siguientes situaciones </t>
    </r>
    <r>
      <rPr>
        <b/>
        <sz val="12"/>
        <color rgb="FFFF0000"/>
        <rFont val="Calibri"/>
        <family val="2"/>
        <scheme val="minor"/>
      </rPr>
      <t>no es válida</t>
    </r>
    <r>
      <rPr>
        <sz val="12"/>
        <color rgb="FF000000"/>
        <rFont val="Calibri"/>
        <family val="2"/>
        <scheme val="minor"/>
      </rPr>
      <t xml:space="preserve"> a la hora de renovar la dirección IP?</t>
    </r>
  </si>
  <si>
    <r>
      <t xml:space="preserve">Indica qué respuesta </t>
    </r>
    <r>
      <rPr>
        <b/>
        <sz val="12"/>
        <color rgb="FFFF0000"/>
        <rFont val="Calibri"/>
        <family val="2"/>
        <scheme val="minor"/>
      </rPr>
      <t>NO</t>
    </r>
    <r>
      <rPr>
        <sz val="12"/>
        <rFont val="Calibri"/>
        <family val="2"/>
        <scheme val="minor"/>
      </rPr>
      <t xml:space="preserve"> es correcta respecto a la seguridad en FTP</t>
    </r>
  </si>
  <si>
    <r>
      <t xml:space="preserve">Si tu ciente FTP está en una red en la que se realiza </t>
    </r>
    <r>
      <rPr>
        <b/>
        <sz val="12"/>
        <color rgb="FFFF0000"/>
        <rFont val="Calibri"/>
        <family val="2"/>
        <scheme val="minor"/>
      </rPr>
      <t>NATP</t>
    </r>
    <r>
      <rPr>
        <sz val="12"/>
        <rFont val="Calibri"/>
        <family val="2"/>
        <scheme val="minor"/>
      </rPr>
      <t xml:space="preserve"> para salir a Internet lo normal es que utilices…</t>
    </r>
  </si>
  <si>
    <r>
      <t xml:space="preserve">¿Qué es </t>
    </r>
    <r>
      <rPr>
        <b/>
        <sz val="12"/>
        <color rgb="FFFF0000"/>
        <rFont val="Calibri"/>
        <family val="2"/>
        <scheme val="minor"/>
      </rPr>
      <t>falso</t>
    </r>
    <r>
      <rPr>
        <sz val="12"/>
        <rFont val="Calibri"/>
        <family val="2"/>
        <scheme val="minor"/>
      </rPr>
      <t>?</t>
    </r>
  </si>
  <si>
    <r>
      <t xml:space="preserve">¿Qué es </t>
    </r>
    <r>
      <rPr>
        <b/>
        <sz val="12"/>
        <color rgb="FFFF0000"/>
        <rFont val="Calibri"/>
        <family val="2"/>
        <scheme val="minor"/>
      </rPr>
      <t>falso</t>
    </r>
    <r>
      <rPr>
        <sz val="12"/>
        <rFont val="Calibri"/>
        <family val="2"/>
        <scheme val="minor"/>
      </rPr>
      <t xml:space="preserve"> sobre los tipos de acceso a un servidor FTP?</t>
    </r>
  </si>
  <si>
    <r>
      <t xml:space="preserve">Sobre cookies ¿Qué afirmación es </t>
    </r>
    <r>
      <rPr>
        <b/>
        <sz val="12"/>
        <color rgb="FFFF0000"/>
        <rFont val="Calibri"/>
        <family val="2"/>
        <scheme val="minor"/>
      </rPr>
      <t>falsa</t>
    </r>
    <r>
      <rPr>
        <sz val="12"/>
        <rFont val="Calibri"/>
        <family val="2"/>
        <scheme val="minor"/>
      </rPr>
      <t xml:space="preserve">?
</t>
    </r>
  </si>
  <si>
    <r>
      <t xml:space="preserve">En la URI </t>
    </r>
    <r>
      <rPr>
        <b/>
        <sz val="12"/>
        <color rgb="FFFF0000"/>
        <rFont val="Calibri"/>
        <family val="2"/>
        <scheme val="minor"/>
      </rPr>
      <t>http://www.asir.net:8080/admin/buscar.php?id=4&amp;theme=Maths</t>
    </r>
  </si>
  <si>
    <r>
      <t xml:space="preserve">¿Qué afirmación </t>
    </r>
    <r>
      <rPr>
        <b/>
        <sz val="12"/>
        <color rgb="FFFF0000"/>
        <rFont val="Calibri"/>
        <family val="2"/>
        <scheme val="minor"/>
      </rPr>
      <t>NO</t>
    </r>
    <r>
      <rPr>
        <sz val="12"/>
        <rFont val="Calibri"/>
        <family val="2"/>
        <scheme val="minor"/>
      </rPr>
      <t xml:space="preserve"> es cierta?
</t>
    </r>
  </si>
  <si>
    <r>
      <t xml:space="preserve">Indica cuál de las siguientes </t>
    </r>
    <r>
      <rPr>
        <b/>
        <sz val="12"/>
        <color rgb="FFFF0000"/>
        <rFont val="Calibri"/>
        <family val="2"/>
        <scheme val="minor"/>
      </rPr>
      <t>NO</t>
    </r>
    <r>
      <rPr>
        <sz val="12"/>
        <rFont val="Calibri"/>
        <family val="2"/>
        <scheme val="minor"/>
      </rPr>
      <t xml:space="preserve"> es una ventaja del correo electrónico </t>
    </r>
  </si>
  <si>
    <r>
      <t xml:space="preserve">¿Cuál de las siguientes funciones de un servidor de IM </t>
    </r>
    <r>
      <rPr>
        <b/>
        <sz val="12"/>
        <color rgb="FFFF0000"/>
        <rFont val="Calibri"/>
        <family val="2"/>
        <scheme val="minor"/>
      </rPr>
      <t>NO</t>
    </r>
    <r>
      <rPr>
        <sz val="12"/>
        <rFont val="Calibri"/>
        <family val="2"/>
        <scheme val="minor"/>
      </rPr>
      <t xml:space="preserve"> es opcional?
</t>
    </r>
  </si>
  <si>
    <r>
      <t xml:space="preserve">¿Cuál de las siguientes opciones </t>
    </r>
    <r>
      <rPr>
        <b/>
        <sz val="12"/>
        <color rgb="FFFF0000"/>
        <rFont val="Calibri"/>
        <family val="2"/>
        <scheme val="minor"/>
      </rPr>
      <t>NO</t>
    </r>
    <r>
      <rPr>
        <sz val="12"/>
        <color theme="1"/>
        <rFont val="Calibri"/>
        <family val="2"/>
        <scheme val="minor"/>
      </rPr>
      <t xml:space="preserve"> es válida para montar un servidor DHCP centralizado a varias subredes?</t>
    </r>
  </si>
  <si>
    <r>
      <t xml:space="preserve">¿Qué dirección IP de las que siguen podría salir a Internet </t>
    </r>
    <r>
      <rPr>
        <b/>
        <sz val="12"/>
        <color rgb="FFFF0000"/>
        <rFont val="Calibri"/>
        <family val="2"/>
        <scheme val="minor"/>
      </rPr>
      <t>sin NAT</t>
    </r>
    <r>
      <rPr>
        <sz val="12"/>
        <color theme="1"/>
        <rFont val="Calibri"/>
        <family val="2"/>
        <scheme val="minor"/>
      </rPr>
      <t>?</t>
    </r>
  </si>
  <si>
    <r>
      <t xml:space="preserve">¿Cuál de los siguientes </t>
    </r>
    <r>
      <rPr>
        <b/>
        <sz val="12"/>
        <color rgb="FFFF0000"/>
        <rFont val="Calibri"/>
        <family val="2"/>
        <scheme val="minor"/>
      </rPr>
      <t>NO</t>
    </r>
    <r>
      <rPr>
        <sz val="12"/>
        <color theme="1"/>
        <rFont val="Calibri"/>
        <family val="2"/>
        <scheme val="minor"/>
      </rPr>
      <t xml:space="preserve"> es un componente WEB?
</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</si>
</sst>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6" x14ac:knownFonts="1">
    <font>
      <sz val="12"/>
      <color theme="1"/>
      <name val="Calibri"/>
      <family val="2"/>
      <scheme val="minor"/>
    </font>
    <font>
      <b/>
      <sz val="12"/>
      <color theme="1"/>
      <name val="Calibri"/>
      <family val="2"/>
      <scheme val="minor"/>
    </font>
    <font>
      <u/>
      <sz val="12"/>
      <color theme="10"/>
      <name val="Calibri"/>
      <family val="2"/>
      <scheme val="minor"/>
    </font>
    <font>
      <u/>
      <sz val="12"/>
      <color theme="11"/>
      <name val="Calibri"/>
      <family val="2"/>
      <scheme val="minor"/>
    </font>
    <font>
      <sz val="12"/>
      <color rgb="FF000000"/>
      <name val="Calibri"/>
      <family val="2"/>
      <scheme val="minor"/>
    </font>
    <font>
      <sz val="22"/>
      <color theme="1"/>
      <name val="Calibri"/>
      <family val="2"/>
      <scheme val="minor"/>
    </font>
    <font>
      <sz val="10"/>
      <color theme="1"/>
      <name val="Tahoma"/>
      <family val="2"/>
    </font>
    <font>
      <sz val="16"/>
      <color theme="1"/>
      <name val="Tahoma"/>
      <family val="2"/>
    </font>
    <font>
      <sz val="8"/>
      <name val="Calibri"/>
      <family val="2"/>
      <scheme val="minor"/>
    </font>
    <font>
      <b/>
      <sz val="11"/>
      <color theme="1"/>
      <name val="Calibri"/>
      <family val="2"/>
      <scheme val="minor"/>
    </font>
    <font>
      <sz val="12"/>
      <color rgb="FF000000"/>
      <name val="Helvetica"/>
    </font>
    <font>
      <sz val="9"/>
      <color theme="0"/>
      <name val="Calibri"/>
      <family val="2"/>
      <scheme val="minor"/>
    </font>
    <font>
      <sz val="12"/>
      <color theme="0"/>
      <name val="Calibri"/>
      <family val="2"/>
      <scheme val="minor"/>
    </font>
    <font>
      <sz val="12"/>
      <name val="Calibri"/>
      <family val="2"/>
      <scheme val="minor"/>
    </font>
    <font>
      <sz val="12"/>
      <name val="Arial"/>
      <family val="2"/>
    </font>
    <font>
      <sz val="11"/>
      <color theme="1"/>
      <name val="Calibri"/>
      <family val="2"/>
      <scheme val="minor"/>
    </font>
    <font>
      <sz val="9"/>
      <color theme="1"/>
      <name val="Arial"/>
      <family val="2"/>
    </font>
    <font>
      <sz val="9"/>
      <color theme="1"/>
      <name val="Symbol"/>
      <family val="1"/>
      <charset val="2"/>
    </font>
    <font>
      <sz val="14"/>
      <color theme="1"/>
      <name val="Calibri"/>
      <family val="2"/>
      <scheme val="minor"/>
    </font>
    <font>
      <sz val="12"/>
      <name val="Arial"/>
      <family val="2"/>
    </font>
    <font>
      <sz val="12"/>
      <color theme="1"/>
      <name val="Arial"/>
      <family val="2"/>
    </font>
    <font>
      <sz val="9"/>
      <color theme="1"/>
      <name val="Arial"/>
      <family val="2"/>
    </font>
    <font>
      <i/>
      <sz val="12"/>
      <color theme="1"/>
      <name val="Calibri"/>
      <family val="2"/>
      <scheme val="minor"/>
    </font>
    <font>
      <b/>
      <sz val="11"/>
      <color rgb="FFFF0000"/>
      <name val="Calibri"/>
      <family val="2"/>
      <scheme val="minor"/>
    </font>
    <font>
      <b/>
      <sz val="12"/>
      <color rgb="FFFF0000"/>
      <name val="Calibri"/>
      <family val="2"/>
      <scheme val="minor"/>
    </font>
    <font>
      <b/>
      <sz val="12"/>
      <color theme="4"/>
      <name val="Calibri"/>
      <family val="2"/>
      <scheme val="minor"/>
    </font>
  </fonts>
  <fills count="9">
    <fill>
      <patternFill patternType="none"/>
    </fill>
    <fill>
      <patternFill patternType="gray125"/>
    </fill>
    <fill>
      <patternFill patternType="solid">
        <fgColor rgb="FF92D050"/>
        <bgColor indexed="64"/>
      </patternFill>
    </fill>
    <fill>
      <patternFill patternType="solid">
        <fgColor rgb="FFFF0000"/>
        <bgColor indexed="64"/>
      </patternFill>
    </fill>
    <fill>
      <patternFill patternType="solid">
        <fgColor theme="2"/>
        <bgColor indexed="64"/>
      </patternFill>
    </fill>
    <fill>
      <patternFill patternType="solid">
        <fgColor rgb="FFE7E6E6"/>
        <bgColor rgb="FF000000"/>
      </patternFill>
    </fill>
    <fill>
      <patternFill patternType="solid">
        <fgColor theme="2"/>
        <bgColor rgb="FF000000"/>
      </patternFill>
    </fill>
    <fill>
      <patternFill patternType="solid">
        <fgColor theme="5" tint="0.39997558519241921"/>
        <bgColor indexed="64"/>
      </patternFill>
    </fill>
    <fill>
      <patternFill patternType="solid">
        <fgColor theme="0"/>
        <bgColor indexed="64"/>
      </patternFill>
    </fill>
  </fills>
  <borders count="16">
    <border>
      <left/>
      <right/>
      <top/>
      <bottom/>
      <diagonal/>
    </border>
    <border>
      <left/>
      <right/>
      <top style="medium">
        <color auto="1"/>
      </top>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thin">
        <color auto="1"/>
      </left>
      <right style="thin">
        <color auto="1"/>
      </right>
      <top style="thin">
        <color auto="1"/>
      </top>
      <bottom style="thin">
        <color auto="1"/>
      </bottom>
      <diagonal/>
    </border>
    <border>
      <left/>
      <right style="thin">
        <color auto="1"/>
      </right>
      <top/>
      <bottom style="hair">
        <color auto="1"/>
      </bottom>
      <diagonal/>
    </border>
    <border>
      <left/>
      <right style="thin">
        <color auto="1"/>
      </right>
      <top style="hair">
        <color auto="1"/>
      </top>
      <bottom style="hair">
        <color auto="1"/>
      </bottom>
      <diagonal/>
    </border>
    <border>
      <left/>
      <right/>
      <top/>
      <bottom style="thin">
        <color auto="1"/>
      </bottom>
      <diagonal/>
    </border>
    <border>
      <left/>
      <right/>
      <top style="hair">
        <color auto="1"/>
      </top>
      <bottom/>
      <diagonal/>
    </border>
    <border>
      <left/>
      <right/>
      <top style="thin">
        <color auto="1"/>
      </top>
      <bottom style="thin">
        <color auto="1"/>
      </bottom>
      <diagonal/>
    </border>
    <border>
      <left/>
      <right style="thin">
        <color auto="1"/>
      </right>
      <top style="hair">
        <color auto="1"/>
      </top>
      <bottom/>
      <diagonal/>
    </border>
  </borders>
  <cellStyleXfs count="292">
    <xf numFmtId="0" fontId="0" fillId="0" borderId="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3" fillId="0" borderId="0">
      <alignment horizontal="center" vertical="center" wrapText="1"/>
    </xf>
  </cellStyleXfs>
  <cellXfs count="172">
    <xf numFmtId="0" fontId="0" fillId="0" borderId="0" xfId="0"/>
    <xf numFmtId="0" fontId="0" fillId="0" borderId="0" xfId="0" applyBorder="1" applyAlignment="1" applyProtection="1">
      <alignment horizontal="center" vertical="center"/>
      <protection hidden="1"/>
    </xf>
    <xf numFmtId="0" fontId="0" fillId="0" borderId="0" xfId="0" applyBorder="1" applyProtection="1">
      <protection hidden="1"/>
    </xf>
    <xf numFmtId="0" fontId="0" fillId="0" borderId="0" xfId="0" applyBorder="1" applyAlignment="1" applyProtection="1">
      <alignment vertical="center"/>
      <protection hidden="1"/>
    </xf>
    <xf numFmtId="0" fontId="0" fillId="0" borderId="0" xfId="0" applyFill="1" applyProtection="1">
      <protection hidden="1"/>
    </xf>
    <xf numFmtId="0" fontId="0" fillId="0" borderId="0" xfId="0" applyProtection="1">
      <protection hidden="1"/>
    </xf>
    <xf numFmtId="0" fontId="0" fillId="0" borderId="0" xfId="0" applyFont="1" applyBorder="1" applyAlignment="1" applyProtection="1">
      <alignment horizontal="left" vertical="center"/>
      <protection hidden="1"/>
    </xf>
    <xf numFmtId="0" fontId="0" fillId="0" borderId="0" xfId="0" applyFont="1" applyProtection="1">
      <protection hidden="1"/>
    </xf>
    <xf numFmtId="0" fontId="0" fillId="0" borderId="0" xfId="0" applyFont="1" applyBorder="1" applyProtection="1">
      <protection hidden="1"/>
    </xf>
    <xf numFmtId="0" fontId="0" fillId="0" borderId="7" xfId="0" applyBorder="1" applyAlignment="1" applyProtection="1">
      <alignment horizontal="center" vertical="center"/>
      <protection hidden="1"/>
    </xf>
    <xf numFmtId="0" fontId="0" fillId="0" borderId="7" xfId="0" applyBorder="1" applyAlignment="1" applyProtection="1">
      <alignment vertical="center"/>
      <protection hidden="1"/>
    </xf>
    <xf numFmtId="0" fontId="5" fillId="7" borderId="0" xfId="0" applyFont="1" applyFill="1" applyBorder="1" applyAlignment="1" applyProtection="1">
      <protection hidden="1"/>
    </xf>
    <xf numFmtId="0" fontId="0" fillId="4" borderId="0" xfId="0" applyFont="1" applyFill="1" applyBorder="1" applyProtection="1">
      <protection hidden="1"/>
    </xf>
    <xf numFmtId="0" fontId="0" fillId="4" borderId="0" xfId="0" applyFill="1" applyBorder="1" applyAlignment="1" applyProtection="1">
      <alignment horizontal="center" vertical="center"/>
      <protection hidden="1"/>
    </xf>
    <xf numFmtId="0" fontId="0" fillId="4" borderId="0" xfId="0" applyFill="1" applyBorder="1" applyProtection="1">
      <protection hidden="1"/>
    </xf>
    <xf numFmtId="0" fontId="0" fillId="4" borderId="5" xfId="0" applyFill="1" applyBorder="1" applyAlignment="1" applyProtection="1">
      <alignment vertical="center"/>
      <protection hidden="1"/>
    </xf>
    <xf numFmtId="0" fontId="0" fillId="4" borderId="0" xfId="0" applyFill="1" applyProtection="1">
      <protection hidden="1"/>
    </xf>
    <xf numFmtId="0" fontId="0" fillId="0" borderId="0" xfId="0" applyFont="1" applyFill="1" applyBorder="1" applyProtection="1">
      <protection hidden="1"/>
    </xf>
    <xf numFmtId="0" fontId="0" fillId="0" borderId="0" xfId="0" applyFill="1" applyBorder="1" applyProtection="1">
      <protection hidden="1"/>
    </xf>
    <xf numFmtId="0" fontId="0" fillId="0" borderId="5" xfId="0" applyFill="1" applyBorder="1" applyAlignment="1" applyProtection="1">
      <alignment vertical="center"/>
      <protection hidden="1"/>
    </xf>
    <xf numFmtId="0" fontId="6" fillId="0" borderId="0" xfId="0" applyFont="1" applyBorder="1" applyAlignment="1" applyProtection="1">
      <alignment horizontal="justify" vertical="center"/>
      <protection hidden="1"/>
    </xf>
    <xf numFmtId="0" fontId="0" fillId="2" borderId="5" xfId="0" applyFill="1" applyBorder="1" applyAlignment="1" applyProtection="1">
      <alignment vertical="center"/>
      <protection hidden="1"/>
    </xf>
    <xf numFmtId="0" fontId="0" fillId="3" borderId="5" xfId="0" applyFill="1" applyBorder="1" applyAlignment="1" applyProtection="1">
      <alignment vertical="center"/>
      <protection hidden="1"/>
    </xf>
    <xf numFmtId="0" fontId="6" fillId="0" borderId="0" xfId="0" applyFont="1" applyBorder="1" applyProtection="1">
      <protection hidden="1"/>
    </xf>
    <xf numFmtId="0" fontId="4" fillId="5" borderId="0" xfId="0" applyFont="1" applyFill="1" applyBorder="1" applyProtection="1">
      <protection hidden="1"/>
    </xf>
    <xf numFmtId="0" fontId="4" fillId="0" borderId="0" xfId="0" applyFont="1" applyBorder="1" applyProtection="1">
      <protection hidden="1"/>
    </xf>
    <xf numFmtId="0" fontId="4" fillId="0" borderId="5" xfId="0" applyFont="1" applyFill="1" applyBorder="1" applyAlignment="1" applyProtection="1">
      <alignment vertical="center"/>
      <protection hidden="1"/>
    </xf>
    <xf numFmtId="0" fontId="4" fillId="6" borderId="0" xfId="0" applyFont="1" applyFill="1" applyBorder="1" applyProtection="1">
      <protection hidden="1"/>
    </xf>
    <xf numFmtId="0" fontId="4" fillId="6" borderId="5" xfId="0" applyFont="1" applyFill="1" applyBorder="1" applyAlignment="1" applyProtection="1">
      <alignment vertical="center"/>
      <protection hidden="1"/>
    </xf>
    <xf numFmtId="0" fontId="1" fillId="0" borderId="5" xfId="0" applyFont="1" applyFill="1" applyBorder="1" applyAlignment="1" applyProtection="1">
      <alignment horizontal="center" vertical="center"/>
      <protection hidden="1"/>
    </xf>
    <xf numFmtId="0" fontId="7" fillId="2" borderId="5" xfId="0" applyFont="1" applyFill="1" applyBorder="1" applyAlignment="1" applyProtection="1">
      <alignment horizontal="center" vertical="center"/>
      <protection hidden="1"/>
    </xf>
    <xf numFmtId="0" fontId="0" fillId="0" borderId="7" xfId="0" applyFont="1" applyFill="1" applyBorder="1" applyProtection="1">
      <protection hidden="1"/>
    </xf>
    <xf numFmtId="0" fontId="0" fillId="0" borderId="7" xfId="0" applyFill="1" applyBorder="1" applyAlignment="1" applyProtection="1">
      <alignment horizontal="center" vertical="center"/>
      <protection hidden="1"/>
    </xf>
    <xf numFmtId="0" fontId="9" fillId="0" borderId="8" xfId="0" applyFont="1" applyFill="1" applyBorder="1" applyAlignment="1" applyProtection="1">
      <alignment horizontal="center"/>
      <protection hidden="1"/>
    </xf>
    <xf numFmtId="0" fontId="0" fillId="4" borderId="0" xfId="0" applyFill="1" applyAlignment="1" applyProtection="1">
      <alignment horizontal="left" wrapText="1"/>
      <protection hidden="1"/>
    </xf>
    <xf numFmtId="0" fontId="0" fillId="0" borderId="0" xfId="0" applyAlignment="1" applyProtection="1">
      <alignment wrapText="1"/>
      <protection hidden="1"/>
    </xf>
    <xf numFmtId="0" fontId="0" fillId="0" borderId="0" xfId="0" applyFont="1" applyAlignment="1" applyProtection="1">
      <alignment horizontal="left" vertical="center"/>
      <protection hidden="1"/>
    </xf>
    <xf numFmtId="0" fontId="0" fillId="0" borderId="0" xfId="0" applyAlignment="1" applyProtection="1">
      <alignment horizontal="center" vertical="center"/>
      <protection hidden="1"/>
    </xf>
    <xf numFmtId="0" fontId="0" fillId="0" borderId="0" xfId="0" applyAlignment="1" applyProtection="1">
      <alignment vertical="center"/>
      <protection hidden="1"/>
    </xf>
    <xf numFmtId="0" fontId="0" fillId="0" borderId="9" xfId="0" applyFill="1" applyBorder="1" applyAlignment="1" applyProtection="1">
      <alignment horizontal="center" vertical="center"/>
      <protection locked="0"/>
    </xf>
    <xf numFmtId="0" fontId="0" fillId="4" borderId="0" xfId="0" applyFill="1" applyBorder="1" applyAlignment="1" applyProtection="1">
      <alignment horizontal="center" vertical="center"/>
      <protection locked="0"/>
    </xf>
    <xf numFmtId="0" fontId="0" fillId="0" borderId="0" xfId="0" applyFont="1" applyFill="1" applyBorder="1" applyAlignment="1" applyProtection="1">
      <alignment horizontal="center" vertical="center"/>
      <protection hidden="1"/>
    </xf>
    <xf numFmtId="0" fontId="0" fillId="8" borderId="0" xfId="0" applyFont="1" applyFill="1" applyBorder="1" applyAlignment="1" applyProtection="1">
      <alignment horizontal="center" vertical="center"/>
      <protection hidden="1"/>
    </xf>
    <xf numFmtId="0" fontId="0" fillId="0" borderId="4" xfId="0" applyFont="1" applyBorder="1" applyAlignment="1" applyProtection="1">
      <alignment horizontal="left" vertical="center"/>
      <protection hidden="1"/>
    </xf>
    <xf numFmtId="0" fontId="0" fillId="0" borderId="0" xfId="0" applyFont="1" applyBorder="1" applyAlignment="1" applyProtection="1">
      <alignment horizontal="left"/>
      <protection hidden="1"/>
    </xf>
    <xf numFmtId="0" fontId="0" fillId="0" borderId="4" xfId="0" applyFont="1" applyFill="1" applyBorder="1" applyAlignment="1" applyProtection="1">
      <alignment horizontal="left" vertical="center"/>
      <protection hidden="1"/>
    </xf>
    <xf numFmtId="0" fontId="0" fillId="0" borderId="6" xfId="0" applyFont="1" applyFill="1" applyBorder="1" applyAlignment="1" applyProtection="1">
      <alignment horizontal="left" vertical="center"/>
      <protection hidden="1"/>
    </xf>
    <xf numFmtId="0" fontId="0" fillId="4" borderId="0" xfId="0" applyFill="1" applyAlignment="1" applyProtection="1">
      <alignment horizontal="left"/>
      <protection hidden="1"/>
    </xf>
    <xf numFmtId="0" fontId="0" fillId="4" borderId="0" xfId="0" applyFill="1" applyBorder="1" applyAlignment="1" applyProtection="1">
      <alignment horizontal="left"/>
      <protection hidden="1"/>
    </xf>
    <xf numFmtId="0" fontId="0" fillId="0" borderId="0" xfId="0" applyFill="1" applyBorder="1" applyAlignment="1" applyProtection="1">
      <alignment horizontal="center" vertical="center"/>
      <protection locked="0"/>
    </xf>
    <xf numFmtId="0" fontId="0" fillId="0" borderId="0" xfId="0" applyFill="1" applyAlignment="1" applyProtection="1">
      <alignment wrapText="1"/>
      <protection hidden="1"/>
    </xf>
    <xf numFmtId="0" fontId="0" fillId="4" borderId="5" xfId="0" applyFont="1" applyFill="1" applyBorder="1" applyAlignment="1" applyProtection="1">
      <alignment wrapText="1"/>
      <protection hidden="1"/>
    </xf>
    <xf numFmtId="0" fontId="0" fillId="0" borderId="0" xfId="0" applyBorder="1" applyAlignment="1" applyProtection="1">
      <alignment horizontal="center"/>
      <protection hidden="1"/>
    </xf>
    <xf numFmtId="0" fontId="0" fillId="4" borderId="0" xfId="0" applyFill="1" applyBorder="1" applyAlignment="1" applyProtection="1">
      <alignment horizontal="center"/>
      <protection hidden="1"/>
    </xf>
    <xf numFmtId="0" fontId="0" fillId="0" borderId="0" xfId="0" applyFill="1" applyBorder="1" applyAlignment="1" applyProtection="1">
      <alignment horizontal="center"/>
      <protection hidden="1"/>
    </xf>
    <xf numFmtId="0" fontId="11" fillId="8" borderId="0" xfId="0" applyFont="1" applyFill="1" applyBorder="1" applyAlignment="1" applyProtection="1">
      <alignment horizontal="center"/>
      <protection locked="0"/>
    </xf>
    <xf numFmtId="0" fontId="0" fillId="0" borderId="7" xfId="0" applyBorder="1" applyAlignment="1" applyProtection="1">
      <alignment horizontal="center"/>
      <protection hidden="1"/>
    </xf>
    <xf numFmtId="0" fontId="0" fillId="4" borderId="0" xfId="0" applyFont="1" applyFill="1" applyBorder="1" applyAlignment="1" applyProtection="1">
      <alignment horizontal="center" wrapText="1"/>
      <protection hidden="1"/>
    </xf>
    <xf numFmtId="0" fontId="0" fillId="0" borderId="0" xfId="0" applyFill="1" applyBorder="1" applyAlignment="1" applyProtection="1">
      <alignment horizontal="center"/>
      <protection locked="0"/>
    </xf>
    <xf numFmtId="0" fontId="0" fillId="4" borderId="0" xfId="0" applyFont="1" applyFill="1" applyBorder="1" applyAlignment="1" applyProtection="1">
      <alignment wrapText="1"/>
      <protection locked="0"/>
    </xf>
    <xf numFmtId="0" fontId="12" fillId="0" borderId="0" xfId="0" applyFont="1" applyFill="1" applyBorder="1" applyAlignment="1" applyProtection="1">
      <alignment horizontal="center" vertical="center"/>
      <protection locked="0"/>
    </xf>
    <xf numFmtId="0" fontId="0" fillId="0" borderId="0" xfId="0" applyFill="1" applyBorder="1" applyAlignment="1" applyProtection="1">
      <alignment horizontal="center" vertical="center"/>
      <protection hidden="1"/>
    </xf>
    <xf numFmtId="0" fontId="0" fillId="7" borderId="2" xfId="0" applyFont="1" applyFill="1" applyBorder="1" applyAlignment="1" applyProtection="1">
      <alignment horizontal="left"/>
      <protection hidden="1"/>
    </xf>
    <xf numFmtId="0" fontId="0" fillId="7" borderId="1" xfId="0" applyFont="1" applyFill="1" applyBorder="1" applyAlignment="1" applyProtection="1">
      <alignment horizontal="center"/>
      <protection hidden="1"/>
    </xf>
    <xf numFmtId="0" fontId="13" fillId="0" borderId="10" xfId="0" applyFont="1" applyFill="1" applyBorder="1" applyProtection="1">
      <protection hidden="1"/>
    </xf>
    <xf numFmtId="0" fontId="13" fillId="0" borderId="4" xfId="0" applyFont="1" applyBorder="1" applyAlignment="1" applyProtection="1">
      <alignment horizontal="left" vertical="center"/>
      <protection hidden="1"/>
    </xf>
    <xf numFmtId="0" fontId="13" fillId="0" borderId="0" xfId="0" applyFont="1" applyBorder="1" applyProtection="1">
      <protection hidden="1"/>
    </xf>
    <xf numFmtId="0" fontId="0" fillId="0" borderId="6" xfId="0" applyFont="1" applyBorder="1" applyAlignment="1" applyProtection="1">
      <alignment horizontal="left" vertical="center"/>
      <protection hidden="1"/>
    </xf>
    <xf numFmtId="0" fontId="0" fillId="0" borderId="7" xfId="0" applyFont="1" applyBorder="1" applyProtection="1">
      <protection hidden="1"/>
    </xf>
    <xf numFmtId="0" fontId="0" fillId="0" borderId="0" xfId="0" applyFill="1" applyBorder="1" applyAlignment="1" applyProtection="1">
      <alignment horizontal="center" vertical="center"/>
      <protection hidden="1"/>
    </xf>
    <xf numFmtId="0" fontId="5" fillId="7" borderId="1" xfId="0" applyFont="1" applyFill="1" applyBorder="1" applyAlignment="1" applyProtection="1">
      <alignment horizontal="center"/>
      <protection hidden="1"/>
    </xf>
    <xf numFmtId="0" fontId="5" fillId="7" borderId="3" xfId="0" applyFont="1" applyFill="1" applyBorder="1" applyAlignment="1" applyProtection="1">
      <alignment horizontal="center"/>
      <protection hidden="1"/>
    </xf>
    <xf numFmtId="0" fontId="0" fillId="7" borderId="2" xfId="0" applyFont="1" applyFill="1" applyBorder="1" applyAlignment="1" applyProtection="1">
      <alignment horizontal="center" vertical="center"/>
      <protection hidden="1"/>
    </xf>
    <xf numFmtId="0" fontId="0" fillId="4" borderId="0" xfId="0" applyFill="1" applyBorder="1" applyAlignment="1" applyProtection="1">
      <alignment horizontal="left" vertical="center"/>
      <protection locked="0"/>
    </xf>
    <xf numFmtId="0" fontId="4" fillId="6" borderId="5" xfId="0" applyFont="1" applyFill="1" applyBorder="1" applyAlignment="1" applyProtection="1">
      <alignment horizontal="left" vertical="center"/>
      <protection hidden="1"/>
    </xf>
    <xf numFmtId="0" fontId="0" fillId="0" borderId="0" xfId="0" applyFill="1" applyBorder="1" applyAlignment="1" applyProtection="1">
      <protection hidden="1"/>
    </xf>
    <xf numFmtId="0" fontId="0" fillId="0" borderId="0" xfId="0" applyFill="1" applyAlignment="1" applyProtection="1">
      <protection hidden="1"/>
    </xf>
    <xf numFmtId="0" fontId="9" fillId="0" borderId="5" xfId="0" applyFont="1" applyFill="1" applyBorder="1" applyAlignment="1" applyProtection="1">
      <alignment horizontal="center"/>
      <protection hidden="1"/>
    </xf>
    <xf numFmtId="0" fontId="12" fillId="0" borderId="0" xfId="0" applyFont="1" applyFill="1" applyBorder="1" applyAlignment="1" applyProtection="1">
      <alignment horizontal="center"/>
      <protection locked="0"/>
    </xf>
    <xf numFmtId="0" fontId="4" fillId="4" borderId="5" xfId="0" applyFont="1" applyFill="1" applyBorder="1" applyAlignment="1" applyProtection="1">
      <alignment vertical="center"/>
      <protection hidden="1"/>
    </xf>
    <xf numFmtId="0" fontId="0" fillId="4" borderId="14" xfId="0" applyFill="1" applyBorder="1" applyAlignment="1" applyProtection="1">
      <alignment horizontal="center" vertical="center"/>
      <protection locked="0"/>
    </xf>
    <xf numFmtId="0" fontId="13" fillId="0" borderId="4" xfId="0" applyFont="1" applyFill="1" applyBorder="1" applyProtection="1">
      <protection hidden="1"/>
    </xf>
    <xf numFmtId="0" fontId="13" fillId="0" borderId="0" xfId="0" applyFont="1" applyFill="1" applyBorder="1" applyProtection="1">
      <protection hidden="1"/>
    </xf>
    <xf numFmtId="0" fontId="0" fillId="0" borderId="0" xfId="0" applyFill="1" applyBorder="1" applyAlignment="1" applyProtection="1">
      <alignment horizontal="center" vertical="center"/>
      <protection hidden="1"/>
    </xf>
    <xf numFmtId="0" fontId="5" fillId="7" borderId="1" xfId="0" applyFont="1" applyFill="1" applyBorder="1" applyAlignment="1" applyProtection="1">
      <alignment horizontal="center"/>
      <protection hidden="1"/>
    </xf>
    <xf numFmtId="0" fontId="5" fillId="7" borderId="3" xfId="0" applyFont="1" applyFill="1" applyBorder="1" applyAlignment="1" applyProtection="1">
      <alignment horizontal="center"/>
      <protection hidden="1"/>
    </xf>
    <xf numFmtId="0" fontId="4" fillId="5" borderId="4" xfId="0" applyFont="1" applyFill="1" applyBorder="1" applyAlignment="1" applyProtection="1">
      <alignment horizontal="left" vertical="center"/>
      <protection hidden="1"/>
    </xf>
    <xf numFmtId="0" fontId="4" fillId="0" borderId="4" xfId="0" applyFont="1" applyBorder="1" applyAlignment="1" applyProtection="1">
      <alignment horizontal="left" vertical="center"/>
      <protection hidden="1"/>
    </xf>
    <xf numFmtId="0" fontId="4" fillId="5" borderId="0" xfId="0" applyFont="1" applyFill="1" applyBorder="1" applyAlignment="1" applyProtection="1">
      <alignment horizontal="left" vertical="center"/>
      <protection hidden="1"/>
    </xf>
    <xf numFmtId="0" fontId="0" fillId="0" borderId="0" xfId="0" applyFill="1" applyBorder="1"/>
    <xf numFmtId="0" fontId="13" fillId="4" borderId="0" xfId="0" applyFont="1" applyFill="1" applyBorder="1" applyProtection="1">
      <protection hidden="1"/>
    </xf>
    <xf numFmtId="0" fontId="13" fillId="0" borderId="11" xfId="0" applyFont="1" applyBorder="1" applyProtection="1">
      <protection hidden="1"/>
    </xf>
    <xf numFmtId="0" fontId="13" fillId="4" borderId="0" xfId="0" applyFont="1" applyFill="1" applyBorder="1" applyAlignment="1" applyProtection="1">
      <alignment vertical="center" wrapText="1"/>
      <protection hidden="1"/>
    </xf>
    <xf numFmtId="0" fontId="0" fillId="7" borderId="3" xfId="0" applyFont="1" applyFill="1" applyBorder="1" applyAlignment="1" applyProtection="1">
      <alignment horizontal="center"/>
      <protection hidden="1"/>
    </xf>
    <xf numFmtId="0" fontId="0" fillId="0" borderId="1" xfId="0" applyFont="1" applyFill="1" applyBorder="1" applyAlignment="1" applyProtection="1">
      <alignment horizontal="center"/>
      <protection hidden="1"/>
    </xf>
    <xf numFmtId="0" fontId="5" fillId="0" borderId="1" xfId="0" applyFont="1" applyFill="1" applyBorder="1" applyAlignment="1" applyProtection="1">
      <alignment horizontal="center"/>
      <protection hidden="1"/>
    </xf>
    <xf numFmtId="0" fontId="6" fillId="0" borderId="0" xfId="0" applyFont="1" applyFill="1" applyBorder="1" applyAlignment="1" applyProtection="1">
      <alignment horizontal="justify" vertical="center"/>
      <protection hidden="1"/>
    </xf>
    <xf numFmtId="0" fontId="0" fillId="0" borderId="1" xfId="0" applyFont="1" applyFill="1" applyBorder="1" applyAlignment="1" applyProtection="1">
      <alignment horizontal="left"/>
      <protection hidden="1"/>
    </xf>
    <xf numFmtId="0" fontId="4" fillId="0" borderId="0" xfId="0" applyFont="1" applyFill="1" applyBorder="1" applyAlignment="1" applyProtection="1">
      <alignment vertical="center"/>
      <protection hidden="1"/>
    </xf>
    <xf numFmtId="0" fontId="0" fillId="0" borderId="0" xfId="0" applyFont="1" applyFill="1" applyBorder="1" applyAlignment="1" applyProtection="1">
      <alignment horizontal="left" vertical="center"/>
      <protection hidden="1"/>
    </xf>
    <xf numFmtId="0" fontId="0" fillId="0" borderId="7" xfId="0" applyFill="1" applyBorder="1" applyAlignment="1" applyProtection="1">
      <protection hidden="1"/>
    </xf>
    <xf numFmtId="0" fontId="0" fillId="0" borderId="7" xfId="0" applyFill="1" applyBorder="1" applyAlignment="1" applyProtection="1">
      <alignment horizontal="center" vertical="center"/>
      <protection locked="0"/>
    </xf>
    <xf numFmtId="0" fontId="0" fillId="0" borderId="7" xfId="0" applyFill="1" applyBorder="1" applyAlignment="1" applyProtection="1">
      <alignment horizontal="center"/>
      <protection hidden="1"/>
    </xf>
    <xf numFmtId="0" fontId="0" fillId="0" borderId="7" xfId="0" applyFill="1" applyBorder="1" applyAlignment="1" applyProtection="1">
      <alignment vertical="center"/>
      <protection hidden="1"/>
    </xf>
    <xf numFmtId="0" fontId="14" fillId="0" borderId="0" xfId="0" applyFont="1" applyBorder="1" applyAlignment="1" applyProtection="1">
      <alignment vertical="center"/>
      <protection hidden="1"/>
    </xf>
    <xf numFmtId="0" fontId="4" fillId="0" borderId="0" xfId="0" applyFont="1" applyFill="1" applyBorder="1" applyProtection="1">
      <protection hidden="1"/>
    </xf>
    <xf numFmtId="0" fontId="6" fillId="0" borderId="0" xfId="0" applyFont="1" applyFill="1" applyBorder="1" applyProtection="1">
      <protection hidden="1"/>
    </xf>
    <xf numFmtId="0" fontId="13" fillId="0" borderId="11" xfId="0" applyFont="1" applyFill="1" applyBorder="1" applyProtection="1">
      <protection hidden="1"/>
    </xf>
    <xf numFmtId="0" fontId="0" fillId="4" borderId="12" xfId="0" applyFill="1" applyBorder="1" applyAlignment="1" applyProtection="1">
      <alignment horizontal="center" vertical="center"/>
      <protection locked="0"/>
    </xf>
    <xf numFmtId="0" fontId="14" fillId="0" borderId="4" xfId="0" applyFont="1" applyBorder="1" applyAlignment="1">
      <alignment horizontal="left" vertical="center" indent="6"/>
    </xf>
    <xf numFmtId="0" fontId="0" fillId="0" borderId="9" xfId="0" applyFont="1" applyFill="1" applyBorder="1" applyAlignment="1" applyProtection="1">
      <alignment horizontal="center" vertical="center"/>
      <protection locked="0"/>
    </xf>
    <xf numFmtId="0" fontId="0" fillId="4" borderId="0" xfId="0" applyFont="1" applyFill="1" applyBorder="1" applyAlignment="1" applyProtection="1">
      <alignment horizontal="center"/>
      <protection hidden="1"/>
    </xf>
    <xf numFmtId="0" fontId="0" fillId="2" borderId="5" xfId="0" applyFont="1" applyFill="1" applyBorder="1" applyAlignment="1" applyProtection="1">
      <alignment vertical="center"/>
      <protection hidden="1"/>
    </xf>
    <xf numFmtId="0" fontId="0" fillId="0" borderId="0" xfId="0" applyFont="1" applyFill="1" applyBorder="1" applyAlignment="1" applyProtection="1">
      <alignment horizontal="center"/>
      <protection hidden="1"/>
    </xf>
    <xf numFmtId="0" fontId="0" fillId="3" borderId="5" xfId="0" applyFont="1" applyFill="1" applyBorder="1" applyAlignment="1" applyProtection="1">
      <alignment vertical="center"/>
      <protection hidden="1"/>
    </xf>
    <xf numFmtId="0" fontId="0" fillId="0" borderId="5" xfId="0" applyFont="1" applyFill="1" applyBorder="1" applyAlignment="1" applyProtection="1">
      <alignment vertical="center"/>
      <protection hidden="1"/>
    </xf>
    <xf numFmtId="0" fontId="0" fillId="4" borderId="0" xfId="0" applyFont="1" applyFill="1" applyBorder="1" applyAlignment="1" applyProtection="1">
      <alignment horizontal="center" vertical="center"/>
      <protection locked="0"/>
    </xf>
    <xf numFmtId="0" fontId="0" fillId="0" borderId="4" xfId="0" applyFont="1" applyBorder="1" applyProtection="1">
      <protection hidden="1"/>
    </xf>
    <xf numFmtId="0" fontId="0" fillId="0" borderId="0" xfId="0" applyFont="1" applyFill="1" applyBorder="1" applyAlignment="1" applyProtection="1">
      <alignment horizontal="center" vertical="center"/>
      <protection locked="0"/>
    </xf>
    <xf numFmtId="0" fontId="0" fillId="0" borderId="5" xfId="0" applyFont="1" applyFill="1" applyBorder="1" applyAlignment="1" applyProtection="1">
      <alignment horizontal="center" vertical="center"/>
      <protection hidden="1"/>
    </xf>
    <xf numFmtId="0" fontId="0" fillId="0" borderId="0" xfId="0" applyFont="1" applyBorder="1" applyAlignment="1" applyProtection="1">
      <alignment horizontal="center"/>
      <protection hidden="1"/>
    </xf>
    <xf numFmtId="0" fontId="0" fillId="0" borderId="7" xfId="0" applyFont="1" applyFill="1" applyBorder="1" applyAlignment="1" applyProtection="1">
      <alignment horizontal="center" vertical="center"/>
      <protection hidden="1"/>
    </xf>
    <xf numFmtId="0" fontId="0" fillId="0" borderId="7" xfId="0" applyFont="1" applyBorder="1" applyAlignment="1" applyProtection="1">
      <alignment horizontal="center"/>
      <protection hidden="1"/>
    </xf>
    <xf numFmtId="0" fontId="15" fillId="0" borderId="8" xfId="0" applyFont="1" applyFill="1" applyBorder="1" applyAlignment="1" applyProtection="1">
      <alignment horizontal="center"/>
      <protection hidden="1"/>
    </xf>
    <xf numFmtId="0" fontId="13" fillId="0" borderId="10" xfId="0" applyFont="1" applyFill="1" applyBorder="1" applyAlignment="1" applyProtection="1">
      <alignment vertical="center" wrapText="1"/>
      <protection hidden="1"/>
    </xf>
    <xf numFmtId="0" fontId="13" fillId="4" borderId="13" xfId="0" applyFont="1" applyFill="1" applyBorder="1" applyProtection="1">
      <protection hidden="1"/>
    </xf>
    <xf numFmtId="0" fontId="13" fillId="0" borderId="10" xfId="0" applyFont="1" applyBorder="1" applyProtection="1">
      <protection hidden="1"/>
    </xf>
    <xf numFmtId="0" fontId="13" fillId="0" borderId="11" xfId="0" applyFont="1" applyFill="1" applyBorder="1" applyAlignment="1" applyProtection="1">
      <alignment vertical="center" wrapText="1"/>
      <protection hidden="1"/>
    </xf>
    <xf numFmtId="0" fontId="13" fillId="0" borderId="15" xfId="0" applyFont="1" applyBorder="1" applyProtection="1">
      <protection hidden="1"/>
    </xf>
    <xf numFmtId="0" fontId="5" fillId="7" borderId="1" xfId="0" applyFont="1" applyFill="1" applyBorder="1" applyAlignment="1" applyProtection="1">
      <alignment horizontal="center"/>
      <protection hidden="1"/>
    </xf>
    <xf numFmtId="0" fontId="16" fillId="4" borderId="4" xfId="0" applyFont="1" applyFill="1" applyBorder="1" applyAlignment="1">
      <alignment vertical="center"/>
    </xf>
    <xf numFmtId="0" fontId="0" fillId="4" borderId="0" xfId="0" applyFont="1" applyFill="1" applyBorder="1" applyAlignment="1" applyProtection="1">
      <alignment wrapText="1"/>
      <protection hidden="1"/>
    </xf>
    <xf numFmtId="0" fontId="17" fillId="0" borderId="4" xfId="0" applyFont="1" applyBorder="1" applyAlignment="1">
      <alignment horizontal="left" vertical="center" indent="6"/>
    </xf>
    <xf numFmtId="0" fontId="0" fillId="0" borderId="10" xfId="0" applyFont="1" applyFill="1" applyBorder="1" applyAlignment="1" applyProtection="1">
      <alignment wrapText="1"/>
      <protection hidden="1"/>
    </xf>
    <xf numFmtId="0" fontId="0" fillId="0" borderId="11" xfId="0" applyFont="1" applyFill="1" applyBorder="1" applyAlignment="1" applyProtection="1">
      <alignment wrapText="1"/>
      <protection hidden="1"/>
    </xf>
    <xf numFmtId="0" fontId="0" fillId="4" borderId="11" xfId="0" applyFont="1" applyFill="1" applyBorder="1" applyAlignment="1" applyProtection="1">
      <alignment wrapText="1"/>
      <protection hidden="1"/>
    </xf>
    <xf numFmtId="0" fontId="18" fillId="0" borderId="4" xfId="0" applyFont="1" applyFill="1" applyBorder="1" applyAlignment="1" applyProtection="1">
      <alignment horizontal="left" vertical="center"/>
      <protection hidden="1"/>
    </xf>
    <xf numFmtId="0" fontId="0" fillId="0" borderId="4" xfId="0" applyFont="1" applyFill="1" applyBorder="1" applyAlignment="1" applyProtection="1">
      <alignment wrapText="1"/>
      <protection hidden="1"/>
    </xf>
    <xf numFmtId="0" fontId="4" fillId="4" borderId="0" xfId="0" applyFont="1" applyFill="1" applyBorder="1" applyProtection="1">
      <protection hidden="1"/>
    </xf>
    <xf numFmtId="0" fontId="0" fillId="0" borderId="0" xfId="0" applyFill="1" applyAlignment="1" applyProtection="1">
      <alignment horizontal="left"/>
      <protection hidden="1"/>
    </xf>
    <xf numFmtId="0" fontId="19" fillId="4" borderId="4" xfId="0" applyFont="1" applyFill="1" applyBorder="1" applyAlignment="1">
      <alignment vertical="center"/>
    </xf>
    <xf numFmtId="0" fontId="13" fillId="0" borderId="10" xfId="0" applyFont="1" applyFill="1" applyBorder="1" applyAlignment="1" applyProtection="1">
      <protection hidden="1"/>
    </xf>
    <xf numFmtId="0" fontId="13" fillId="0" borderId="10" xfId="0" applyFont="1" applyFill="1" applyBorder="1" applyAlignment="1" applyProtection="1">
      <alignment wrapText="1"/>
      <protection hidden="1"/>
    </xf>
    <xf numFmtId="0" fontId="13" fillId="0" borderId="11" xfId="0" applyFont="1" applyBorder="1" applyAlignment="1" applyProtection="1">
      <alignment wrapText="1"/>
      <protection hidden="1"/>
    </xf>
    <xf numFmtId="0" fontId="13" fillId="0" borderId="11" xfId="0" applyFont="1" applyBorder="1" applyAlignment="1" applyProtection="1">
      <alignment horizontal="left" wrapText="1"/>
      <protection hidden="1"/>
    </xf>
    <xf numFmtId="0" fontId="0" fillId="0" borderId="0" xfId="0" applyAlignment="1">
      <alignment wrapText="1"/>
    </xf>
    <xf numFmtId="0" fontId="13" fillId="4" borderId="0" xfId="0" applyFont="1" applyFill="1" applyBorder="1" applyAlignment="1" applyProtection="1">
      <alignment vertical="center"/>
      <protection hidden="1"/>
    </xf>
    <xf numFmtId="0" fontId="13" fillId="4" borderId="0" xfId="0" applyFont="1" applyFill="1" applyBorder="1" applyAlignment="1" applyProtection="1">
      <alignment wrapText="1"/>
      <protection hidden="1"/>
    </xf>
    <xf numFmtId="0" fontId="13" fillId="4" borderId="0" xfId="0" applyFont="1" applyFill="1" applyBorder="1" applyAlignment="1" applyProtection="1">
      <protection hidden="1"/>
    </xf>
    <xf numFmtId="0" fontId="0" fillId="0" borderId="0" xfId="0" applyFill="1" applyBorder="1" applyAlignment="1" applyProtection="1">
      <alignment horizontal="center" vertical="center"/>
      <protection hidden="1"/>
    </xf>
    <xf numFmtId="0" fontId="20" fillId="4" borderId="4" xfId="0" applyFont="1" applyFill="1" applyBorder="1" applyAlignment="1">
      <alignment vertical="center"/>
    </xf>
    <xf numFmtId="0" fontId="0" fillId="0" borderId="0" xfId="0" applyFill="1" applyBorder="1" applyAlignment="1" applyProtection="1">
      <alignment horizontal="center" vertical="center"/>
      <protection hidden="1"/>
    </xf>
    <xf numFmtId="0" fontId="21" fillId="4" borderId="4" xfId="0" applyFont="1" applyFill="1" applyBorder="1" applyAlignment="1">
      <alignment vertical="center"/>
    </xf>
    <xf numFmtId="0" fontId="0" fillId="4" borderId="0" xfId="0" applyFont="1" applyFill="1" applyBorder="1" applyAlignment="1" applyProtection="1">
      <protection hidden="1"/>
    </xf>
    <xf numFmtId="0" fontId="0" fillId="4" borderId="11" xfId="0" applyFont="1" applyFill="1" applyBorder="1" applyAlignment="1" applyProtection="1">
      <protection hidden="1"/>
    </xf>
    <xf numFmtId="3" fontId="0" fillId="0" borderId="11" xfId="0" applyNumberFormat="1" applyFont="1" applyFill="1" applyBorder="1" applyAlignment="1" applyProtection="1">
      <alignment horizontal="left" wrapText="1"/>
      <protection hidden="1"/>
    </xf>
    <xf numFmtId="0" fontId="0" fillId="0" borderId="0" xfId="0" applyFill="1" applyBorder="1" applyAlignment="1" applyProtection="1">
      <alignment horizontal="center" vertical="center"/>
      <protection hidden="1"/>
    </xf>
    <xf numFmtId="0" fontId="5" fillId="7" borderId="1" xfId="0" applyFont="1" applyFill="1" applyBorder="1" applyAlignment="1" applyProtection="1">
      <alignment horizontal="center"/>
      <protection hidden="1"/>
    </xf>
    <xf numFmtId="0" fontId="5" fillId="7" borderId="3" xfId="0" applyFont="1" applyFill="1" applyBorder="1" applyAlignment="1" applyProtection="1">
      <alignment horizontal="center"/>
      <protection hidden="1"/>
    </xf>
    <xf numFmtId="0" fontId="0" fillId="0" borderId="0" xfId="0" applyFill="1" applyBorder="1" applyAlignment="1" applyProtection="1">
      <alignment horizontal="center" vertical="center"/>
      <protection hidden="1"/>
    </xf>
    <xf numFmtId="0" fontId="5" fillId="7" borderId="1" xfId="0" applyFont="1" applyFill="1" applyBorder="1" applyAlignment="1" applyProtection="1">
      <alignment horizontal="center"/>
      <protection hidden="1"/>
    </xf>
    <xf numFmtId="0" fontId="5" fillId="7" borderId="3" xfId="0" applyFont="1" applyFill="1" applyBorder="1" applyAlignment="1" applyProtection="1">
      <alignment horizontal="center"/>
      <protection hidden="1"/>
    </xf>
    <xf numFmtId="0" fontId="13" fillId="0" borderId="11" xfId="0" applyFont="1" applyBorder="1" applyAlignment="1" applyProtection="1">
      <alignment horizontal="left" vertical="top" wrapText="1"/>
      <protection hidden="1"/>
    </xf>
    <xf numFmtId="0" fontId="0" fillId="0" borderId="10" xfId="0" applyFont="1" applyFill="1" applyBorder="1" applyAlignment="1" applyProtection="1">
      <alignment horizontal="left" vertical="top" wrapText="1"/>
      <protection hidden="1"/>
    </xf>
    <xf numFmtId="0" fontId="0" fillId="0" borderId="11" xfId="0" applyFont="1" applyFill="1" applyBorder="1" applyAlignment="1" applyProtection="1">
      <alignment horizontal="left" vertical="top" wrapText="1"/>
      <protection hidden="1"/>
    </xf>
    <xf numFmtId="0" fontId="13" fillId="4" borderId="0" xfId="0" applyFont="1" applyFill="1" applyBorder="1" applyAlignment="1" applyProtection="1">
      <alignment horizontal="left" vertical="top" wrapText="1"/>
      <protection hidden="1"/>
    </xf>
    <xf numFmtId="0" fontId="13" fillId="4" borderId="0" xfId="0" applyFont="1" applyFill="1" applyBorder="1" applyAlignment="1" applyProtection="1">
      <alignment horizontal="left" vertical="top"/>
      <protection hidden="1"/>
    </xf>
    <xf numFmtId="0" fontId="0" fillId="4" borderId="0" xfId="0" applyFont="1" applyFill="1" applyBorder="1" applyAlignment="1" applyProtection="1">
      <alignment horizontal="left" vertical="top" wrapText="1"/>
      <protection hidden="1"/>
    </xf>
    <xf numFmtId="0" fontId="5" fillId="7" borderId="1" xfId="0" applyFont="1" applyFill="1" applyBorder="1" applyAlignment="1" applyProtection="1">
      <alignment horizontal="center"/>
      <protection hidden="1"/>
    </xf>
    <xf numFmtId="0" fontId="5" fillId="7" borderId="3" xfId="0" applyFont="1" applyFill="1" applyBorder="1" applyAlignment="1" applyProtection="1">
      <alignment horizontal="center"/>
      <protection hidden="1"/>
    </xf>
    <xf numFmtId="0" fontId="0" fillId="0" borderId="0" xfId="0" applyFill="1" applyBorder="1" applyAlignment="1" applyProtection="1">
      <alignment horizontal="center" vertical="center"/>
      <protection hidden="1"/>
    </xf>
    <xf numFmtId="0" fontId="0" fillId="4" borderId="0" xfId="0" applyFont="1" applyFill="1" applyBorder="1" applyAlignment="1" applyProtection="1">
      <alignment horizontal="left" vertical="top"/>
      <protection hidden="1"/>
    </xf>
  </cellXfs>
  <cellStyles count="292">
    <cellStyle name="Hipervínculo" xfId="9" builtinId="8" hidden="1"/>
    <cellStyle name="Hipervínculo" xfId="11" builtinId="8" hidden="1"/>
    <cellStyle name="Hipervínculo" xfId="15" builtinId="8" hidden="1"/>
    <cellStyle name="Hipervínculo" xfId="13" builtinId="8" hidden="1"/>
    <cellStyle name="Hipervínculo" xfId="5" builtinId="8" hidden="1"/>
    <cellStyle name="Hipervínculo" xfId="7" builtinId="8" hidden="1"/>
    <cellStyle name="Hipervínculo" xfId="3" builtinId="8" hidden="1"/>
    <cellStyle name="Hipervínculo" xfId="1" builtinId="8" hidden="1"/>
    <cellStyle name="Hipervínculo" xfId="17" builtinId="8" hidden="1"/>
    <cellStyle name="Hipervínculo" xfId="19" builtinId="8" hidden="1"/>
    <cellStyle name="Hipervínculo" xfId="21" builtinId="8" hidden="1"/>
    <cellStyle name="Hipervínculo" xfId="23" builtinId="8" hidden="1"/>
    <cellStyle name="Hipervínculo" xfId="25" builtinId="8" hidden="1"/>
    <cellStyle name="Hipervínculo" xfId="27" builtinId="8" hidden="1"/>
    <cellStyle name="Hipervínculo" xfId="29" builtinId="8" hidden="1"/>
    <cellStyle name="Hipervínculo" xfId="31" builtinId="8" hidden="1"/>
    <cellStyle name="Hipervínculo" xfId="33" builtinId="8" hidden="1"/>
    <cellStyle name="Hipervínculo" xfId="35" builtinId="8" hidden="1"/>
    <cellStyle name="Hipervínculo" xfId="37" builtinId="8" hidden="1"/>
    <cellStyle name="Hipervínculo" xfId="39" builtinId="8" hidden="1"/>
    <cellStyle name="Hipervínculo" xfId="41" builtinId="8" hidden="1"/>
    <cellStyle name="Hipervínculo" xfId="43" builtinId="8" hidden="1"/>
    <cellStyle name="Hipervínculo" xfId="45" builtinId="8" hidden="1"/>
    <cellStyle name="Hipervínculo" xfId="47" builtinId="8" hidden="1"/>
    <cellStyle name="Hipervínculo" xfId="49" builtinId="8" hidden="1"/>
    <cellStyle name="Hipervínculo" xfId="51" builtinId="8" hidden="1"/>
    <cellStyle name="Hipervínculo" xfId="53" builtinId="8" hidden="1"/>
    <cellStyle name="Hipervínculo" xfId="55" builtinId="8" hidden="1"/>
    <cellStyle name="Hipervínculo" xfId="57" builtinId="8" hidden="1"/>
    <cellStyle name="Hipervínculo" xfId="59" builtinId="8" hidden="1"/>
    <cellStyle name="Hipervínculo" xfId="61" builtinId="8" hidden="1"/>
    <cellStyle name="Hipervínculo" xfId="63" builtinId="8" hidden="1"/>
    <cellStyle name="Hipervínculo" xfId="65" builtinId="8" hidden="1"/>
    <cellStyle name="Hipervínculo" xfId="67" builtinId="8" hidden="1"/>
    <cellStyle name="Hipervínculo" xfId="69" builtinId="8" hidden="1"/>
    <cellStyle name="Hipervínculo" xfId="71" builtinId="8" hidden="1"/>
    <cellStyle name="Hipervínculo" xfId="73" builtinId="8" hidden="1"/>
    <cellStyle name="Hipervínculo" xfId="75" builtinId="8" hidden="1"/>
    <cellStyle name="Hipervínculo" xfId="77" builtinId="8" hidden="1"/>
    <cellStyle name="Hipervínculo" xfId="79" builtinId="8" hidden="1"/>
    <cellStyle name="Hipervínculo" xfId="81" builtinId="8" hidden="1"/>
    <cellStyle name="Hipervínculo" xfId="83" builtinId="8" hidden="1"/>
    <cellStyle name="Hipervínculo" xfId="85" builtinId="8" hidden="1"/>
    <cellStyle name="Hipervínculo" xfId="87" builtinId="8" hidden="1"/>
    <cellStyle name="Hipervínculo" xfId="89" builtinId="8" hidden="1"/>
    <cellStyle name="Hipervínculo" xfId="91" builtinId="8" hidden="1"/>
    <cellStyle name="Hipervínculo" xfId="93" builtinId="8" hidden="1"/>
    <cellStyle name="Hipervínculo" xfId="95" builtinId="8" hidden="1"/>
    <cellStyle name="Hipervínculo" xfId="97" builtinId="8" hidden="1"/>
    <cellStyle name="Hipervínculo" xfId="99" builtinId="8" hidden="1"/>
    <cellStyle name="Hipervínculo" xfId="101" builtinId="8" hidden="1"/>
    <cellStyle name="Hipervínculo" xfId="103" builtinId="8" hidden="1"/>
    <cellStyle name="Hipervínculo" xfId="105" builtinId="8" hidden="1"/>
    <cellStyle name="Hipervínculo" xfId="107" builtinId="8" hidden="1"/>
    <cellStyle name="Hipervínculo" xfId="109" builtinId="8" hidden="1"/>
    <cellStyle name="Hipervínculo" xfId="111" builtinId="8" hidden="1"/>
    <cellStyle name="Hipervínculo" xfId="113" builtinId="8" hidden="1"/>
    <cellStyle name="Hipervínculo" xfId="115" builtinId="8" hidden="1"/>
    <cellStyle name="Hipervínculo" xfId="117" builtinId="8" hidden="1"/>
    <cellStyle name="Hipervínculo" xfId="119" builtinId="8" hidden="1"/>
    <cellStyle name="Hipervínculo" xfId="121" builtinId="8" hidden="1"/>
    <cellStyle name="Hipervínculo" xfId="123" builtinId="8" hidden="1"/>
    <cellStyle name="Hipervínculo" xfId="125" builtinId="8" hidden="1"/>
    <cellStyle name="Hipervínculo" xfId="127" builtinId="8" hidden="1"/>
    <cellStyle name="Hipervínculo" xfId="129" builtinId="8" hidden="1"/>
    <cellStyle name="Hipervínculo" xfId="131" builtinId="8" hidden="1"/>
    <cellStyle name="Hipervínculo" xfId="133" builtinId="8" hidden="1"/>
    <cellStyle name="Hipervínculo" xfId="135" builtinId="8" hidden="1"/>
    <cellStyle name="Hipervínculo" xfId="137" builtinId="8" hidden="1"/>
    <cellStyle name="Hipervínculo" xfId="139" builtinId="8" hidden="1"/>
    <cellStyle name="Hipervínculo" xfId="141" builtinId="8" hidden="1"/>
    <cellStyle name="Hipervínculo" xfId="143" builtinId="8" hidden="1"/>
    <cellStyle name="Hipervínculo" xfId="145" builtinId="8" hidden="1"/>
    <cellStyle name="Hipervínculo" xfId="147" builtinId="8" hidden="1"/>
    <cellStyle name="Hipervínculo" xfId="149" builtinId="8" hidden="1"/>
    <cellStyle name="Hipervínculo" xfId="151" builtinId="8" hidden="1"/>
    <cellStyle name="Hipervínculo" xfId="153" builtinId="8" hidden="1"/>
    <cellStyle name="Hipervínculo" xfId="155" builtinId="8" hidden="1"/>
    <cellStyle name="Hipervínculo" xfId="157" builtinId="8" hidden="1"/>
    <cellStyle name="Hipervínculo" xfId="159" builtinId="8" hidden="1"/>
    <cellStyle name="Hipervínculo" xfId="161" builtinId="8" hidden="1"/>
    <cellStyle name="Hipervínculo" xfId="163" builtinId="8" hidden="1"/>
    <cellStyle name="Hipervínculo" xfId="165" builtinId="8" hidden="1"/>
    <cellStyle name="Hipervínculo" xfId="167" builtinId="8" hidden="1"/>
    <cellStyle name="Hipervínculo" xfId="169" builtinId="8" hidden="1"/>
    <cellStyle name="Hipervínculo" xfId="171" builtinId="8" hidden="1"/>
    <cellStyle name="Hipervínculo" xfId="173" builtinId="8" hidden="1"/>
    <cellStyle name="Hipervínculo" xfId="175" builtinId="8" hidden="1"/>
    <cellStyle name="Hipervínculo" xfId="177" builtinId="8" hidden="1"/>
    <cellStyle name="Hipervínculo" xfId="179" builtinId="8" hidden="1"/>
    <cellStyle name="Hipervínculo" xfId="181" builtinId="8" hidden="1"/>
    <cellStyle name="Hipervínculo" xfId="183" builtinId="8" hidden="1"/>
    <cellStyle name="Hipervínculo" xfId="185" builtinId="8" hidden="1"/>
    <cellStyle name="Hipervínculo" xfId="187" builtinId="8" hidden="1"/>
    <cellStyle name="Hipervínculo" xfId="189" builtinId="8" hidden="1"/>
    <cellStyle name="Hipervínculo" xfId="191" builtinId="8" hidden="1"/>
    <cellStyle name="Hipervínculo" xfId="193" builtinId="8" hidden="1"/>
    <cellStyle name="Hipervínculo" xfId="195" builtinId="8" hidden="1"/>
    <cellStyle name="Hipervínculo" xfId="197" builtinId="8" hidden="1"/>
    <cellStyle name="Hipervínculo" xfId="199" builtinId="8" hidden="1"/>
    <cellStyle name="Hipervínculo" xfId="201" builtinId="8" hidden="1"/>
    <cellStyle name="Hipervínculo" xfId="203" builtinId="8" hidden="1"/>
    <cellStyle name="Hipervínculo" xfId="205" builtinId="8" hidden="1"/>
    <cellStyle name="Hipervínculo" xfId="207" builtinId="8" hidden="1"/>
    <cellStyle name="Hipervínculo" xfId="209" builtinId="8" hidden="1"/>
    <cellStyle name="Hipervínculo" xfId="211" builtinId="8" hidden="1"/>
    <cellStyle name="Hipervínculo" xfId="213" builtinId="8" hidden="1"/>
    <cellStyle name="Hipervínculo" xfId="215" builtinId="8" hidden="1"/>
    <cellStyle name="Hipervínculo" xfId="217" builtinId="8" hidden="1"/>
    <cellStyle name="Hipervínculo" xfId="219" builtinId="8" hidden="1"/>
    <cellStyle name="Hipervínculo" xfId="221" builtinId="8" hidden="1"/>
    <cellStyle name="Hipervínculo" xfId="223" builtinId="8" hidden="1"/>
    <cellStyle name="Hipervínculo" xfId="225" builtinId="8" hidden="1"/>
    <cellStyle name="Hipervínculo" xfId="227" builtinId="8" hidden="1"/>
    <cellStyle name="Hipervínculo" xfId="229" builtinId="8" hidden="1"/>
    <cellStyle name="Hipervínculo" xfId="231" builtinId="8" hidden="1"/>
    <cellStyle name="Hipervínculo" xfId="233" builtinId="8" hidden="1"/>
    <cellStyle name="Hipervínculo" xfId="235" builtinId="8" hidden="1"/>
    <cellStyle name="Hipervínculo" xfId="237" builtinId="8" hidden="1"/>
    <cellStyle name="Hipervínculo" xfId="239" builtinId="8" hidden="1"/>
    <cellStyle name="Hipervínculo" xfId="241" builtinId="8" hidden="1"/>
    <cellStyle name="Hipervínculo" xfId="243" builtinId="8" hidden="1"/>
    <cellStyle name="Hipervínculo" xfId="245" builtinId="8" hidden="1"/>
    <cellStyle name="Hipervínculo" xfId="247" builtinId="8" hidden="1"/>
    <cellStyle name="Hipervínculo" xfId="249" builtinId="8" hidden="1"/>
    <cellStyle name="Hipervínculo" xfId="251" builtinId="8" hidden="1"/>
    <cellStyle name="Hipervínculo" xfId="253" builtinId="8" hidden="1"/>
    <cellStyle name="Hipervínculo" xfId="255" builtinId="8" hidden="1"/>
    <cellStyle name="Hipervínculo" xfId="257" builtinId="8" hidden="1"/>
    <cellStyle name="Hipervínculo" xfId="259" builtinId="8" hidden="1"/>
    <cellStyle name="Hipervínculo" xfId="261" builtinId="8" hidden="1"/>
    <cellStyle name="Hipervínculo" xfId="263" builtinId="8" hidden="1"/>
    <cellStyle name="Hipervínculo" xfId="265" builtinId="8" hidden="1"/>
    <cellStyle name="Hipervínculo" xfId="267" builtinId="8" hidden="1"/>
    <cellStyle name="Hipervínculo" xfId="269" builtinId="8" hidden="1"/>
    <cellStyle name="Hipervínculo" xfId="271" builtinId="8" hidden="1"/>
    <cellStyle name="Hipervínculo" xfId="273" builtinId="8" hidden="1"/>
    <cellStyle name="Hipervínculo" xfId="275" builtinId="8" hidden="1"/>
    <cellStyle name="Hipervínculo" xfId="277" builtinId="8" hidden="1"/>
    <cellStyle name="Hipervínculo" xfId="279" builtinId="8" hidden="1"/>
    <cellStyle name="Hipervínculo" xfId="281" builtinId="8" hidden="1"/>
    <cellStyle name="Hipervínculo" xfId="283" builtinId="8" hidden="1"/>
    <cellStyle name="Hipervínculo" xfId="285" builtinId="8" hidden="1"/>
    <cellStyle name="Hipervínculo" xfId="287" builtinId="8" hidden="1"/>
    <cellStyle name="Hipervínculo" xfId="289" builtinId="8" hidden="1"/>
    <cellStyle name="Hipervínculo visitado" xfId="12" builtinId="9" hidden="1"/>
    <cellStyle name="Hipervínculo visitado" xfId="16" builtinId="9" hidden="1"/>
    <cellStyle name="Hipervínculo visitado" xfId="14" builtinId="9" hidden="1"/>
    <cellStyle name="Hipervínculo visitado" xfId="6" builtinId="9" hidden="1"/>
    <cellStyle name="Hipervínculo visitado" xfId="8" builtinId="9" hidden="1"/>
    <cellStyle name="Hipervínculo visitado" xfId="10" builtinId="9" hidden="1"/>
    <cellStyle name="Hipervínculo visitado" xfId="4" builtinId="9" hidden="1"/>
    <cellStyle name="Hipervínculo visitado" xfId="2" builtinId="9" hidden="1"/>
    <cellStyle name="Hipervínculo visitado" xfId="18" builtinId="9" hidden="1"/>
    <cellStyle name="Hipervínculo visitado" xfId="20" builtinId="9" hidden="1"/>
    <cellStyle name="Hipervínculo visitado" xfId="22" builtinId="9" hidden="1"/>
    <cellStyle name="Hipervínculo visitado" xfId="24" builtinId="9" hidden="1"/>
    <cellStyle name="Hipervínculo visitado" xfId="26" builtinId="9" hidden="1"/>
    <cellStyle name="Hipervínculo visitado" xfId="28" builtinId="9" hidden="1"/>
    <cellStyle name="Hipervínculo visitado" xfId="30" builtinId="9" hidden="1"/>
    <cellStyle name="Hipervínculo visitado" xfId="32" builtinId="9" hidden="1"/>
    <cellStyle name="Hipervínculo visitado" xfId="34" builtinId="9" hidden="1"/>
    <cellStyle name="Hipervínculo visitado" xfId="36" builtinId="9" hidden="1"/>
    <cellStyle name="Hipervínculo visitado" xfId="38" builtinId="9" hidden="1"/>
    <cellStyle name="Hipervínculo visitado" xfId="40" builtinId="9" hidden="1"/>
    <cellStyle name="Hipervínculo visitado" xfId="42" builtinId="9" hidden="1"/>
    <cellStyle name="Hipervínculo visitado" xfId="44" builtinId="9" hidden="1"/>
    <cellStyle name="Hipervínculo visitado" xfId="46" builtinId="9" hidden="1"/>
    <cellStyle name="Hipervínculo visitado" xfId="48" builtinId="9" hidden="1"/>
    <cellStyle name="Hipervínculo visitado" xfId="50" builtinId="9" hidden="1"/>
    <cellStyle name="Hipervínculo visitado" xfId="52" builtinId="9" hidden="1"/>
    <cellStyle name="Hipervínculo visitado" xfId="54" builtinId="9" hidden="1"/>
    <cellStyle name="Hipervínculo visitado" xfId="56" builtinId="9" hidden="1"/>
    <cellStyle name="Hipervínculo visitado" xfId="58" builtinId="9" hidden="1"/>
    <cellStyle name="Hipervínculo visitado" xfId="60" builtinId="9" hidden="1"/>
    <cellStyle name="Hipervínculo visitado" xfId="62" builtinId="9" hidden="1"/>
    <cellStyle name="Hipervínculo visitado" xfId="64" builtinId="9" hidden="1"/>
    <cellStyle name="Hipervínculo visitado" xfId="66" builtinId="9" hidden="1"/>
    <cellStyle name="Hipervínculo visitado" xfId="68" builtinId="9" hidden="1"/>
    <cellStyle name="Hipervínculo visitado" xfId="70" builtinId="9" hidden="1"/>
    <cellStyle name="Hipervínculo visitado" xfId="72" builtinId="9" hidden="1"/>
    <cellStyle name="Hipervínculo visitado" xfId="74" builtinId="9" hidden="1"/>
    <cellStyle name="Hipervínculo visitado" xfId="76" builtinId="9" hidden="1"/>
    <cellStyle name="Hipervínculo visitado" xfId="78" builtinId="9" hidden="1"/>
    <cellStyle name="Hipervínculo visitado" xfId="80" builtinId="9" hidden="1"/>
    <cellStyle name="Hipervínculo visitado" xfId="82" builtinId="9" hidden="1"/>
    <cellStyle name="Hipervínculo visitado" xfId="84" builtinId="9" hidden="1"/>
    <cellStyle name="Hipervínculo visitado" xfId="86" builtinId="9" hidden="1"/>
    <cellStyle name="Hipervínculo visitado" xfId="88" builtinId="9" hidden="1"/>
    <cellStyle name="Hipervínculo visitado" xfId="90" builtinId="9" hidden="1"/>
    <cellStyle name="Hipervínculo visitado" xfId="92" builtinId="9" hidden="1"/>
    <cellStyle name="Hipervínculo visitado" xfId="94" builtinId="9" hidden="1"/>
    <cellStyle name="Hipervínculo visitado" xfId="96" builtinId="9" hidden="1"/>
    <cellStyle name="Hipervínculo visitado" xfId="98" builtinId="9" hidden="1"/>
    <cellStyle name="Hipervínculo visitado" xfId="100" builtinId="9" hidden="1"/>
    <cellStyle name="Hipervínculo visitado" xfId="102" builtinId="9" hidden="1"/>
    <cellStyle name="Hipervínculo visitado" xfId="104" builtinId="9" hidden="1"/>
    <cellStyle name="Hipervínculo visitado" xfId="106" builtinId="9" hidden="1"/>
    <cellStyle name="Hipervínculo visitado" xfId="108" builtinId="9" hidden="1"/>
    <cellStyle name="Hipervínculo visitado" xfId="110" builtinId="9" hidden="1"/>
    <cellStyle name="Hipervínculo visitado" xfId="112" builtinId="9" hidden="1"/>
    <cellStyle name="Hipervínculo visitado" xfId="114" builtinId="9" hidden="1"/>
    <cellStyle name="Hipervínculo visitado" xfId="116" builtinId="9" hidden="1"/>
    <cellStyle name="Hipervínculo visitado" xfId="118" builtinId="9" hidden="1"/>
    <cellStyle name="Hipervínculo visitado" xfId="120" builtinId="9" hidden="1"/>
    <cellStyle name="Hipervínculo visitado" xfId="122" builtinId="9" hidden="1"/>
    <cellStyle name="Hipervínculo visitado" xfId="124" builtinId="9" hidden="1"/>
    <cellStyle name="Hipervínculo visitado" xfId="126" builtinId="9" hidden="1"/>
    <cellStyle name="Hipervínculo visitado" xfId="128" builtinId="9" hidden="1"/>
    <cellStyle name="Hipervínculo visitado" xfId="130" builtinId="9" hidden="1"/>
    <cellStyle name="Hipervínculo visitado" xfId="132" builtinId="9" hidden="1"/>
    <cellStyle name="Hipervínculo visitado" xfId="134" builtinId="9" hidden="1"/>
    <cellStyle name="Hipervínculo visitado" xfId="136" builtinId="9" hidden="1"/>
    <cellStyle name="Hipervínculo visitado" xfId="138" builtinId="9" hidden="1"/>
    <cellStyle name="Hipervínculo visitado" xfId="140" builtinId="9" hidden="1"/>
    <cellStyle name="Hipervínculo visitado" xfId="142" builtinId="9" hidden="1"/>
    <cellStyle name="Hipervínculo visitado" xfId="144" builtinId="9" hidden="1"/>
    <cellStyle name="Hipervínculo visitado" xfId="146" builtinId="9" hidden="1"/>
    <cellStyle name="Hipervínculo visitado" xfId="148" builtinId="9" hidden="1"/>
    <cellStyle name="Hipervínculo visitado" xfId="150" builtinId="9" hidden="1"/>
    <cellStyle name="Hipervínculo visitado" xfId="152" builtinId="9" hidden="1"/>
    <cellStyle name="Hipervínculo visitado" xfId="154" builtinId="9" hidden="1"/>
    <cellStyle name="Hipervínculo visitado" xfId="156" builtinId="9" hidden="1"/>
    <cellStyle name="Hipervínculo visitado" xfId="158" builtinId="9" hidden="1"/>
    <cellStyle name="Hipervínculo visitado" xfId="160" builtinId="9" hidden="1"/>
    <cellStyle name="Hipervínculo visitado" xfId="162" builtinId="9" hidden="1"/>
    <cellStyle name="Hipervínculo visitado" xfId="164" builtinId="9" hidden="1"/>
    <cellStyle name="Hipervínculo visitado" xfId="166" builtinId="9" hidden="1"/>
    <cellStyle name="Hipervínculo visitado" xfId="168" builtinId="9" hidden="1"/>
    <cellStyle name="Hipervínculo visitado" xfId="170" builtinId="9" hidden="1"/>
    <cellStyle name="Hipervínculo visitado" xfId="172" builtinId="9" hidden="1"/>
    <cellStyle name="Hipervínculo visitado" xfId="174" builtinId="9" hidden="1"/>
    <cellStyle name="Hipervínculo visitado" xfId="176" builtinId="9" hidden="1"/>
    <cellStyle name="Hipervínculo visitado" xfId="178" builtinId="9" hidden="1"/>
    <cellStyle name="Hipervínculo visitado" xfId="180" builtinId="9" hidden="1"/>
    <cellStyle name="Hipervínculo visitado" xfId="182" builtinId="9" hidden="1"/>
    <cellStyle name="Hipervínculo visitado" xfId="184" builtinId="9" hidden="1"/>
    <cellStyle name="Hipervínculo visitado" xfId="186" builtinId="9" hidden="1"/>
    <cellStyle name="Hipervínculo visitado" xfId="188" builtinId="9" hidden="1"/>
    <cellStyle name="Hipervínculo visitado" xfId="190" builtinId="9" hidden="1"/>
    <cellStyle name="Hipervínculo visitado" xfId="192" builtinId="9" hidden="1"/>
    <cellStyle name="Hipervínculo visitado" xfId="194" builtinId="9" hidden="1"/>
    <cellStyle name="Hipervínculo visitado" xfId="196" builtinId="9" hidden="1"/>
    <cellStyle name="Hipervínculo visitado" xfId="198" builtinId="9" hidden="1"/>
    <cellStyle name="Hipervínculo visitado" xfId="200" builtinId="9" hidden="1"/>
    <cellStyle name="Hipervínculo visitado" xfId="202" builtinId="9" hidden="1"/>
    <cellStyle name="Hipervínculo visitado" xfId="204" builtinId="9" hidden="1"/>
    <cellStyle name="Hipervínculo visitado" xfId="206" builtinId="9" hidden="1"/>
    <cellStyle name="Hipervínculo visitado" xfId="208" builtinId="9" hidden="1"/>
    <cellStyle name="Hipervínculo visitado" xfId="210" builtinId="9" hidden="1"/>
    <cellStyle name="Hipervínculo visitado" xfId="212" builtinId="9" hidden="1"/>
    <cellStyle name="Hipervínculo visitado" xfId="214" builtinId="9" hidden="1"/>
    <cellStyle name="Hipervínculo visitado" xfId="216" builtinId="9" hidden="1"/>
    <cellStyle name="Hipervínculo visitado" xfId="218" builtinId="9" hidden="1"/>
    <cellStyle name="Hipervínculo visitado" xfId="220" builtinId="9" hidden="1"/>
    <cellStyle name="Hipervínculo visitado" xfId="222" builtinId="9" hidden="1"/>
    <cellStyle name="Hipervínculo visitado" xfId="224" builtinId="9" hidden="1"/>
    <cellStyle name="Hipervínculo visitado" xfId="226" builtinId="9" hidden="1"/>
    <cellStyle name="Hipervínculo visitado" xfId="228" builtinId="9" hidden="1"/>
    <cellStyle name="Hipervínculo visitado" xfId="230" builtinId="9" hidden="1"/>
    <cellStyle name="Hipervínculo visitado" xfId="232" builtinId="9" hidden="1"/>
    <cellStyle name="Hipervínculo visitado" xfId="234" builtinId="9" hidden="1"/>
    <cellStyle name="Hipervínculo visitado" xfId="236" builtinId="9" hidden="1"/>
    <cellStyle name="Hipervínculo visitado" xfId="238" builtinId="9" hidden="1"/>
    <cellStyle name="Hipervínculo visitado" xfId="240" builtinId="9" hidden="1"/>
    <cellStyle name="Hipervínculo visitado" xfId="242" builtinId="9" hidden="1"/>
    <cellStyle name="Hipervínculo visitado" xfId="244" builtinId="9" hidden="1"/>
    <cellStyle name="Hipervínculo visitado" xfId="246" builtinId="9" hidden="1"/>
    <cellStyle name="Hipervínculo visitado" xfId="248" builtinId="9" hidden="1"/>
    <cellStyle name="Hipervínculo visitado" xfId="250" builtinId="9" hidden="1"/>
    <cellStyle name="Hipervínculo visitado" xfId="252" builtinId="9" hidden="1"/>
    <cellStyle name="Hipervínculo visitado" xfId="254" builtinId="9" hidden="1"/>
    <cellStyle name="Hipervínculo visitado" xfId="256" builtinId="9" hidden="1"/>
    <cellStyle name="Hipervínculo visitado" xfId="258" builtinId="9" hidden="1"/>
    <cellStyle name="Hipervínculo visitado" xfId="260" builtinId="9" hidden="1"/>
    <cellStyle name="Hipervínculo visitado" xfId="262" builtinId="9" hidden="1"/>
    <cellStyle name="Hipervínculo visitado" xfId="264" builtinId="9" hidden="1"/>
    <cellStyle name="Hipervínculo visitado" xfId="266" builtinId="9" hidden="1"/>
    <cellStyle name="Hipervínculo visitado" xfId="268" builtinId="9" hidden="1"/>
    <cellStyle name="Hipervínculo visitado" xfId="270" builtinId="9" hidden="1"/>
    <cellStyle name="Hipervínculo visitado" xfId="272" builtinId="9" hidden="1"/>
    <cellStyle name="Hipervínculo visitado" xfId="274" builtinId="9" hidden="1"/>
    <cellStyle name="Hipervínculo visitado" xfId="276" builtinId="9" hidden="1"/>
    <cellStyle name="Hipervínculo visitado" xfId="278" builtinId="9" hidden="1"/>
    <cellStyle name="Hipervínculo visitado" xfId="280" builtinId="9" hidden="1"/>
    <cellStyle name="Hipervínculo visitado" xfId="282" builtinId="9" hidden="1"/>
    <cellStyle name="Hipervínculo visitado" xfId="284" builtinId="9" hidden="1"/>
    <cellStyle name="Hipervínculo visitado" xfId="286" builtinId="9" hidden="1"/>
    <cellStyle name="Hipervínculo visitado" xfId="288" builtinId="9" hidden="1"/>
    <cellStyle name="Hipervínculo visitado" xfId="290" builtinId="9" hidden="1"/>
    <cellStyle name="Normal" xfId="0" builtinId="0"/>
    <cellStyle name="Solucion" xfId="291"/>
  </cellStyles>
  <dxfs count="0"/>
  <tableStyles count="0" defaultTableStyle="TableStyleMedium9" defaultPivotStyle="PivotStyleMedium7"/>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9305925</xdr:colOff>
          <xdr:row>67</xdr:row>
          <xdr:rowOff>152400</xdr:rowOff>
        </xdr:from>
        <xdr:to>
          <xdr:col>2</xdr:col>
          <xdr:colOff>9915525</xdr:colOff>
          <xdr:row>68</xdr:row>
          <xdr:rowOff>228600</xdr:rowOff>
        </xdr:to>
        <xdr:sp macro="" textlink="">
          <xdr:nvSpPr>
            <xdr:cNvPr id="1029" name="Button 5" descr="Borrar"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200" b="0" i="0" u="none" strike="noStrike" baseline="0">
                  <a:solidFill>
                    <a:srgbClr val="000000"/>
                  </a:solidFill>
                  <a:latin typeface="Helvetica"/>
                  <a:cs typeface="Helvetica"/>
                </a:rPr>
                <a:t>Borrar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9267825</xdr:colOff>
          <xdr:row>133</xdr:row>
          <xdr:rowOff>28575</xdr:rowOff>
        </xdr:from>
        <xdr:to>
          <xdr:col>2</xdr:col>
          <xdr:colOff>9858375</xdr:colOff>
          <xdr:row>134</xdr:row>
          <xdr:rowOff>104775</xdr:rowOff>
        </xdr:to>
        <xdr:sp macro="" textlink="">
          <xdr:nvSpPr>
            <xdr:cNvPr id="1031" name="Button 7" descr="Borrar"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200" b="0" i="0" u="none" strike="noStrike" baseline="0">
                  <a:solidFill>
                    <a:srgbClr val="000000"/>
                  </a:solidFill>
                  <a:latin typeface="Helvetica"/>
                  <a:cs typeface="Helvetica"/>
                </a:rPr>
                <a:t>Borrar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9191625</xdr:colOff>
          <xdr:row>198</xdr:row>
          <xdr:rowOff>9525</xdr:rowOff>
        </xdr:from>
        <xdr:to>
          <xdr:col>2</xdr:col>
          <xdr:colOff>9763125</xdr:colOff>
          <xdr:row>199</xdr:row>
          <xdr:rowOff>38100</xdr:rowOff>
        </xdr:to>
        <xdr:sp macro="" textlink="">
          <xdr:nvSpPr>
            <xdr:cNvPr id="1032" name="Button 8" descr="Borrar"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200" b="0" i="0" u="none" strike="noStrike" baseline="0">
                  <a:solidFill>
                    <a:srgbClr val="000000"/>
                  </a:solidFill>
                  <a:latin typeface="Helvetica"/>
                  <a:cs typeface="Helvetica"/>
                </a:rPr>
                <a:t>Borrar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9229725</xdr:colOff>
          <xdr:row>262</xdr:row>
          <xdr:rowOff>190500</xdr:rowOff>
        </xdr:from>
        <xdr:to>
          <xdr:col>2</xdr:col>
          <xdr:colOff>9801225</xdr:colOff>
          <xdr:row>264</xdr:row>
          <xdr:rowOff>76200</xdr:rowOff>
        </xdr:to>
        <xdr:sp macro="" textlink="">
          <xdr:nvSpPr>
            <xdr:cNvPr id="1034" name="Button 10" descr="Borrar"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200" b="0" i="0" u="none" strike="noStrike" baseline="0">
                  <a:solidFill>
                    <a:srgbClr val="000000"/>
                  </a:solidFill>
                  <a:latin typeface="Helvetica"/>
                  <a:cs typeface="Helvetica"/>
                </a:rPr>
                <a:t>Borrar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9410700</xdr:colOff>
          <xdr:row>330</xdr:row>
          <xdr:rowOff>47625</xdr:rowOff>
        </xdr:from>
        <xdr:to>
          <xdr:col>2</xdr:col>
          <xdr:colOff>9991725</xdr:colOff>
          <xdr:row>331</xdr:row>
          <xdr:rowOff>228600</xdr:rowOff>
        </xdr:to>
        <xdr:sp macro="" textlink="">
          <xdr:nvSpPr>
            <xdr:cNvPr id="1035" name="Button 11" descr="Borrar"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200" b="0" i="0" u="none" strike="noStrike" baseline="0">
                  <a:solidFill>
                    <a:srgbClr val="000000"/>
                  </a:solidFill>
                  <a:latin typeface="Helvetica"/>
                  <a:cs typeface="Helvetica"/>
                </a:rPr>
                <a:t>Borrar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9229725</xdr:colOff>
          <xdr:row>398</xdr:row>
          <xdr:rowOff>0</xdr:rowOff>
        </xdr:from>
        <xdr:to>
          <xdr:col>2</xdr:col>
          <xdr:colOff>9820275</xdr:colOff>
          <xdr:row>399</xdr:row>
          <xdr:rowOff>0</xdr:rowOff>
        </xdr:to>
        <xdr:sp macro="" textlink="">
          <xdr:nvSpPr>
            <xdr:cNvPr id="1036" name="Button 12" descr="Borrar" hidden="1">
              <a:extLst>
                <a:ext uri="{63B3BB69-23CF-44E3-9099-C40C66FF867C}">
                  <a14:compatExt spid="_x0000_s1036"/>
                </a:ext>
                <a:ext uri="{FF2B5EF4-FFF2-40B4-BE49-F238E27FC236}">
                  <a16:creationId xmlns:a16="http://schemas.microsoft.com/office/drawing/2014/main" id="{00000000-0008-0000-0000-00000C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200" b="0" i="0" u="none" strike="noStrike" baseline="0">
                  <a:solidFill>
                    <a:srgbClr val="000000"/>
                  </a:solidFill>
                  <a:latin typeface="Helvetica"/>
                  <a:cs typeface="Helvetica"/>
                </a:rPr>
                <a:t>Borrar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9172575</xdr:colOff>
          <xdr:row>462</xdr:row>
          <xdr:rowOff>190500</xdr:rowOff>
        </xdr:from>
        <xdr:to>
          <xdr:col>2</xdr:col>
          <xdr:colOff>9791700</xdr:colOff>
          <xdr:row>463</xdr:row>
          <xdr:rowOff>238125</xdr:rowOff>
        </xdr:to>
        <xdr:sp macro="" textlink="">
          <xdr:nvSpPr>
            <xdr:cNvPr id="1037" name="Button 13" descr="Borrar"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200" b="0" i="0" u="none" strike="noStrike" baseline="0">
                  <a:solidFill>
                    <a:srgbClr val="000000"/>
                  </a:solidFill>
                  <a:latin typeface="Helvetica"/>
                  <a:cs typeface="Helvetica"/>
                </a:rPr>
                <a:t>Borrar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7781925</xdr:colOff>
          <xdr:row>462</xdr:row>
          <xdr:rowOff>200025</xdr:rowOff>
        </xdr:from>
        <xdr:to>
          <xdr:col>2</xdr:col>
          <xdr:colOff>9096375</xdr:colOff>
          <xdr:row>463</xdr:row>
          <xdr:rowOff>238125</xdr:rowOff>
        </xdr:to>
        <xdr:sp macro="" textlink="">
          <xdr:nvSpPr>
            <xdr:cNvPr id="1038" name="Button 14" hidden="1">
              <a:extLst>
                <a:ext uri="{63B3BB69-23CF-44E3-9099-C40C66FF867C}">
                  <a14:compatExt spid="_x0000_s1038"/>
                </a:ext>
                <a:ext uri="{FF2B5EF4-FFF2-40B4-BE49-F238E27FC236}">
                  <a16:creationId xmlns:a16="http://schemas.microsoft.com/office/drawing/2014/main" id="{00000000-0008-0000-0000-00000E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200" b="0" i="0" u="none" strike="noStrike" baseline="0">
                  <a:solidFill>
                    <a:srgbClr val="000000"/>
                  </a:solidFill>
                  <a:latin typeface="Helvetica"/>
                  <a:cs typeface="Helvetica"/>
                </a:rPr>
                <a:t>Comprobar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7781925</xdr:colOff>
          <xdr:row>398</xdr:row>
          <xdr:rowOff>9525</xdr:rowOff>
        </xdr:from>
        <xdr:to>
          <xdr:col>2</xdr:col>
          <xdr:colOff>9096375</xdr:colOff>
          <xdr:row>399</xdr:row>
          <xdr:rowOff>0</xdr:rowOff>
        </xdr:to>
        <xdr:sp macro="" textlink="">
          <xdr:nvSpPr>
            <xdr:cNvPr id="1039" name="Button 15" hidden="1">
              <a:extLst>
                <a:ext uri="{63B3BB69-23CF-44E3-9099-C40C66FF867C}">
                  <a14:compatExt spid="_x0000_s1039"/>
                </a:ext>
                <a:ext uri="{FF2B5EF4-FFF2-40B4-BE49-F238E27FC236}">
                  <a16:creationId xmlns:a16="http://schemas.microsoft.com/office/drawing/2014/main" id="{00000000-0008-0000-0000-00000F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200" b="0" i="0" u="none" strike="noStrike" baseline="0">
                  <a:solidFill>
                    <a:srgbClr val="000000"/>
                  </a:solidFill>
                  <a:latin typeface="Helvetica"/>
                  <a:cs typeface="Helvetica"/>
                </a:rPr>
                <a:t>Comprobar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7991475</xdr:colOff>
          <xdr:row>330</xdr:row>
          <xdr:rowOff>66675</xdr:rowOff>
        </xdr:from>
        <xdr:to>
          <xdr:col>2</xdr:col>
          <xdr:colOff>9296400</xdr:colOff>
          <xdr:row>331</xdr:row>
          <xdr:rowOff>219075</xdr:rowOff>
        </xdr:to>
        <xdr:sp macro="" textlink="">
          <xdr:nvSpPr>
            <xdr:cNvPr id="1040" name="Button 16" hidden="1">
              <a:extLst>
                <a:ext uri="{63B3BB69-23CF-44E3-9099-C40C66FF867C}">
                  <a14:compatExt spid="_x0000_s1040"/>
                </a:ext>
                <a:ext uri="{FF2B5EF4-FFF2-40B4-BE49-F238E27FC236}">
                  <a16:creationId xmlns:a16="http://schemas.microsoft.com/office/drawing/2014/main" id="{00000000-0008-0000-0000-000010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200" b="0" i="0" u="none" strike="noStrike" baseline="0">
                  <a:solidFill>
                    <a:srgbClr val="000000"/>
                  </a:solidFill>
                  <a:latin typeface="Helvetica"/>
                  <a:cs typeface="Helvetica"/>
                </a:rPr>
                <a:t>Comprobar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7781925</xdr:colOff>
          <xdr:row>262</xdr:row>
          <xdr:rowOff>190500</xdr:rowOff>
        </xdr:from>
        <xdr:to>
          <xdr:col>2</xdr:col>
          <xdr:colOff>9096375</xdr:colOff>
          <xdr:row>264</xdr:row>
          <xdr:rowOff>38100</xdr:rowOff>
        </xdr:to>
        <xdr:sp macro="" textlink="">
          <xdr:nvSpPr>
            <xdr:cNvPr id="1041" name="Button 17"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200" b="0" i="0" u="none" strike="noStrike" baseline="0">
                  <a:solidFill>
                    <a:srgbClr val="000000"/>
                  </a:solidFill>
                  <a:latin typeface="Helvetica"/>
                  <a:cs typeface="Helvetica"/>
                </a:rPr>
                <a:t>Comprobar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7781925</xdr:colOff>
          <xdr:row>198</xdr:row>
          <xdr:rowOff>28575</xdr:rowOff>
        </xdr:from>
        <xdr:to>
          <xdr:col>2</xdr:col>
          <xdr:colOff>9096375</xdr:colOff>
          <xdr:row>198</xdr:row>
          <xdr:rowOff>257175</xdr:rowOff>
        </xdr:to>
        <xdr:sp macro="" textlink="">
          <xdr:nvSpPr>
            <xdr:cNvPr id="1042" name="Button 18" hidden="1">
              <a:extLst>
                <a:ext uri="{63B3BB69-23CF-44E3-9099-C40C66FF867C}">
                  <a14:compatExt spid="_x0000_s1042"/>
                </a:ext>
                <a:ext uri="{FF2B5EF4-FFF2-40B4-BE49-F238E27FC236}">
                  <a16:creationId xmlns:a16="http://schemas.microsoft.com/office/drawing/2014/main" id="{00000000-0008-0000-0000-000012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200" b="0" i="0" u="none" strike="noStrike" baseline="0">
                  <a:solidFill>
                    <a:srgbClr val="000000"/>
                  </a:solidFill>
                  <a:latin typeface="Helvetica"/>
                  <a:cs typeface="Helvetica"/>
                </a:rPr>
                <a:t>Comprobar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7781925</xdr:colOff>
          <xdr:row>133</xdr:row>
          <xdr:rowOff>38100</xdr:rowOff>
        </xdr:from>
        <xdr:to>
          <xdr:col>2</xdr:col>
          <xdr:colOff>9096375</xdr:colOff>
          <xdr:row>134</xdr:row>
          <xdr:rowOff>66675</xdr:rowOff>
        </xdr:to>
        <xdr:sp macro="" textlink="">
          <xdr:nvSpPr>
            <xdr:cNvPr id="1043" name="Button 19"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200" b="0" i="0" u="none" strike="noStrike" baseline="0">
                  <a:solidFill>
                    <a:srgbClr val="000000"/>
                  </a:solidFill>
                  <a:latin typeface="Helvetica"/>
                  <a:cs typeface="Helvetica"/>
                </a:rPr>
                <a:t>Comprobar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7781925</xdr:colOff>
          <xdr:row>67</xdr:row>
          <xdr:rowOff>180975</xdr:rowOff>
        </xdr:from>
        <xdr:to>
          <xdr:col>2</xdr:col>
          <xdr:colOff>9096375</xdr:colOff>
          <xdr:row>68</xdr:row>
          <xdr:rowOff>190500</xdr:rowOff>
        </xdr:to>
        <xdr:sp macro="" textlink="">
          <xdr:nvSpPr>
            <xdr:cNvPr id="1044" name="Button 20" hidden="1">
              <a:extLst>
                <a:ext uri="{63B3BB69-23CF-44E3-9099-C40C66FF867C}">
                  <a14:compatExt spid="_x0000_s1044"/>
                </a:ext>
                <a:ext uri="{FF2B5EF4-FFF2-40B4-BE49-F238E27FC236}">
                  <a16:creationId xmlns:a16="http://schemas.microsoft.com/office/drawing/2014/main" id="{00000000-0008-0000-0000-000014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200" b="0" i="0" u="none" strike="noStrike" baseline="0">
                  <a:solidFill>
                    <a:srgbClr val="000000"/>
                  </a:solidFill>
                  <a:latin typeface="Helvetica"/>
                  <a:cs typeface="Helvetica"/>
                </a:rPr>
                <a:t>Comprobar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9953625</xdr:colOff>
          <xdr:row>529</xdr:row>
          <xdr:rowOff>76200</xdr:rowOff>
        </xdr:from>
        <xdr:to>
          <xdr:col>2</xdr:col>
          <xdr:colOff>10563225</xdr:colOff>
          <xdr:row>530</xdr:row>
          <xdr:rowOff>66675</xdr:rowOff>
        </xdr:to>
        <xdr:sp macro="" textlink="">
          <xdr:nvSpPr>
            <xdr:cNvPr id="1155" name="Button 131" descr="Borrar" hidden="1">
              <a:extLst>
                <a:ext uri="{63B3BB69-23CF-44E3-9099-C40C66FF867C}">
                  <a14:compatExt spid="_x0000_s1155"/>
                </a:ext>
                <a:ext uri="{FF2B5EF4-FFF2-40B4-BE49-F238E27FC236}">
                  <a16:creationId xmlns:a16="http://schemas.microsoft.com/office/drawing/2014/main" id="{00000000-0008-0000-0000-000083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200" b="0" i="0" u="none" strike="noStrike" baseline="0">
                  <a:solidFill>
                    <a:srgbClr val="000000"/>
                  </a:solidFill>
                  <a:latin typeface="Helvetica"/>
                  <a:cs typeface="Helvetica"/>
                </a:rPr>
                <a:t>Borrar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8572500</xdr:colOff>
          <xdr:row>529</xdr:row>
          <xdr:rowOff>76200</xdr:rowOff>
        </xdr:from>
        <xdr:to>
          <xdr:col>2</xdr:col>
          <xdr:colOff>9877425</xdr:colOff>
          <xdr:row>530</xdr:row>
          <xdr:rowOff>66675</xdr:rowOff>
        </xdr:to>
        <xdr:sp macro="" textlink="">
          <xdr:nvSpPr>
            <xdr:cNvPr id="1156" name="Button 132" hidden="1">
              <a:extLst>
                <a:ext uri="{63B3BB69-23CF-44E3-9099-C40C66FF867C}">
                  <a14:compatExt spid="_x0000_s1156"/>
                </a:ext>
                <a:ext uri="{FF2B5EF4-FFF2-40B4-BE49-F238E27FC236}">
                  <a16:creationId xmlns:a16="http://schemas.microsoft.com/office/drawing/2014/main" id="{00000000-0008-0000-0000-000084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200" b="0" i="0" u="none" strike="noStrike" baseline="0">
                  <a:solidFill>
                    <a:srgbClr val="000000"/>
                  </a:solidFill>
                  <a:latin typeface="Helvetica"/>
                  <a:cs typeface="Helvetica"/>
                </a:rPr>
                <a:t>Comprobar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9953625</xdr:colOff>
          <xdr:row>594</xdr:row>
          <xdr:rowOff>76200</xdr:rowOff>
        </xdr:from>
        <xdr:to>
          <xdr:col>2</xdr:col>
          <xdr:colOff>10563225</xdr:colOff>
          <xdr:row>595</xdr:row>
          <xdr:rowOff>66675</xdr:rowOff>
        </xdr:to>
        <xdr:sp macro="" textlink="">
          <xdr:nvSpPr>
            <xdr:cNvPr id="1158" name="Button 134" descr="Borrar" hidden="1">
              <a:extLst>
                <a:ext uri="{63B3BB69-23CF-44E3-9099-C40C66FF867C}">
                  <a14:compatExt spid="_x0000_s1158"/>
                </a:ext>
                <a:ext uri="{FF2B5EF4-FFF2-40B4-BE49-F238E27FC236}">
                  <a16:creationId xmlns:a16="http://schemas.microsoft.com/office/drawing/2014/main" id="{00000000-0008-0000-0000-000086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200" b="0" i="0" u="none" strike="noStrike" baseline="0">
                  <a:solidFill>
                    <a:srgbClr val="000000"/>
                  </a:solidFill>
                  <a:latin typeface="Helvetica"/>
                  <a:cs typeface="Helvetica"/>
                </a:rPr>
                <a:t>Borrar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8572500</xdr:colOff>
          <xdr:row>594</xdr:row>
          <xdr:rowOff>76200</xdr:rowOff>
        </xdr:from>
        <xdr:to>
          <xdr:col>2</xdr:col>
          <xdr:colOff>9877425</xdr:colOff>
          <xdr:row>595</xdr:row>
          <xdr:rowOff>66675</xdr:rowOff>
        </xdr:to>
        <xdr:sp macro="" textlink="">
          <xdr:nvSpPr>
            <xdr:cNvPr id="1159" name="Button 135" hidden="1">
              <a:extLst>
                <a:ext uri="{63B3BB69-23CF-44E3-9099-C40C66FF867C}">
                  <a14:compatExt spid="_x0000_s1159"/>
                </a:ext>
                <a:ext uri="{FF2B5EF4-FFF2-40B4-BE49-F238E27FC236}">
                  <a16:creationId xmlns:a16="http://schemas.microsoft.com/office/drawing/2014/main" id="{00000000-0008-0000-0000-000087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200" b="0" i="0" u="none" strike="noStrike" baseline="0">
                  <a:solidFill>
                    <a:srgbClr val="000000"/>
                  </a:solidFill>
                  <a:latin typeface="Helvetica"/>
                  <a:cs typeface="Helvetica"/>
                </a:rPr>
                <a:t>Comprobar</a:t>
              </a:r>
            </a:p>
          </xdr:txBody>
        </xdr:sp>
        <xdr:clientData/>
      </xdr:twoCellAnchor>
    </mc:Choice>
    <mc:Fallback/>
  </mc:AlternateContent>
  <xdr:twoCellAnchor>
    <xdr:from>
      <xdr:col>1</xdr:col>
      <xdr:colOff>0</xdr:colOff>
      <xdr:row>115</xdr:row>
      <xdr:rowOff>0</xdr:rowOff>
    </xdr:from>
    <xdr:to>
      <xdr:col>1</xdr:col>
      <xdr:colOff>304800</xdr:colOff>
      <xdr:row>116</xdr:row>
      <xdr:rowOff>101600</xdr:rowOff>
    </xdr:to>
    <xdr:sp macro="" textlink="">
      <xdr:nvSpPr>
        <xdr:cNvPr id="23" name="Rectángulo 22" descr="https://formacionpermanente.cursosvirtuales.uned.es/file/21820042/img_02_06-21820042.jpg">
          <a:extLst>
            <a:ext uri="{FF2B5EF4-FFF2-40B4-BE49-F238E27FC236}">
              <a16:creationId xmlns:a16="http://schemas.microsoft.com/office/drawing/2014/main" id="{00000000-0008-0000-0000-000017000000}"/>
            </a:ext>
          </a:extLst>
        </xdr:cNvPr>
        <xdr:cNvSpPr>
          <a:spLocks noChangeAspect="1" noChangeArrowheads="1"/>
        </xdr:cNvSpPr>
      </xdr:nvSpPr>
      <xdr:spPr bwMode="auto">
        <a:xfrm>
          <a:off x="190500" y="21866087"/>
          <a:ext cx="304800" cy="30038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rot="0" vert="horz" wrap="square" lIns="91440" tIns="45720" rIns="91440" bIns="45720" anchor="t" anchorCtr="0" upright="1">
          <a:noAutofit/>
        </a:bodyPr>
        <a:lstStyle/>
        <a:p>
          <a:endParaRPr lang="es-ES_tradnl"/>
        </a:p>
      </xdr:txBody>
    </xdr:sp>
    <xdr:clientData/>
  </xdr:twoCellAnchor>
  <xdr:twoCellAnchor>
    <xdr:from>
      <xdr:col>1</xdr:col>
      <xdr:colOff>0</xdr:colOff>
      <xdr:row>116</xdr:row>
      <xdr:rowOff>0</xdr:rowOff>
    </xdr:from>
    <xdr:to>
      <xdr:col>1</xdr:col>
      <xdr:colOff>304800</xdr:colOff>
      <xdr:row>117</xdr:row>
      <xdr:rowOff>101600</xdr:rowOff>
    </xdr:to>
    <xdr:sp macro="" textlink="">
      <xdr:nvSpPr>
        <xdr:cNvPr id="24" name="Rectángulo 23" descr="https://formacionpermanente.cursosvirtuales.uned.es/file/21820042/img_02_06-21820042.jpg">
          <a:extLst>
            <a:ext uri="{FF2B5EF4-FFF2-40B4-BE49-F238E27FC236}">
              <a16:creationId xmlns:a16="http://schemas.microsoft.com/office/drawing/2014/main" id="{00000000-0008-0000-0000-000018000000}"/>
            </a:ext>
          </a:extLst>
        </xdr:cNvPr>
        <xdr:cNvSpPr>
          <a:spLocks noChangeAspect="1" noChangeArrowheads="1"/>
        </xdr:cNvSpPr>
      </xdr:nvSpPr>
      <xdr:spPr bwMode="auto">
        <a:xfrm>
          <a:off x="190500" y="21866087"/>
          <a:ext cx="304800" cy="30038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rot="0" vert="horz" wrap="square" lIns="91440" tIns="45720" rIns="91440" bIns="45720" anchor="t" anchorCtr="0" upright="1">
          <a:noAutofit/>
        </a:bodyPr>
        <a:lstStyle/>
        <a:p>
          <a:endParaRPr lang="es-ES_tradnl"/>
        </a:p>
      </xdr:txBody>
    </xdr:sp>
    <xdr:clientData/>
  </xdr:twoCellAnchor>
  <xdr:twoCellAnchor>
    <xdr:from>
      <xdr:col>1</xdr:col>
      <xdr:colOff>0</xdr:colOff>
      <xdr:row>117</xdr:row>
      <xdr:rowOff>0</xdr:rowOff>
    </xdr:from>
    <xdr:to>
      <xdr:col>1</xdr:col>
      <xdr:colOff>304800</xdr:colOff>
      <xdr:row>118</xdr:row>
      <xdr:rowOff>101600</xdr:rowOff>
    </xdr:to>
    <xdr:sp macro="" textlink="">
      <xdr:nvSpPr>
        <xdr:cNvPr id="25" name="Rectángulo 24" descr="https://formacionpermanente.cursosvirtuales.uned.es/file/21820042/img_02_06-21820042.jpg">
          <a:extLst>
            <a:ext uri="{FF2B5EF4-FFF2-40B4-BE49-F238E27FC236}">
              <a16:creationId xmlns:a16="http://schemas.microsoft.com/office/drawing/2014/main" id="{00000000-0008-0000-0000-000019000000}"/>
            </a:ext>
          </a:extLst>
        </xdr:cNvPr>
        <xdr:cNvSpPr>
          <a:spLocks noChangeAspect="1" noChangeArrowheads="1"/>
        </xdr:cNvSpPr>
      </xdr:nvSpPr>
      <xdr:spPr bwMode="auto">
        <a:xfrm>
          <a:off x="190500" y="21866087"/>
          <a:ext cx="304800" cy="30038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rot="0" vert="horz" wrap="square" lIns="91440" tIns="45720" rIns="91440" bIns="45720" anchor="t" anchorCtr="0" upright="1">
          <a:noAutofit/>
        </a:bodyPr>
        <a:lstStyle/>
        <a:p>
          <a:endParaRPr lang="es-ES_tradnl"/>
        </a:p>
      </xdr:txBody>
    </xdr:sp>
    <xdr:clientData/>
  </xdr:twoCellAnchor>
  <xdr:twoCellAnchor>
    <xdr:from>
      <xdr:col>1</xdr:col>
      <xdr:colOff>0</xdr:colOff>
      <xdr:row>120</xdr:row>
      <xdr:rowOff>0</xdr:rowOff>
    </xdr:from>
    <xdr:to>
      <xdr:col>1</xdr:col>
      <xdr:colOff>304800</xdr:colOff>
      <xdr:row>121</xdr:row>
      <xdr:rowOff>101600</xdr:rowOff>
    </xdr:to>
    <xdr:sp macro="" textlink="">
      <xdr:nvSpPr>
        <xdr:cNvPr id="26" name="Rectángulo 25" descr="https://formacionpermanente.cursosvirtuales.uned.es/file/21820042/img_02_06-21820042.jpg">
          <a:extLst>
            <a:ext uri="{FF2B5EF4-FFF2-40B4-BE49-F238E27FC236}">
              <a16:creationId xmlns:a16="http://schemas.microsoft.com/office/drawing/2014/main" id="{00000000-0008-0000-0000-00001A000000}"/>
            </a:ext>
          </a:extLst>
        </xdr:cNvPr>
        <xdr:cNvSpPr>
          <a:spLocks noChangeAspect="1" noChangeArrowheads="1"/>
        </xdr:cNvSpPr>
      </xdr:nvSpPr>
      <xdr:spPr bwMode="auto">
        <a:xfrm>
          <a:off x="190500" y="21866087"/>
          <a:ext cx="304800" cy="30038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rot="0" vert="horz" wrap="square" lIns="91440" tIns="45720" rIns="91440" bIns="45720" anchor="t" anchorCtr="0" upright="1">
          <a:noAutofit/>
        </a:bodyPr>
        <a:lstStyle/>
        <a:p>
          <a:endParaRPr lang="es-ES_tradnl"/>
        </a:p>
      </xdr:txBody>
    </xdr:sp>
    <xdr:clientData/>
  </xdr:twoCellAnchor>
  <xdr:twoCellAnchor>
    <xdr:from>
      <xdr:col>1</xdr:col>
      <xdr:colOff>0</xdr:colOff>
      <xdr:row>121</xdr:row>
      <xdr:rowOff>0</xdr:rowOff>
    </xdr:from>
    <xdr:to>
      <xdr:col>1</xdr:col>
      <xdr:colOff>304800</xdr:colOff>
      <xdr:row>122</xdr:row>
      <xdr:rowOff>101600</xdr:rowOff>
    </xdr:to>
    <xdr:sp macro="" textlink="">
      <xdr:nvSpPr>
        <xdr:cNvPr id="27" name="Rectángulo 26" descr="https://formacionpermanente.cursosvirtuales.uned.es/file/21820042/img_02_06-21820042.jpg">
          <a:extLst>
            <a:ext uri="{FF2B5EF4-FFF2-40B4-BE49-F238E27FC236}">
              <a16:creationId xmlns:a16="http://schemas.microsoft.com/office/drawing/2014/main" id="{00000000-0008-0000-0000-00001B000000}"/>
            </a:ext>
          </a:extLst>
        </xdr:cNvPr>
        <xdr:cNvSpPr>
          <a:spLocks noChangeAspect="1" noChangeArrowheads="1"/>
        </xdr:cNvSpPr>
      </xdr:nvSpPr>
      <xdr:spPr bwMode="auto">
        <a:xfrm>
          <a:off x="190500" y="21866087"/>
          <a:ext cx="304800" cy="30038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rot="0" vert="horz" wrap="square" lIns="91440" tIns="45720" rIns="91440" bIns="45720" anchor="t" anchorCtr="0" upright="1">
          <a:noAutofit/>
        </a:bodyPr>
        <a:lstStyle/>
        <a:p>
          <a:endParaRPr lang="es-ES_tradnl"/>
        </a:p>
      </xdr:txBody>
    </xdr:sp>
    <xdr:clientData/>
  </xdr:twoCellAnchor>
  <xdr:twoCellAnchor>
    <xdr:from>
      <xdr:col>1</xdr:col>
      <xdr:colOff>0</xdr:colOff>
      <xdr:row>122</xdr:row>
      <xdr:rowOff>0</xdr:rowOff>
    </xdr:from>
    <xdr:to>
      <xdr:col>1</xdr:col>
      <xdr:colOff>304800</xdr:colOff>
      <xdr:row>123</xdr:row>
      <xdr:rowOff>101600</xdr:rowOff>
    </xdr:to>
    <xdr:sp macro="" textlink="">
      <xdr:nvSpPr>
        <xdr:cNvPr id="28" name="Rectángulo 27" descr="https://formacionpermanente.cursosvirtuales.uned.es/file/21820042/img_02_06-21820042.jpg">
          <a:extLst>
            <a:ext uri="{FF2B5EF4-FFF2-40B4-BE49-F238E27FC236}">
              <a16:creationId xmlns:a16="http://schemas.microsoft.com/office/drawing/2014/main" id="{00000000-0008-0000-0000-00001C000000}"/>
            </a:ext>
          </a:extLst>
        </xdr:cNvPr>
        <xdr:cNvSpPr>
          <a:spLocks noChangeAspect="1" noChangeArrowheads="1"/>
        </xdr:cNvSpPr>
      </xdr:nvSpPr>
      <xdr:spPr bwMode="auto">
        <a:xfrm>
          <a:off x="190500" y="21866087"/>
          <a:ext cx="304800" cy="30038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rot="0" vert="horz" wrap="square" lIns="91440" tIns="45720" rIns="91440" bIns="45720" anchor="t" anchorCtr="0" upright="1">
          <a:noAutofit/>
        </a:bodyPr>
        <a:lstStyle/>
        <a:p>
          <a:endParaRPr lang="es-ES_tradnl"/>
        </a:p>
      </xdr:txBody>
    </xdr:sp>
    <xdr:clientData/>
  </xdr:twoCellAnchor>
  <xdr:twoCellAnchor>
    <xdr:from>
      <xdr:col>1</xdr:col>
      <xdr:colOff>0</xdr:colOff>
      <xdr:row>123</xdr:row>
      <xdr:rowOff>0</xdr:rowOff>
    </xdr:from>
    <xdr:to>
      <xdr:col>1</xdr:col>
      <xdr:colOff>304800</xdr:colOff>
      <xdr:row>124</xdr:row>
      <xdr:rowOff>101600</xdr:rowOff>
    </xdr:to>
    <xdr:sp macro="" textlink="">
      <xdr:nvSpPr>
        <xdr:cNvPr id="29" name="Rectángulo 28" descr="https://formacionpermanente.cursosvirtuales.uned.es/file/21820042/img_02_06-21820042.jpg">
          <a:extLst>
            <a:ext uri="{FF2B5EF4-FFF2-40B4-BE49-F238E27FC236}">
              <a16:creationId xmlns:a16="http://schemas.microsoft.com/office/drawing/2014/main" id="{00000000-0008-0000-0000-00001D000000}"/>
            </a:ext>
          </a:extLst>
        </xdr:cNvPr>
        <xdr:cNvSpPr>
          <a:spLocks noChangeAspect="1" noChangeArrowheads="1"/>
        </xdr:cNvSpPr>
      </xdr:nvSpPr>
      <xdr:spPr bwMode="auto">
        <a:xfrm>
          <a:off x="190500" y="21866087"/>
          <a:ext cx="304800" cy="30038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rot="0" vert="horz" wrap="square" lIns="91440" tIns="45720" rIns="91440" bIns="45720" anchor="t" anchorCtr="0" upright="1">
          <a:noAutofit/>
        </a:bodyPr>
        <a:lstStyle/>
        <a:p>
          <a:endParaRPr lang="es-ES_tradnl"/>
        </a:p>
      </xdr:txBody>
    </xdr:sp>
    <xdr:clientData/>
  </xdr:twoCellAnchor>
  <xdr:twoCellAnchor>
    <xdr:from>
      <xdr:col>1</xdr:col>
      <xdr:colOff>0</xdr:colOff>
      <xdr:row>127</xdr:row>
      <xdr:rowOff>0</xdr:rowOff>
    </xdr:from>
    <xdr:to>
      <xdr:col>1</xdr:col>
      <xdr:colOff>304800</xdr:colOff>
      <xdr:row>128</xdr:row>
      <xdr:rowOff>101600</xdr:rowOff>
    </xdr:to>
    <xdr:sp macro="" textlink="">
      <xdr:nvSpPr>
        <xdr:cNvPr id="31" name="Rectángulo 30" descr="https://formacionpermanente.cursosvirtuales.uned.es/file/21820042/img_02_06-21820042.jpg">
          <a:extLst>
            <a:ext uri="{FF2B5EF4-FFF2-40B4-BE49-F238E27FC236}">
              <a16:creationId xmlns:a16="http://schemas.microsoft.com/office/drawing/2014/main" id="{00000000-0008-0000-0000-00001F000000}"/>
            </a:ext>
          </a:extLst>
        </xdr:cNvPr>
        <xdr:cNvSpPr>
          <a:spLocks noChangeAspect="1" noChangeArrowheads="1"/>
        </xdr:cNvSpPr>
      </xdr:nvSpPr>
      <xdr:spPr bwMode="auto">
        <a:xfrm>
          <a:off x="190500" y="21866087"/>
          <a:ext cx="304800" cy="30038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rot="0" vert="horz" wrap="square" lIns="91440" tIns="45720" rIns="91440" bIns="45720" anchor="t" anchorCtr="0" upright="1">
          <a:noAutofit/>
        </a:bodyPr>
        <a:lstStyle/>
        <a:p>
          <a:endParaRPr lang="es-ES_tradnl"/>
        </a:p>
      </xdr:txBody>
    </xdr:sp>
    <xdr:clientData/>
  </xdr:twoCellAnchor>
  <xdr:twoCellAnchor>
    <xdr:from>
      <xdr:col>1</xdr:col>
      <xdr:colOff>0</xdr:colOff>
      <xdr:row>129</xdr:row>
      <xdr:rowOff>0</xdr:rowOff>
    </xdr:from>
    <xdr:to>
      <xdr:col>1</xdr:col>
      <xdr:colOff>304800</xdr:colOff>
      <xdr:row>130</xdr:row>
      <xdr:rowOff>101600</xdr:rowOff>
    </xdr:to>
    <xdr:sp macro="" textlink="">
      <xdr:nvSpPr>
        <xdr:cNvPr id="33" name="Rectángulo 32" descr="https://formacionpermanente.cursosvirtuales.uned.es/file/21820042/img_02_06-21820042.jpg">
          <a:extLst>
            <a:ext uri="{FF2B5EF4-FFF2-40B4-BE49-F238E27FC236}">
              <a16:creationId xmlns:a16="http://schemas.microsoft.com/office/drawing/2014/main" id="{00000000-0008-0000-0000-000021000000}"/>
            </a:ext>
          </a:extLst>
        </xdr:cNvPr>
        <xdr:cNvSpPr>
          <a:spLocks noChangeAspect="1" noChangeArrowheads="1"/>
        </xdr:cNvSpPr>
      </xdr:nvSpPr>
      <xdr:spPr bwMode="auto">
        <a:xfrm>
          <a:off x="190500" y="21866087"/>
          <a:ext cx="304800" cy="30038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rot="0" vert="horz" wrap="square" lIns="91440" tIns="45720" rIns="91440" bIns="45720" anchor="t" anchorCtr="0" upright="1">
          <a:noAutofit/>
        </a:bodyPr>
        <a:lstStyle/>
        <a:p>
          <a:endParaRPr lang="es-ES_tradnl"/>
        </a:p>
      </xdr:txBody>
    </xdr:sp>
    <xdr:clientData/>
  </xdr:twoCellAnchor>
  <xdr:twoCellAnchor>
    <xdr:from>
      <xdr:col>1</xdr:col>
      <xdr:colOff>0</xdr:colOff>
      <xdr:row>138</xdr:row>
      <xdr:rowOff>0</xdr:rowOff>
    </xdr:from>
    <xdr:to>
      <xdr:col>1</xdr:col>
      <xdr:colOff>304800</xdr:colOff>
      <xdr:row>139</xdr:row>
      <xdr:rowOff>101600</xdr:rowOff>
    </xdr:to>
    <xdr:sp macro="" textlink="">
      <xdr:nvSpPr>
        <xdr:cNvPr id="35" name="Rectángulo 34" descr="https://formacionpermanente.cursosvirtuales.uned.es/file/21820042/img_02_06-21820042.jpg">
          <a:extLst>
            <a:ext uri="{FF2B5EF4-FFF2-40B4-BE49-F238E27FC236}">
              <a16:creationId xmlns:a16="http://schemas.microsoft.com/office/drawing/2014/main" id="{00000000-0008-0000-0000-000023000000}"/>
            </a:ext>
          </a:extLst>
        </xdr:cNvPr>
        <xdr:cNvSpPr>
          <a:spLocks noChangeAspect="1" noChangeArrowheads="1"/>
        </xdr:cNvSpPr>
      </xdr:nvSpPr>
      <xdr:spPr bwMode="auto">
        <a:xfrm>
          <a:off x="190500" y="25642957"/>
          <a:ext cx="304800" cy="30038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rot="0" vert="horz" wrap="square" lIns="91440" tIns="45720" rIns="91440" bIns="45720" anchor="t" anchorCtr="0" upright="1">
          <a:noAutofit/>
        </a:bodyPr>
        <a:lstStyle/>
        <a:p>
          <a:endParaRPr lang="es-ES_tradnl"/>
        </a:p>
      </xdr:txBody>
    </xdr:sp>
    <xdr:clientData/>
  </xdr:twoCellAnchor>
  <mc:AlternateContent xmlns:mc="http://schemas.openxmlformats.org/markup-compatibility/2006">
    <mc:Choice xmlns:a14="http://schemas.microsoft.com/office/drawing/2010/main" Requires="a14">
      <xdr:twoCellAnchor>
        <xdr:from>
          <xdr:col>2</xdr:col>
          <xdr:colOff>9953625</xdr:colOff>
          <xdr:row>658</xdr:row>
          <xdr:rowOff>76200</xdr:rowOff>
        </xdr:from>
        <xdr:to>
          <xdr:col>2</xdr:col>
          <xdr:colOff>10563225</xdr:colOff>
          <xdr:row>659</xdr:row>
          <xdr:rowOff>66675</xdr:rowOff>
        </xdr:to>
        <xdr:sp macro="" textlink="">
          <xdr:nvSpPr>
            <xdr:cNvPr id="1160" name="Button 134" descr="Borrar" hidden="1">
              <a:extLst>
                <a:ext uri="{63B3BB69-23CF-44E3-9099-C40C66FF867C}">
                  <a14:compatExt spid="_x0000_s1160"/>
                </a:ext>
                <a:ext uri="{FF2B5EF4-FFF2-40B4-BE49-F238E27FC236}">
                  <a16:creationId xmlns:a16="http://schemas.microsoft.com/office/drawing/2014/main" id="{00000000-0008-0000-0000-000088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200" b="0" i="0" u="none" strike="noStrike" baseline="0">
                  <a:solidFill>
                    <a:srgbClr val="000000"/>
                  </a:solidFill>
                  <a:latin typeface="Helvetica"/>
                  <a:cs typeface="Helvetica"/>
                </a:rPr>
                <a:t>Borrar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8572500</xdr:colOff>
          <xdr:row>658</xdr:row>
          <xdr:rowOff>76200</xdr:rowOff>
        </xdr:from>
        <xdr:to>
          <xdr:col>2</xdr:col>
          <xdr:colOff>9877425</xdr:colOff>
          <xdr:row>659</xdr:row>
          <xdr:rowOff>66675</xdr:rowOff>
        </xdr:to>
        <xdr:sp macro="" textlink="">
          <xdr:nvSpPr>
            <xdr:cNvPr id="1161" name="Button 135" hidden="1">
              <a:extLst>
                <a:ext uri="{63B3BB69-23CF-44E3-9099-C40C66FF867C}">
                  <a14:compatExt spid="_x0000_s1161"/>
                </a:ext>
                <a:ext uri="{FF2B5EF4-FFF2-40B4-BE49-F238E27FC236}">
                  <a16:creationId xmlns:a16="http://schemas.microsoft.com/office/drawing/2014/main" id="{00000000-0008-0000-0000-000089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200" b="0" i="0" u="none" strike="noStrike" baseline="0">
                  <a:solidFill>
                    <a:srgbClr val="000000"/>
                  </a:solidFill>
                  <a:latin typeface="Helvetica"/>
                  <a:cs typeface="Helvetica"/>
                </a:rPr>
                <a:t>Comprobar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9953625</xdr:colOff>
          <xdr:row>785</xdr:row>
          <xdr:rowOff>76200</xdr:rowOff>
        </xdr:from>
        <xdr:to>
          <xdr:col>2</xdr:col>
          <xdr:colOff>10563225</xdr:colOff>
          <xdr:row>786</xdr:row>
          <xdr:rowOff>66675</xdr:rowOff>
        </xdr:to>
        <xdr:sp macro="" textlink="">
          <xdr:nvSpPr>
            <xdr:cNvPr id="1162" name="Button 134" descr="Borrar" hidden="1">
              <a:extLst>
                <a:ext uri="{63B3BB69-23CF-44E3-9099-C40C66FF867C}">
                  <a14:compatExt spid="_x0000_s1162"/>
                </a:ext>
                <a:ext uri="{FF2B5EF4-FFF2-40B4-BE49-F238E27FC236}">
                  <a16:creationId xmlns:a16="http://schemas.microsoft.com/office/drawing/2014/main" id="{00000000-0008-0000-0000-00008A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200" b="0" i="0" u="none" strike="noStrike" baseline="0">
                  <a:solidFill>
                    <a:srgbClr val="000000"/>
                  </a:solidFill>
                  <a:latin typeface="Helvetica"/>
                  <a:cs typeface="Helvetica"/>
                </a:rPr>
                <a:t>Borrar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8572500</xdr:colOff>
          <xdr:row>785</xdr:row>
          <xdr:rowOff>76200</xdr:rowOff>
        </xdr:from>
        <xdr:to>
          <xdr:col>2</xdr:col>
          <xdr:colOff>9877425</xdr:colOff>
          <xdr:row>786</xdr:row>
          <xdr:rowOff>66675</xdr:rowOff>
        </xdr:to>
        <xdr:sp macro="" textlink="">
          <xdr:nvSpPr>
            <xdr:cNvPr id="1163" name="Button 135" hidden="1">
              <a:extLst>
                <a:ext uri="{63B3BB69-23CF-44E3-9099-C40C66FF867C}">
                  <a14:compatExt spid="_x0000_s1163"/>
                </a:ext>
                <a:ext uri="{FF2B5EF4-FFF2-40B4-BE49-F238E27FC236}">
                  <a16:creationId xmlns:a16="http://schemas.microsoft.com/office/drawing/2014/main" id="{00000000-0008-0000-0000-00008B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200" b="0" i="0" u="none" strike="noStrike" baseline="0">
                  <a:solidFill>
                    <a:srgbClr val="000000"/>
                  </a:solidFill>
                  <a:latin typeface="Helvetica"/>
                  <a:cs typeface="Helvetica"/>
                </a:rPr>
                <a:t>Comprobar</a:t>
              </a:r>
            </a:p>
          </xdr:txBody>
        </xdr:sp>
        <xdr:clientData/>
      </xdr:twoCellAnchor>
    </mc:Choice>
    <mc:Fallback/>
  </mc:AlternateContent>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 Type="http://schemas.openxmlformats.org/officeDocument/2006/relationships/hyperlink" Target="ftp://miservidor_ftp:51678/" TargetMode="External"/><Relationship Id="rId21" Type="http://schemas.openxmlformats.org/officeDocument/2006/relationships/ctrlProp" Target="../ctrlProps/ctrlProp15.xml"/><Relationship Id="rId7" Type="http://schemas.openxmlformats.org/officeDocument/2006/relationships/ctrlProp" Target="../ctrlProps/ctrlProp1.xml"/><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2" Type="http://schemas.openxmlformats.org/officeDocument/2006/relationships/hyperlink" Target="ftp://miservidor_ftp@0.0.201.222/" TargetMode="External"/><Relationship Id="rId16" Type="http://schemas.openxmlformats.org/officeDocument/2006/relationships/ctrlProp" Target="../ctrlProps/ctrlProp10.xml"/><Relationship Id="rId20" Type="http://schemas.openxmlformats.org/officeDocument/2006/relationships/ctrlProp" Target="../ctrlProps/ctrlProp14.xml"/><Relationship Id="rId1" Type="http://schemas.openxmlformats.org/officeDocument/2006/relationships/hyperlink" Target="http://miservidor_ftp/ftp$5" TargetMode="External"/><Relationship Id="rId6" Type="http://schemas.openxmlformats.org/officeDocument/2006/relationships/vmlDrawing" Target="../drawings/vmlDrawing1.vml"/><Relationship Id="rId11" Type="http://schemas.openxmlformats.org/officeDocument/2006/relationships/ctrlProp" Target="../ctrlProps/ctrlProp5.xml"/><Relationship Id="rId24" Type="http://schemas.openxmlformats.org/officeDocument/2006/relationships/ctrlProp" Target="../ctrlProps/ctrlProp18.xml"/><Relationship Id="rId5" Type="http://schemas.openxmlformats.org/officeDocument/2006/relationships/drawing" Target="../drawings/drawing1.x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10" Type="http://schemas.openxmlformats.org/officeDocument/2006/relationships/ctrlProp" Target="../ctrlProps/ctrlProp4.xml"/><Relationship Id="rId19" Type="http://schemas.openxmlformats.org/officeDocument/2006/relationships/ctrlProp" Target="../ctrlProps/ctrlProp13.xml"/><Relationship Id="rId4" Type="http://schemas.openxmlformats.org/officeDocument/2006/relationships/printerSettings" Target="../printerSettings/printerSettings1.bin"/><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pageSetUpPr fitToPage="1"/>
  </sheetPr>
  <dimension ref="A1:AN788"/>
  <sheetViews>
    <sheetView showGridLines="0" tabSelected="1" zoomScale="85" zoomScaleNormal="85" zoomScalePageLayoutView="115" workbookViewId="0">
      <pane xSplit="1" ySplit="5" topLeftCell="B6" activePane="bottomRight" state="frozen"/>
      <selection pane="topRight" activeCell="B1" sqref="B1"/>
      <selection pane="bottomLeft" activeCell="A6" sqref="A6"/>
      <selection pane="bottomRight" activeCell="D8" sqref="D8"/>
    </sheetView>
  </sheetViews>
  <sheetFormatPr baseColWidth="10" defaultColWidth="11" defaultRowHeight="15.75" x14ac:dyDescent="0.25"/>
  <cols>
    <col min="1" max="1" width="2.5" style="4" customWidth="1"/>
    <col min="2" max="2" width="4.875" style="36" customWidth="1"/>
    <col min="3" max="3" width="161.75" style="7" customWidth="1"/>
    <col min="4" max="4" width="5" style="37" customWidth="1"/>
    <col min="5" max="5" width="5.875" style="37" customWidth="1"/>
    <col min="6" max="6" width="15" style="38" bestFit="1" customWidth="1"/>
    <col min="7" max="7" width="10.375" style="5" bestFit="1" customWidth="1"/>
    <col min="8" max="8" width="11.5" style="5" bestFit="1" customWidth="1"/>
    <col min="9" max="16384" width="11" style="5"/>
  </cols>
  <sheetData>
    <row r="1" spans="1:40" x14ac:dyDescent="0.25">
      <c r="B1" s="6" t="s">
        <v>1</v>
      </c>
      <c r="D1" s="1"/>
      <c r="E1" s="1"/>
      <c r="F1" s="3"/>
      <c r="G1" s="2"/>
      <c r="H1" s="2" t="b">
        <v>0</v>
      </c>
    </row>
    <row r="2" spans="1:40" x14ac:dyDescent="0.25">
      <c r="B2" s="44" t="s">
        <v>3</v>
      </c>
      <c r="D2" s="1"/>
      <c r="E2" s="1"/>
      <c r="F2" s="3"/>
      <c r="G2" s="2"/>
      <c r="H2" s="2" t="s">
        <v>2</v>
      </c>
    </row>
    <row r="3" spans="1:40" x14ac:dyDescent="0.25">
      <c r="B3" s="44" t="s">
        <v>4</v>
      </c>
      <c r="D3" s="1"/>
      <c r="E3" s="1"/>
      <c r="F3" s="3"/>
      <c r="G3" s="2"/>
      <c r="H3" s="2"/>
    </row>
    <row r="4" spans="1:40" x14ac:dyDescent="0.25">
      <c r="B4" s="44" t="s">
        <v>5</v>
      </c>
      <c r="D4" s="1"/>
      <c r="E4" s="1"/>
      <c r="F4" s="3"/>
      <c r="G4" s="2"/>
      <c r="H4" s="2"/>
    </row>
    <row r="5" spans="1:40" ht="16.5" thickBot="1" x14ac:dyDescent="0.3">
      <c r="D5" s="9"/>
      <c r="E5" s="9"/>
      <c r="F5" s="10"/>
      <c r="G5" s="2"/>
      <c r="H5" s="2"/>
    </row>
    <row r="6" spans="1:40" ht="28.5" x14ac:dyDescent="0.45">
      <c r="B6" s="72" t="s">
        <v>17</v>
      </c>
      <c r="C6" s="168" t="s">
        <v>0</v>
      </c>
      <c r="D6" s="168"/>
      <c r="E6" s="168"/>
      <c r="F6" s="169"/>
      <c r="G6" s="11"/>
      <c r="H6" s="11"/>
      <c r="I6" s="4"/>
      <c r="J6" s="4"/>
      <c r="K6" s="4"/>
      <c r="L6" s="4"/>
      <c r="M6" s="4"/>
      <c r="N6" s="4"/>
      <c r="O6" s="4"/>
      <c r="P6" s="4"/>
      <c r="Q6" s="4"/>
      <c r="R6" s="4"/>
      <c r="S6" s="4"/>
      <c r="T6" s="4"/>
      <c r="U6" s="4"/>
      <c r="V6" s="4"/>
      <c r="W6" s="4"/>
      <c r="X6" s="4"/>
      <c r="Y6" s="4"/>
      <c r="Z6" s="4"/>
      <c r="AA6" s="4"/>
      <c r="AB6" s="4"/>
      <c r="AC6" s="4"/>
      <c r="AD6" s="4"/>
      <c r="AE6" s="4"/>
      <c r="AF6" s="4"/>
      <c r="AG6" s="4"/>
      <c r="AH6" s="4"/>
      <c r="AI6" s="4"/>
      <c r="AJ6" s="4"/>
      <c r="AK6" s="4"/>
      <c r="AL6" s="4"/>
      <c r="AM6" s="4"/>
      <c r="AN6" s="4"/>
    </row>
    <row r="7" spans="1:40" s="16" customFormat="1" x14ac:dyDescent="0.25">
      <c r="A7" s="4"/>
      <c r="B7" s="86" t="s">
        <v>64</v>
      </c>
      <c r="C7" s="88" t="s">
        <v>604</v>
      </c>
      <c r="D7" s="40"/>
      <c r="E7" s="53"/>
      <c r="F7" s="28"/>
      <c r="G7" s="14"/>
      <c r="H7" s="1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row>
    <row r="8" spans="1:40" x14ac:dyDescent="0.25">
      <c r="B8" s="87" t="s">
        <v>15</v>
      </c>
      <c r="C8" s="141" t="s">
        <v>18</v>
      </c>
      <c r="D8" s="39"/>
      <c r="E8" s="54" t="s">
        <v>9</v>
      </c>
      <c r="F8" s="26"/>
      <c r="G8" s="18"/>
      <c r="H8" s="20" t="b">
        <f>IF(D10="x",H$2,H$1)</f>
        <v>0</v>
      </c>
      <c r="I8" s="4"/>
      <c r="J8" s="4"/>
      <c r="K8" s="4"/>
      <c r="L8" s="4"/>
      <c r="M8" s="4"/>
      <c r="N8" s="4"/>
      <c r="O8" s="4"/>
      <c r="P8" s="4"/>
      <c r="Q8" s="4"/>
      <c r="R8" s="4"/>
      <c r="S8" s="4"/>
      <c r="T8" s="4"/>
      <c r="U8" s="4"/>
      <c r="V8" s="4"/>
      <c r="W8" s="4"/>
      <c r="X8" s="4"/>
      <c r="Y8" s="4"/>
      <c r="Z8" s="4"/>
      <c r="AA8" s="4"/>
      <c r="AB8" s="4"/>
      <c r="AC8" s="4"/>
      <c r="AD8" s="4"/>
      <c r="AE8" s="4"/>
      <c r="AF8" s="4"/>
      <c r="AG8" s="4"/>
      <c r="AH8" s="4"/>
      <c r="AI8" s="4"/>
      <c r="AJ8" s="4"/>
      <c r="AK8" s="4"/>
      <c r="AL8" s="4"/>
      <c r="AM8" s="4"/>
      <c r="AN8" s="4"/>
    </row>
    <row r="9" spans="1:40" x14ac:dyDescent="0.25">
      <c r="B9" s="87" t="s">
        <v>15</v>
      </c>
      <c r="C9" s="141" t="s">
        <v>19</v>
      </c>
      <c r="D9" s="39"/>
      <c r="E9" s="54" t="s">
        <v>10</v>
      </c>
      <c r="F9" s="21" t="str">
        <f>IF(H10=1,IF(H8=H$2,H8,""),"")</f>
        <v/>
      </c>
      <c r="G9" s="18"/>
      <c r="H9" s="20" t="str">
        <f>IF(E67="comprobar",COUNTIF(D8:D12,"x"),"")</f>
        <v/>
      </c>
      <c r="I9" s="4"/>
      <c r="J9" s="4"/>
      <c r="K9" s="4"/>
      <c r="L9" s="4"/>
      <c r="M9" s="4"/>
      <c r="N9" s="4"/>
      <c r="O9" s="4"/>
      <c r="P9" s="4"/>
      <c r="Q9" s="4"/>
      <c r="R9" s="4"/>
      <c r="S9" s="4"/>
      <c r="T9" s="4"/>
      <c r="U9" s="4"/>
      <c r="V9" s="4"/>
      <c r="W9" s="4"/>
      <c r="X9" s="4"/>
      <c r="Y9" s="4"/>
      <c r="Z9" s="4"/>
      <c r="AA9" s="4"/>
      <c r="AB9" s="4"/>
      <c r="AC9" s="4"/>
      <c r="AD9" s="4"/>
      <c r="AE9" s="4"/>
      <c r="AF9" s="4"/>
      <c r="AG9" s="4"/>
      <c r="AH9" s="4"/>
      <c r="AI9" s="4"/>
      <c r="AJ9" s="4"/>
      <c r="AK9" s="4"/>
      <c r="AL9" s="4"/>
      <c r="AM9" s="4"/>
      <c r="AN9" s="4"/>
    </row>
    <row r="10" spans="1:40" x14ac:dyDescent="0.25">
      <c r="B10" s="87" t="s">
        <v>15</v>
      </c>
      <c r="C10" s="141" t="s">
        <v>20</v>
      </c>
      <c r="D10" s="39"/>
      <c r="E10" s="54" t="s">
        <v>11</v>
      </c>
      <c r="F10" s="22" t="str">
        <f>IF(H10=-0.33,IF(H8=H$1,H8,""),"")</f>
        <v/>
      </c>
      <c r="G10" s="18"/>
      <c r="H10" s="23">
        <f>IF(H9=1,IF(H8=H$2,1,-0.33),0)</f>
        <v>0</v>
      </c>
      <c r="I10" s="4"/>
      <c r="J10" s="4"/>
      <c r="K10" s="4"/>
      <c r="L10" s="4"/>
      <c r="M10" s="4"/>
      <c r="N10" s="4"/>
      <c r="O10" s="4"/>
      <c r="P10" s="4"/>
      <c r="Q10" s="4"/>
      <c r="R10" s="4"/>
      <c r="S10" s="4"/>
      <c r="T10" s="4"/>
      <c r="U10" s="4"/>
      <c r="V10" s="4"/>
      <c r="W10" s="4"/>
      <c r="X10" s="4"/>
      <c r="Y10" s="4"/>
      <c r="Z10" s="4"/>
      <c r="AA10" s="4"/>
      <c r="AB10" s="4"/>
      <c r="AC10" s="4"/>
      <c r="AD10" s="4"/>
      <c r="AE10" s="4"/>
      <c r="AF10" s="4"/>
      <c r="AG10" s="4"/>
      <c r="AH10" s="4"/>
      <c r="AI10" s="4"/>
      <c r="AJ10" s="4"/>
      <c r="AK10" s="4"/>
      <c r="AL10" s="4"/>
      <c r="AM10" s="4"/>
      <c r="AN10" s="4"/>
    </row>
    <row r="11" spans="1:40" x14ac:dyDescent="0.25">
      <c r="B11" s="87" t="s">
        <v>15</v>
      </c>
      <c r="C11" s="141" t="s">
        <v>21</v>
      </c>
      <c r="D11" s="39"/>
      <c r="E11" s="54" t="s">
        <v>12</v>
      </c>
      <c r="F11" s="26"/>
      <c r="G11" s="18"/>
      <c r="H11" s="23"/>
      <c r="I11" s="4"/>
      <c r="J11" s="4"/>
      <c r="K11" s="4"/>
      <c r="L11" s="4"/>
      <c r="M11" s="4"/>
      <c r="N11" s="4"/>
      <c r="O11" s="4"/>
      <c r="P11" s="4"/>
      <c r="Q11" s="4"/>
      <c r="R11" s="4"/>
      <c r="S11" s="4"/>
      <c r="T11" s="4"/>
      <c r="U11" s="4"/>
      <c r="V11" s="4"/>
      <c r="W11" s="4"/>
      <c r="X11" s="4"/>
      <c r="Y11" s="4"/>
      <c r="Z11" s="4"/>
      <c r="AA11" s="4"/>
      <c r="AB11" s="4"/>
      <c r="AC11" s="4"/>
      <c r="AD11" s="4"/>
      <c r="AE11" s="4"/>
      <c r="AF11" s="4"/>
      <c r="AG11" s="4"/>
      <c r="AH11" s="4"/>
      <c r="AI11" s="4"/>
      <c r="AJ11" s="4"/>
      <c r="AK11" s="4"/>
      <c r="AL11" s="4"/>
      <c r="AM11" s="4"/>
      <c r="AN11" s="4"/>
    </row>
    <row r="12" spans="1:40" x14ac:dyDescent="0.25">
      <c r="B12" s="87"/>
      <c r="C12" s="25"/>
      <c r="D12" s="39"/>
      <c r="E12" s="54" t="s">
        <v>13</v>
      </c>
      <c r="F12" s="19"/>
      <c r="G12" s="18"/>
      <c r="H12" s="23"/>
      <c r="I12" s="4"/>
      <c r="J12" s="4"/>
      <c r="K12" s="4"/>
      <c r="L12" s="4"/>
      <c r="M12" s="4"/>
      <c r="N12" s="4"/>
      <c r="O12" s="4"/>
      <c r="P12" s="4"/>
      <c r="Q12" s="4"/>
      <c r="R12" s="4"/>
      <c r="S12" s="4"/>
      <c r="T12" s="4"/>
      <c r="U12" s="4"/>
      <c r="V12" s="4"/>
      <c r="W12" s="4"/>
      <c r="X12" s="4"/>
      <c r="Y12" s="4"/>
      <c r="Z12" s="4"/>
      <c r="AA12" s="4"/>
      <c r="AB12" s="4"/>
      <c r="AC12" s="4"/>
      <c r="AD12" s="4"/>
      <c r="AE12" s="4"/>
      <c r="AF12" s="4"/>
      <c r="AG12" s="4"/>
      <c r="AH12" s="4"/>
      <c r="AI12" s="4"/>
      <c r="AJ12" s="4"/>
      <c r="AK12" s="4"/>
      <c r="AL12" s="4"/>
      <c r="AM12" s="4"/>
      <c r="AN12" s="4"/>
    </row>
    <row r="13" spans="1:40" s="16" customFormat="1" x14ac:dyDescent="0.25">
      <c r="A13" s="4"/>
      <c r="B13" s="86" t="s">
        <v>62</v>
      </c>
      <c r="C13" s="88" t="s">
        <v>605</v>
      </c>
      <c r="D13" s="40"/>
      <c r="E13" s="53"/>
      <c r="F13" s="28"/>
      <c r="G13" s="14"/>
      <c r="H13" s="14"/>
      <c r="I13" s="4"/>
      <c r="J13" s="4"/>
      <c r="K13" s="4"/>
      <c r="L13" s="4"/>
      <c r="M13" s="4"/>
      <c r="N13" s="4"/>
      <c r="O13" s="4"/>
      <c r="P13" s="4"/>
      <c r="Q13" s="4"/>
      <c r="R13" s="4"/>
      <c r="S13" s="4"/>
      <c r="T13" s="4"/>
      <c r="U13" s="4"/>
      <c r="V13" s="4"/>
      <c r="W13" s="4"/>
      <c r="X13" s="4"/>
      <c r="Y13" s="4"/>
      <c r="Z13" s="4"/>
      <c r="AA13" s="4"/>
      <c r="AB13" s="4"/>
      <c r="AC13" s="4"/>
      <c r="AD13" s="4"/>
      <c r="AE13" s="4"/>
      <c r="AF13" s="4"/>
      <c r="AG13" s="4"/>
      <c r="AH13" s="4"/>
      <c r="AI13" s="4"/>
      <c r="AJ13" s="4"/>
      <c r="AK13" s="4"/>
      <c r="AL13" s="4"/>
      <c r="AM13" s="4"/>
      <c r="AN13" s="4"/>
    </row>
    <row r="14" spans="1:40" x14ac:dyDescent="0.25">
      <c r="B14" s="87" t="s">
        <v>15</v>
      </c>
      <c r="C14" s="141" t="s">
        <v>22</v>
      </c>
      <c r="D14" s="39"/>
      <c r="E14" s="54" t="s">
        <v>9</v>
      </c>
      <c r="F14" s="26"/>
      <c r="G14" s="18"/>
      <c r="H14" s="20" t="b">
        <f>IF(D15="x",H$2,H$1)</f>
        <v>0</v>
      </c>
      <c r="I14" s="4"/>
      <c r="J14" s="4"/>
      <c r="K14" s="4"/>
      <c r="L14" s="4"/>
      <c r="M14" s="4"/>
      <c r="N14" s="4"/>
      <c r="O14" s="4"/>
      <c r="P14" s="4"/>
      <c r="Q14" s="4"/>
      <c r="R14" s="4"/>
      <c r="S14" s="4"/>
      <c r="T14" s="4"/>
      <c r="U14" s="4"/>
      <c r="V14" s="4"/>
      <c r="W14" s="4"/>
      <c r="X14" s="4"/>
      <c r="Y14" s="4"/>
      <c r="Z14" s="4"/>
      <c r="AA14" s="4"/>
      <c r="AB14" s="4"/>
      <c r="AC14" s="4"/>
      <c r="AD14" s="4"/>
      <c r="AE14" s="4"/>
      <c r="AF14" s="4"/>
      <c r="AG14" s="4"/>
      <c r="AH14" s="4"/>
      <c r="AI14" s="4"/>
      <c r="AJ14" s="4"/>
      <c r="AK14" s="4"/>
      <c r="AL14" s="4"/>
      <c r="AM14" s="4"/>
      <c r="AN14" s="4"/>
    </row>
    <row r="15" spans="1:40" x14ac:dyDescent="0.25">
      <c r="B15" s="87" t="s">
        <v>15</v>
      </c>
      <c r="C15" s="141" t="s">
        <v>23</v>
      </c>
      <c r="D15" s="39"/>
      <c r="E15" s="54" t="s">
        <v>10</v>
      </c>
      <c r="F15" s="21" t="str">
        <f>IF(H16=1,IF(H14=H$2,H14,""),"")</f>
        <v/>
      </c>
      <c r="G15" s="18"/>
      <c r="H15" s="20" t="str">
        <f>IF(E$67="comprobar",COUNTIF(D14:D18,"x"),"")</f>
        <v/>
      </c>
      <c r="I15" s="4"/>
      <c r="J15" s="4"/>
      <c r="K15" s="4"/>
      <c r="L15" s="4"/>
      <c r="M15" s="4"/>
      <c r="N15" s="4"/>
      <c r="O15" s="4"/>
      <c r="P15" s="4"/>
      <c r="Q15" s="4"/>
      <c r="R15" s="4"/>
      <c r="S15" s="4"/>
      <c r="T15" s="4"/>
      <c r="U15" s="4"/>
      <c r="V15" s="4"/>
      <c r="W15" s="4"/>
      <c r="X15" s="4"/>
      <c r="Y15" s="4"/>
      <c r="Z15" s="4"/>
      <c r="AA15" s="4"/>
      <c r="AB15" s="4"/>
      <c r="AC15" s="4"/>
      <c r="AD15" s="4"/>
      <c r="AE15" s="4"/>
      <c r="AF15" s="4"/>
      <c r="AG15" s="4"/>
      <c r="AH15" s="4"/>
      <c r="AI15" s="4"/>
      <c r="AJ15" s="4"/>
      <c r="AK15" s="4"/>
      <c r="AL15" s="4"/>
      <c r="AM15" s="4"/>
      <c r="AN15" s="4"/>
    </row>
    <row r="16" spans="1:40" x14ac:dyDescent="0.25">
      <c r="B16" s="87" t="s">
        <v>15</v>
      </c>
      <c r="C16" s="141" t="s">
        <v>24</v>
      </c>
      <c r="D16" s="39"/>
      <c r="E16" s="54" t="s">
        <v>11</v>
      </c>
      <c r="F16" s="22" t="str">
        <f>IF(H16=-0.33,IF(H14=H$1,H14,""),"")</f>
        <v/>
      </c>
      <c r="G16" s="18"/>
      <c r="H16" s="23">
        <f>IF(H15=1,IF(H14=H$2,1,-0.33),0)</f>
        <v>0</v>
      </c>
      <c r="I16" s="4"/>
      <c r="J16" s="4"/>
      <c r="K16" s="4"/>
      <c r="L16" s="4"/>
      <c r="M16" s="4"/>
      <c r="N16" s="4"/>
      <c r="O16" s="4"/>
      <c r="P16" s="4"/>
      <c r="Q16" s="4"/>
      <c r="R16" s="4"/>
      <c r="S16" s="4"/>
      <c r="T16" s="4"/>
      <c r="U16" s="4"/>
      <c r="V16" s="4"/>
      <c r="W16" s="4"/>
      <c r="X16" s="4"/>
      <c r="Y16" s="4"/>
      <c r="Z16" s="4"/>
      <c r="AA16" s="4"/>
      <c r="AB16" s="4"/>
      <c r="AC16" s="4"/>
      <c r="AD16" s="4"/>
      <c r="AE16" s="4"/>
      <c r="AF16" s="4"/>
      <c r="AG16" s="4"/>
      <c r="AH16" s="4"/>
      <c r="AI16" s="4"/>
      <c r="AJ16" s="4"/>
      <c r="AK16" s="4"/>
      <c r="AL16" s="4"/>
      <c r="AM16" s="4"/>
      <c r="AN16" s="4"/>
    </row>
    <row r="17" spans="1:40" x14ac:dyDescent="0.25">
      <c r="B17" s="87" t="s">
        <v>15</v>
      </c>
      <c r="C17" s="141" t="s">
        <v>25</v>
      </c>
      <c r="D17" s="39"/>
      <c r="E17" s="54" t="s">
        <v>12</v>
      </c>
      <c r="F17" s="26"/>
      <c r="G17" s="18"/>
      <c r="H17" s="18"/>
      <c r="I17" s="4"/>
      <c r="J17" s="4"/>
      <c r="K17" s="4"/>
      <c r="L17" s="4"/>
      <c r="M17" s="4"/>
      <c r="N17" s="4"/>
      <c r="O17" s="4"/>
      <c r="P17" s="4"/>
      <c r="Q17" s="4"/>
      <c r="R17" s="4"/>
      <c r="S17" s="4"/>
      <c r="T17" s="4"/>
      <c r="U17" s="4"/>
      <c r="V17" s="4"/>
      <c r="W17" s="4"/>
      <c r="X17" s="4"/>
      <c r="Y17" s="4"/>
      <c r="Z17" s="4"/>
      <c r="AA17" s="4"/>
      <c r="AB17" s="4"/>
      <c r="AC17" s="4"/>
      <c r="AD17" s="4"/>
      <c r="AE17" s="4"/>
      <c r="AF17" s="4"/>
      <c r="AG17" s="4"/>
      <c r="AH17" s="4"/>
      <c r="AI17" s="4"/>
      <c r="AJ17" s="4"/>
      <c r="AK17" s="4"/>
      <c r="AL17" s="4"/>
      <c r="AM17" s="4"/>
      <c r="AN17" s="4"/>
    </row>
    <row r="18" spans="1:40" x14ac:dyDescent="0.25">
      <c r="B18" s="87"/>
      <c r="C18" s="25"/>
      <c r="D18" s="39"/>
      <c r="E18" s="54" t="s">
        <v>13</v>
      </c>
      <c r="F18" s="19"/>
      <c r="G18" s="18"/>
      <c r="H18" s="18"/>
      <c r="I18" s="4"/>
      <c r="J18" s="4"/>
      <c r="K18" s="4"/>
      <c r="L18" s="4"/>
      <c r="M18" s="4"/>
      <c r="N18" s="4"/>
      <c r="O18" s="4"/>
      <c r="P18" s="4"/>
      <c r="Q18" s="4"/>
      <c r="R18" s="4"/>
      <c r="S18" s="4"/>
      <c r="T18" s="4"/>
      <c r="U18" s="4"/>
      <c r="V18" s="4"/>
      <c r="W18" s="4"/>
      <c r="X18" s="4"/>
      <c r="Y18" s="4"/>
      <c r="Z18" s="4"/>
      <c r="AA18" s="4"/>
      <c r="AB18" s="4"/>
      <c r="AC18" s="4"/>
      <c r="AD18" s="4"/>
      <c r="AE18" s="4"/>
      <c r="AF18" s="4"/>
      <c r="AG18" s="4"/>
      <c r="AH18" s="4"/>
      <c r="AI18" s="4"/>
      <c r="AJ18" s="4"/>
      <c r="AK18" s="4"/>
      <c r="AL18" s="4"/>
      <c r="AM18" s="4"/>
      <c r="AN18" s="4"/>
    </row>
    <row r="19" spans="1:40" s="16" customFormat="1" x14ac:dyDescent="0.25">
      <c r="A19" s="4"/>
      <c r="B19" s="86" t="s">
        <v>69</v>
      </c>
      <c r="C19" s="88" t="s">
        <v>610</v>
      </c>
      <c r="D19" s="40"/>
      <c r="E19" s="53"/>
      <c r="F19" s="28"/>
      <c r="G19" s="14"/>
      <c r="H19" s="14"/>
      <c r="I19" s="4"/>
      <c r="J19" s="4"/>
      <c r="K19" s="4"/>
      <c r="L19" s="4"/>
      <c r="M19" s="4"/>
      <c r="N19" s="4"/>
      <c r="O19" s="4"/>
      <c r="P19" s="4"/>
      <c r="Q19" s="4"/>
      <c r="R19" s="4"/>
      <c r="S19" s="4"/>
      <c r="T19" s="4"/>
      <c r="U19" s="4"/>
      <c r="V19" s="4"/>
      <c r="W19" s="4"/>
      <c r="X19" s="4"/>
      <c r="Y19" s="4"/>
      <c r="Z19" s="4"/>
      <c r="AA19" s="4"/>
      <c r="AB19" s="4"/>
      <c r="AC19" s="4"/>
      <c r="AD19" s="4"/>
      <c r="AE19" s="4"/>
      <c r="AF19" s="4"/>
      <c r="AG19" s="4"/>
      <c r="AH19" s="4"/>
      <c r="AI19" s="4"/>
      <c r="AJ19" s="4"/>
      <c r="AK19" s="4"/>
      <c r="AL19" s="4"/>
      <c r="AM19" s="4"/>
      <c r="AN19" s="4"/>
    </row>
    <row r="20" spans="1:40" x14ac:dyDescent="0.25">
      <c r="B20" s="87" t="s">
        <v>15</v>
      </c>
      <c r="C20" s="141" t="s">
        <v>26</v>
      </c>
      <c r="D20" s="39"/>
      <c r="E20" s="54" t="s">
        <v>9</v>
      </c>
      <c r="F20" s="26"/>
      <c r="G20" s="18"/>
      <c r="H20" s="20" t="b">
        <f>IF(D22="x",H$2,H$1)</f>
        <v>0</v>
      </c>
      <c r="I20" s="4"/>
      <c r="J20" s="4"/>
      <c r="K20" s="4"/>
      <c r="L20" s="4"/>
      <c r="M20" s="4"/>
      <c r="N20" s="4"/>
      <c r="O20" s="4"/>
      <c r="P20" s="4"/>
      <c r="Q20" s="4"/>
      <c r="R20" s="4"/>
      <c r="S20" s="4"/>
      <c r="T20" s="4"/>
      <c r="U20" s="4"/>
      <c r="V20" s="4"/>
      <c r="W20" s="4"/>
      <c r="X20" s="4"/>
      <c r="Y20" s="4"/>
      <c r="Z20" s="4"/>
      <c r="AA20" s="4"/>
      <c r="AB20" s="4"/>
      <c r="AC20" s="4"/>
      <c r="AD20" s="4"/>
      <c r="AE20" s="4"/>
      <c r="AF20" s="4"/>
      <c r="AG20" s="4"/>
      <c r="AH20" s="4"/>
      <c r="AI20" s="4"/>
      <c r="AJ20" s="4"/>
      <c r="AK20" s="4"/>
      <c r="AL20" s="4"/>
      <c r="AM20" s="4"/>
      <c r="AN20" s="4"/>
    </row>
    <row r="21" spans="1:40" x14ac:dyDescent="0.25">
      <c r="B21" s="87" t="s">
        <v>15</v>
      </c>
      <c r="C21" s="141" t="s">
        <v>27</v>
      </c>
      <c r="D21" s="39"/>
      <c r="E21" s="54" t="s">
        <v>10</v>
      </c>
      <c r="F21" s="21" t="str">
        <f>IF(H22=1,IF(H20=H$2,H20,""),"")</f>
        <v/>
      </c>
      <c r="G21" s="18"/>
      <c r="H21" s="20" t="str">
        <f>IF(E$67="comprobar",COUNTIF(D20:D24,"x"),"")</f>
        <v/>
      </c>
      <c r="I21" s="4"/>
      <c r="J21" s="4"/>
      <c r="K21" s="4"/>
      <c r="L21" s="4"/>
      <c r="M21" s="4"/>
      <c r="N21" s="4"/>
      <c r="O21" s="4"/>
      <c r="P21" s="4"/>
      <c r="Q21" s="4"/>
      <c r="R21" s="4"/>
      <c r="S21" s="4"/>
      <c r="T21" s="4"/>
      <c r="U21" s="4"/>
      <c r="V21" s="4"/>
      <c r="W21" s="4"/>
      <c r="X21" s="4"/>
      <c r="Y21" s="4"/>
      <c r="Z21" s="4"/>
      <c r="AA21" s="4"/>
      <c r="AB21" s="4"/>
      <c r="AC21" s="4"/>
      <c r="AD21" s="4"/>
      <c r="AE21" s="4"/>
      <c r="AF21" s="4"/>
      <c r="AG21" s="4"/>
      <c r="AH21" s="4"/>
      <c r="AI21" s="4"/>
      <c r="AJ21" s="4"/>
      <c r="AK21" s="4"/>
      <c r="AL21" s="4"/>
      <c r="AM21" s="4"/>
      <c r="AN21" s="4"/>
    </row>
    <row r="22" spans="1:40" x14ac:dyDescent="0.25">
      <c r="B22" s="87" t="s">
        <v>15</v>
      </c>
      <c r="C22" s="141" t="s">
        <v>28</v>
      </c>
      <c r="D22" s="39"/>
      <c r="E22" s="54" t="s">
        <v>11</v>
      </c>
      <c r="F22" s="22" t="str">
        <f>IF(H22=-0.33,IF(H20=H$1,H20,""),"")</f>
        <v/>
      </c>
      <c r="G22" s="18"/>
      <c r="H22" s="23">
        <f>IF(H21=1,IF(H20=H$2,1,-0.33),0)</f>
        <v>0</v>
      </c>
      <c r="I22" s="4"/>
      <c r="J22" s="4"/>
      <c r="K22" s="4"/>
      <c r="L22" s="4"/>
      <c r="M22" s="4"/>
      <c r="N22" s="4"/>
      <c r="O22" s="4"/>
      <c r="P22" s="4"/>
      <c r="Q22" s="4"/>
      <c r="R22" s="4"/>
      <c r="S22" s="4"/>
      <c r="T22" s="4"/>
      <c r="U22" s="4"/>
      <c r="V22" s="4"/>
      <c r="W22" s="4"/>
      <c r="X22" s="4"/>
      <c r="Y22" s="4"/>
      <c r="Z22" s="4"/>
      <c r="AA22" s="4"/>
      <c r="AB22" s="4"/>
      <c r="AC22" s="4"/>
      <c r="AD22" s="4"/>
      <c r="AE22" s="4"/>
      <c r="AF22" s="4"/>
      <c r="AG22" s="4"/>
      <c r="AH22" s="4"/>
      <c r="AI22" s="4"/>
      <c r="AJ22" s="4"/>
      <c r="AK22" s="4"/>
      <c r="AL22" s="4"/>
      <c r="AM22" s="4"/>
      <c r="AN22" s="4"/>
    </row>
    <row r="23" spans="1:40" x14ac:dyDescent="0.25">
      <c r="B23" s="87" t="s">
        <v>15</v>
      </c>
      <c r="C23" s="141" t="s">
        <v>29</v>
      </c>
      <c r="D23" s="39"/>
      <c r="E23" s="54" t="s">
        <v>12</v>
      </c>
      <c r="F23" s="26"/>
      <c r="G23" s="18"/>
      <c r="H23" s="23"/>
      <c r="I23" s="4"/>
      <c r="J23" s="4"/>
      <c r="K23" s="4"/>
      <c r="L23" s="4"/>
      <c r="M23" s="4"/>
      <c r="N23" s="4"/>
      <c r="O23" s="4"/>
      <c r="P23" s="4"/>
      <c r="Q23" s="4"/>
      <c r="R23" s="4"/>
      <c r="S23" s="4"/>
      <c r="T23" s="4"/>
      <c r="U23" s="4"/>
      <c r="V23" s="4"/>
      <c r="W23" s="4"/>
      <c r="X23" s="4"/>
      <c r="Y23" s="4"/>
      <c r="Z23" s="4"/>
      <c r="AA23" s="4"/>
      <c r="AB23" s="4"/>
      <c r="AC23" s="4"/>
      <c r="AD23" s="4"/>
      <c r="AE23" s="4"/>
      <c r="AF23" s="4"/>
      <c r="AG23" s="4"/>
      <c r="AH23" s="4"/>
      <c r="AI23" s="4"/>
      <c r="AJ23" s="4"/>
      <c r="AK23" s="4"/>
      <c r="AL23" s="4"/>
      <c r="AM23" s="4"/>
      <c r="AN23" s="4"/>
    </row>
    <row r="24" spans="1:40" x14ac:dyDescent="0.25">
      <c r="B24" s="87"/>
      <c r="C24" s="25"/>
      <c r="D24" s="39"/>
      <c r="E24" s="54" t="s">
        <v>13</v>
      </c>
      <c r="F24" s="19"/>
      <c r="G24" s="18"/>
      <c r="H24" s="23"/>
      <c r="I24" s="4"/>
      <c r="J24" s="4"/>
      <c r="K24" s="4"/>
      <c r="L24" s="4"/>
      <c r="M24" s="4"/>
      <c r="N24" s="4"/>
      <c r="O24" s="4"/>
      <c r="P24" s="4"/>
      <c r="Q24" s="4"/>
      <c r="R24" s="4"/>
      <c r="S24" s="4"/>
      <c r="T24" s="4"/>
      <c r="U24" s="4"/>
      <c r="V24" s="4"/>
      <c r="W24" s="4"/>
      <c r="X24" s="4"/>
      <c r="Y24" s="4"/>
      <c r="Z24" s="4"/>
      <c r="AA24" s="4"/>
      <c r="AB24" s="4"/>
      <c r="AC24" s="4"/>
      <c r="AD24" s="4"/>
      <c r="AE24" s="4"/>
      <c r="AF24" s="4"/>
      <c r="AG24" s="4"/>
      <c r="AH24" s="4"/>
      <c r="AI24" s="4"/>
      <c r="AJ24" s="4"/>
      <c r="AK24" s="4"/>
      <c r="AL24" s="4"/>
      <c r="AM24" s="4"/>
      <c r="AN24" s="4"/>
    </row>
    <row r="25" spans="1:40" s="16" customFormat="1" x14ac:dyDescent="0.25">
      <c r="A25" s="4"/>
      <c r="B25" s="86" t="s">
        <v>75</v>
      </c>
      <c r="C25" s="88" t="s">
        <v>611</v>
      </c>
      <c r="D25" s="40"/>
      <c r="E25" s="53"/>
      <c r="F25" s="28"/>
      <c r="G25" s="14"/>
      <c r="H25" s="14"/>
      <c r="I25" s="4"/>
      <c r="J25" s="4"/>
      <c r="K25" s="4"/>
      <c r="L25" s="4"/>
      <c r="M25" s="4"/>
      <c r="N25" s="4"/>
      <c r="O25" s="4"/>
      <c r="P25" s="4"/>
      <c r="Q25" s="4"/>
      <c r="R25" s="4"/>
      <c r="S25" s="4"/>
      <c r="T25" s="4"/>
      <c r="U25" s="4"/>
      <c r="V25" s="4"/>
      <c r="W25" s="4"/>
      <c r="X25" s="4"/>
      <c r="Y25" s="4"/>
      <c r="Z25" s="4"/>
      <c r="AA25" s="4"/>
      <c r="AB25" s="4"/>
      <c r="AC25" s="4"/>
      <c r="AD25" s="4"/>
      <c r="AE25" s="4"/>
      <c r="AF25" s="4"/>
      <c r="AG25" s="4"/>
      <c r="AH25" s="4"/>
      <c r="AI25" s="4"/>
      <c r="AJ25" s="4"/>
      <c r="AK25" s="4"/>
      <c r="AL25" s="4"/>
      <c r="AM25" s="4"/>
      <c r="AN25" s="4"/>
    </row>
    <row r="26" spans="1:40" x14ac:dyDescent="0.25">
      <c r="B26" s="87" t="s">
        <v>15</v>
      </c>
      <c r="C26" s="141" t="s">
        <v>30</v>
      </c>
      <c r="D26" s="39"/>
      <c r="E26" s="54" t="s">
        <v>9</v>
      </c>
      <c r="F26" s="26"/>
      <c r="G26" s="18"/>
      <c r="H26" s="20" t="b">
        <f>IF(D29="x",H$2,H$1)</f>
        <v>0</v>
      </c>
      <c r="I26" s="4"/>
      <c r="J26" s="4"/>
      <c r="K26" s="4"/>
      <c r="L26" s="4"/>
      <c r="M26" s="4"/>
      <c r="N26" s="4"/>
      <c r="O26" s="4"/>
      <c r="P26" s="4"/>
      <c r="Q26" s="4"/>
      <c r="R26" s="4"/>
      <c r="S26" s="4"/>
      <c r="T26" s="4"/>
      <c r="U26" s="4"/>
      <c r="V26" s="4"/>
      <c r="W26" s="4"/>
      <c r="X26" s="4"/>
      <c r="Y26" s="4"/>
      <c r="Z26" s="4"/>
      <c r="AA26" s="4"/>
      <c r="AB26" s="4"/>
      <c r="AC26" s="4"/>
      <c r="AD26" s="4"/>
      <c r="AE26" s="4"/>
      <c r="AF26" s="4"/>
      <c r="AG26" s="4"/>
      <c r="AH26" s="4"/>
      <c r="AI26" s="4"/>
      <c r="AJ26" s="4"/>
      <c r="AK26" s="4"/>
      <c r="AL26" s="4"/>
      <c r="AM26" s="4"/>
      <c r="AN26" s="4"/>
    </row>
    <row r="27" spans="1:40" x14ac:dyDescent="0.25">
      <c r="B27" s="87" t="s">
        <v>15</v>
      </c>
      <c r="C27" s="141" t="s">
        <v>31</v>
      </c>
      <c r="D27" s="39"/>
      <c r="E27" s="54" t="s">
        <v>10</v>
      </c>
      <c r="F27" s="21" t="str">
        <f>IF(H28=1,IF(H26=H$2,H26,""),"")</f>
        <v/>
      </c>
      <c r="G27" s="18"/>
      <c r="H27" s="20" t="str">
        <f>IF(E$67="comprobar",COUNTIF(D26:D30,"x"),"")</f>
        <v/>
      </c>
      <c r="I27" s="4"/>
      <c r="J27" s="4"/>
      <c r="K27" s="4"/>
      <c r="L27" s="4"/>
      <c r="M27" s="4"/>
      <c r="N27" s="4"/>
      <c r="O27" s="4"/>
      <c r="P27" s="4"/>
      <c r="Q27" s="4"/>
      <c r="R27" s="4"/>
      <c r="S27" s="4"/>
      <c r="T27" s="4"/>
      <c r="U27" s="4"/>
      <c r="V27" s="4"/>
      <c r="W27" s="4"/>
      <c r="X27" s="4"/>
      <c r="Y27" s="4"/>
      <c r="Z27" s="4"/>
      <c r="AA27" s="4"/>
      <c r="AB27" s="4"/>
      <c r="AC27" s="4"/>
      <c r="AD27" s="4"/>
      <c r="AE27" s="4"/>
      <c r="AF27" s="4"/>
      <c r="AG27" s="4"/>
      <c r="AH27" s="4"/>
      <c r="AI27" s="4"/>
      <c r="AJ27" s="4"/>
      <c r="AK27" s="4"/>
      <c r="AL27" s="4"/>
      <c r="AM27" s="4"/>
      <c r="AN27" s="4"/>
    </row>
    <row r="28" spans="1:40" x14ac:dyDescent="0.25">
      <c r="B28" s="87" t="s">
        <v>15</v>
      </c>
      <c r="C28" s="141" t="s">
        <v>32</v>
      </c>
      <c r="D28" s="39"/>
      <c r="E28" s="54" t="s">
        <v>11</v>
      </c>
      <c r="F28" s="22" t="str">
        <f>IF(H28=-0.33,IF(H26=H$1,H26,""),"")</f>
        <v/>
      </c>
      <c r="G28" s="18"/>
      <c r="H28" s="23">
        <f>IF(H27=1,IF(H26=H$2,1,-0.33),0)</f>
        <v>0</v>
      </c>
      <c r="I28" s="4"/>
      <c r="J28" s="4"/>
      <c r="K28" s="4"/>
      <c r="L28" s="4"/>
      <c r="M28" s="4"/>
      <c r="N28" s="4"/>
      <c r="O28" s="4"/>
      <c r="P28" s="4"/>
      <c r="Q28" s="4"/>
      <c r="R28" s="4"/>
      <c r="S28" s="4"/>
      <c r="T28" s="4"/>
      <c r="U28" s="4"/>
      <c r="V28" s="4"/>
      <c r="W28" s="4"/>
      <c r="X28" s="4"/>
      <c r="Y28" s="4"/>
      <c r="Z28" s="4"/>
      <c r="AA28" s="4"/>
      <c r="AB28" s="4"/>
      <c r="AC28" s="4"/>
      <c r="AD28" s="4"/>
      <c r="AE28" s="4"/>
      <c r="AF28" s="4"/>
      <c r="AG28" s="4"/>
      <c r="AH28" s="4"/>
      <c r="AI28" s="4"/>
      <c r="AJ28" s="4"/>
      <c r="AK28" s="4"/>
      <c r="AL28" s="4"/>
      <c r="AM28" s="4"/>
      <c r="AN28" s="4"/>
    </row>
    <row r="29" spans="1:40" x14ac:dyDescent="0.25">
      <c r="B29" s="87" t="s">
        <v>15</v>
      </c>
      <c r="C29" s="141" t="s">
        <v>33</v>
      </c>
      <c r="D29" s="39"/>
      <c r="E29" s="54" t="s">
        <v>12</v>
      </c>
      <c r="F29" s="26"/>
      <c r="G29" s="18"/>
      <c r="H29" s="23"/>
      <c r="I29" s="4"/>
      <c r="J29" s="4"/>
      <c r="K29" s="4"/>
      <c r="L29" s="4"/>
      <c r="M29" s="4"/>
      <c r="N29" s="4"/>
      <c r="O29" s="4"/>
      <c r="P29" s="4"/>
      <c r="Q29" s="4"/>
      <c r="R29" s="4"/>
      <c r="S29" s="4"/>
      <c r="T29" s="4"/>
      <c r="U29" s="4"/>
      <c r="V29" s="4"/>
      <c r="W29" s="4"/>
      <c r="X29" s="4"/>
      <c r="Y29" s="4"/>
      <c r="Z29" s="4"/>
      <c r="AA29" s="4"/>
      <c r="AB29" s="4"/>
      <c r="AC29" s="4"/>
      <c r="AD29" s="4"/>
      <c r="AE29" s="4"/>
      <c r="AF29" s="4"/>
      <c r="AG29" s="4"/>
      <c r="AH29" s="4"/>
      <c r="AI29" s="4"/>
      <c r="AJ29" s="4"/>
      <c r="AK29" s="4"/>
      <c r="AL29" s="4"/>
      <c r="AM29" s="4"/>
      <c r="AN29" s="4"/>
    </row>
    <row r="30" spans="1:40" x14ac:dyDescent="0.25">
      <c r="B30" s="87"/>
      <c r="C30" s="25"/>
      <c r="D30" s="39"/>
      <c r="E30" s="54" t="s">
        <v>13</v>
      </c>
      <c r="F30" s="19"/>
      <c r="G30" s="18"/>
      <c r="H30" s="23"/>
      <c r="I30" s="4"/>
      <c r="J30" s="4"/>
      <c r="K30" s="4"/>
      <c r="L30" s="4"/>
      <c r="M30" s="4"/>
      <c r="N30" s="4"/>
      <c r="O30" s="4"/>
      <c r="P30" s="4"/>
      <c r="Q30" s="4"/>
      <c r="R30" s="4"/>
      <c r="S30" s="4"/>
      <c r="T30" s="4"/>
      <c r="U30" s="4"/>
      <c r="V30" s="4"/>
      <c r="W30" s="4"/>
      <c r="X30" s="4"/>
      <c r="Y30" s="4"/>
      <c r="Z30" s="4"/>
      <c r="AA30" s="4"/>
      <c r="AB30" s="4"/>
      <c r="AC30" s="4"/>
      <c r="AD30" s="4"/>
      <c r="AE30" s="4"/>
      <c r="AF30" s="4"/>
      <c r="AG30" s="4"/>
      <c r="AH30" s="4"/>
      <c r="AI30" s="4"/>
      <c r="AJ30" s="4"/>
      <c r="AK30" s="4"/>
      <c r="AL30" s="4"/>
      <c r="AM30" s="4"/>
      <c r="AN30" s="4"/>
    </row>
    <row r="31" spans="1:40" s="16" customFormat="1" x14ac:dyDescent="0.25">
      <c r="A31" s="4"/>
      <c r="B31" s="86" t="s">
        <v>80</v>
      </c>
      <c r="C31" s="88" t="s">
        <v>612</v>
      </c>
      <c r="D31" s="40"/>
      <c r="E31" s="53"/>
      <c r="F31" s="28"/>
      <c r="G31" s="14"/>
      <c r="H31" s="14"/>
      <c r="I31" s="4"/>
      <c r="J31" s="4"/>
      <c r="K31" s="4"/>
      <c r="L31" s="4"/>
      <c r="M31" s="4"/>
      <c r="N31" s="4"/>
      <c r="O31" s="4"/>
      <c r="P31" s="4"/>
      <c r="Q31" s="4"/>
      <c r="R31" s="4"/>
      <c r="S31" s="4"/>
      <c r="T31" s="4"/>
      <c r="U31" s="4"/>
      <c r="V31" s="4"/>
      <c r="W31" s="4"/>
      <c r="X31" s="4"/>
      <c r="Y31" s="4"/>
      <c r="Z31" s="4"/>
      <c r="AA31" s="4"/>
      <c r="AB31" s="4"/>
      <c r="AC31" s="4"/>
      <c r="AD31" s="4"/>
      <c r="AE31" s="4"/>
      <c r="AF31" s="4"/>
      <c r="AG31" s="4"/>
      <c r="AH31" s="4"/>
      <c r="AI31" s="4"/>
      <c r="AJ31" s="4"/>
      <c r="AK31" s="4"/>
      <c r="AL31" s="4"/>
      <c r="AM31" s="4"/>
      <c r="AN31" s="4"/>
    </row>
    <row r="32" spans="1:40" x14ac:dyDescent="0.25">
      <c r="B32" s="87" t="s">
        <v>15</v>
      </c>
      <c r="C32" s="141" t="s">
        <v>34</v>
      </c>
      <c r="D32" s="39"/>
      <c r="E32" s="54" t="s">
        <v>9</v>
      </c>
      <c r="F32" s="26"/>
      <c r="G32" s="18"/>
      <c r="H32" s="20" t="b">
        <f>IF(D32="x",H$2,H$1)</f>
        <v>0</v>
      </c>
      <c r="I32" s="4"/>
      <c r="J32" s="4"/>
      <c r="K32" s="4"/>
      <c r="L32" s="4"/>
      <c r="M32" s="4"/>
      <c r="N32" s="4"/>
      <c r="O32" s="4"/>
      <c r="P32" s="4"/>
      <c r="Q32" s="4"/>
      <c r="R32" s="4"/>
      <c r="S32" s="4"/>
      <c r="T32" s="4"/>
      <c r="U32" s="4"/>
      <c r="V32" s="4"/>
      <c r="W32" s="4"/>
      <c r="X32" s="4"/>
      <c r="Y32" s="4"/>
      <c r="Z32" s="4"/>
      <c r="AA32" s="4"/>
      <c r="AB32" s="4"/>
      <c r="AC32" s="4"/>
      <c r="AD32" s="4"/>
      <c r="AE32" s="4"/>
      <c r="AF32" s="4"/>
      <c r="AG32" s="4"/>
      <c r="AH32" s="4"/>
      <c r="AI32" s="4"/>
      <c r="AJ32" s="4"/>
      <c r="AK32" s="4"/>
      <c r="AL32" s="4"/>
      <c r="AM32" s="4"/>
      <c r="AN32" s="4"/>
    </row>
    <row r="33" spans="1:40" x14ac:dyDescent="0.25">
      <c r="B33" s="87" t="s">
        <v>15</v>
      </c>
      <c r="C33" s="141" t="s">
        <v>35</v>
      </c>
      <c r="D33" s="39"/>
      <c r="E33" s="54" t="s">
        <v>10</v>
      </c>
      <c r="F33" s="21" t="str">
        <f>IF(H34=1,IF(H32=H$2,H32,""),"")</f>
        <v/>
      </c>
      <c r="G33" s="18"/>
      <c r="H33" s="20" t="str">
        <f>IF(E$67="comprobar",COUNTIF(D32:D36,"x"),"")</f>
        <v/>
      </c>
      <c r="I33" s="4"/>
      <c r="J33" s="4"/>
      <c r="K33" s="4"/>
      <c r="L33" s="4"/>
      <c r="M33" s="4"/>
      <c r="N33" s="4"/>
      <c r="O33" s="4"/>
      <c r="P33" s="4"/>
      <c r="Q33" s="4"/>
      <c r="R33" s="4"/>
      <c r="S33" s="4"/>
      <c r="T33" s="4"/>
      <c r="U33" s="4"/>
      <c r="V33" s="4"/>
      <c r="W33" s="4"/>
      <c r="X33" s="4"/>
      <c r="Y33" s="4"/>
      <c r="Z33" s="4"/>
      <c r="AA33" s="4"/>
      <c r="AB33" s="4"/>
      <c r="AC33" s="4"/>
      <c r="AD33" s="4"/>
      <c r="AE33" s="4"/>
      <c r="AF33" s="4"/>
      <c r="AG33" s="4"/>
      <c r="AH33" s="4"/>
      <c r="AI33" s="4"/>
      <c r="AJ33" s="4"/>
      <c r="AK33" s="4"/>
      <c r="AL33" s="4"/>
      <c r="AM33" s="4"/>
      <c r="AN33" s="4"/>
    </row>
    <row r="34" spans="1:40" x14ac:dyDescent="0.25">
      <c r="B34" s="87" t="s">
        <v>15</v>
      </c>
      <c r="C34" s="141" t="s">
        <v>37</v>
      </c>
      <c r="D34" s="39"/>
      <c r="E34" s="54" t="s">
        <v>11</v>
      </c>
      <c r="F34" s="22" t="str">
        <f>IF(H34=-0.33,IF(H32=H$1,H32,""),"")</f>
        <v/>
      </c>
      <c r="G34" s="18"/>
      <c r="H34" s="23">
        <f t="shared" ref="H34" si="0">IF(H33=1,IF(H32=H$2,1,-0.33),0)</f>
        <v>0</v>
      </c>
      <c r="I34" s="4"/>
      <c r="J34" s="4"/>
      <c r="K34" s="4"/>
      <c r="L34" s="4"/>
      <c r="M34" s="4"/>
      <c r="N34" s="4"/>
      <c r="O34" s="4"/>
      <c r="P34" s="4"/>
      <c r="Q34" s="4"/>
      <c r="R34" s="4"/>
      <c r="S34" s="4"/>
      <c r="T34" s="4"/>
      <c r="U34" s="4"/>
      <c r="V34" s="4"/>
      <c r="W34" s="4"/>
      <c r="X34" s="4"/>
      <c r="Y34" s="4"/>
      <c r="Z34" s="4"/>
      <c r="AA34" s="4"/>
      <c r="AB34" s="4"/>
      <c r="AC34" s="4"/>
      <c r="AD34" s="4"/>
      <c r="AE34" s="4"/>
      <c r="AF34" s="4"/>
      <c r="AG34" s="4"/>
      <c r="AH34" s="4"/>
      <c r="AI34" s="4"/>
      <c r="AJ34" s="4"/>
      <c r="AK34" s="4"/>
      <c r="AL34" s="4"/>
      <c r="AM34" s="4"/>
      <c r="AN34" s="4"/>
    </row>
    <row r="35" spans="1:40" x14ac:dyDescent="0.25">
      <c r="B35" s="87" t="s">
        <v>15</v>
      </c>
      <c r="C35" s="141" t="s">
        <v>36</v>
      </c>
      <c r="D35" s="39"/>
      <c r="E35" s="54" t="s">
        <v>12</v>
      </c>
      <c r="F35" s="26"/>
      <c r="G35" s="18"/>
      <c r="H35" s="18"/>
      <c r="I35" s="4"/>
      <c r="J35" s="4"/>
      <c r="K35" s="4"/>
      <c r="L35" s="4"/>
      <c r="M35" s="4"/>
      <c r="N35" s="4"/>
      <c r="O35" s="4"/>
      <c r="P35" s="4"/>
      <c r="Q35" s="4"/>
      <c r="R35" s="4"/>
      <c r="S35" s="4"/>
      <c r="T35" s="4"/>
      <c r="U35" s="4"/>
      <c r="V35" s="4"/>
      <c r="W35" s="4"/>
      <c r="X35" s="4"/>
      <c r="Y35" s="4"/>
      <c r="Z35" s="4"/>
      <c r="AA35" s="4"/>
      <c r="AB35" s="4"/>
      <c r="AC35" s="4"/>
      <c r="AD35" s="4"/>
      <c r="AE35" s="4"/>
      <c r="AF35" s="4"/>
      <c r="AG35" s="4"/>
      <c r="AH35" s="4"/>
      <c r="AI35" s="4"/>
      <c r="AJ35" s="4"/>
      <c r="AK35" s="4"/>
      <c r="AL35" s="4"/>
      <c r="AM35" s="4"/>
      <c r="AN35" s="4"/>
    </row>
    <row r="36" spans="1:40" x14ac:dyDescent="0.25">
      <c r="B36" s="87"/>
      <c r="C36" s="25"/>
      <c r="D36" s="39"/>
      <c r="E36" s="54" t="s">
        <v>13</v>
      </c>
      <c r="F36" s="19"/>
      <c r="G36" s="18"/>
      <c r="H36" s="18"/>
      <c r="I36" s="4"/>
      <c r="J36" s="4"/>
      <c r="K36" s="4"/>
      <c r="L36" s="4"/>
      <c r="M36" s="4"/>
      <c r="N36" s="4"/>
      <c r="O36" s="4"/>
      <c r="P36" s="4"/>
      <c r="Q36" s="4"/>
      <c r="R36" s="4"/>
      <c r="S36" s="4"/>
      <c r="T36" s="4"/>
      <c r="U36" s="4"/>
      <c r="V36" s="4"/>
      <c r="W36" s="4"/>
      <c r="X36" s="4"/>
      <c r="Y36" s="4"/>
      <c r="Z36" s="4"/>
      <c r="AA36" s="4"/>
      <c r="AB36" s="4"/>
      <c r="AC36" s="4"/>
      <c r="AD36" s="4"/>
      <c r="AE36" s="4"/>
      <c r="AF36" s="4"/>
      <c r="AG36" s="4"/>
      <c r="AH36" s="4"/>
      <c r="AI36" s="4"/>
      <c r="AJ36" s="4"/>
      <c r="AK36" s="4"/>
      <c r="AL36" s="4"/>
      <c r="AM36" s="4"/>
      <c r="AN36" s="4"/>
    </row>
    <row r="37" spans="1:40" s="16" customFormat="1" x14ac:dyDescent="0.25">
      <c r="A37" s="4"/>
      <c r="B37" s="86" t="s">
        <v>85</v>
      </c>
      <c r="C37" s="88" t="s">
        <v>613</v>
      </c>
      <c r="D37" s="40"/>
      <c r="E37" s="53"/>
      <c r="F37" s="28"/>
      <c r="G37" s="14"/>
      <c r="H37" s="14"/>
      <c r="I37" s="4"/>
      <c r="J37" s="4"/>
      <c r="K37" s="4"/>
      <c r="L37" s="4"/>
      <c r="M37" s="4"/>
      <c r="N37" s="4"/>
      <c r="O37" s="4"/>
      <c r="P37" s="4"/>
      <c r="Q37" s="4"/>
      <c r="R37" s="4"/>
      <c r="S37" s="4"/>
      <c r="T37" s="4"/>
      <c r="U37" s="4"/>
      <c r="V37" s="4"/>
      <c r="W37" s="4"/>
      <c r="X37" s="4"/>
      <c r="Y37" s="4"/>
      <c r="Z37" s="4"/>
      <c r="AA37" s="4"/>
      <c r="AB37" s="4"/>
      <c r="AC37" s="4"/>
      <c r="AD37" s="4"/>
      <c r="AE37" s="4"/>
      <c r="AF37" s="4"/>
      <c r="AG37" s="4"/>
      <c r="AH37" s="4"/>
      <c r="AI37" s="4"/>
      <c r="AJ37" s="4"/>
      <c r="AK37" s="4"/>
      <c r="AL37" s="4"/>
      <c r="AM37" s="4"/>
      <c r="AN37" s="4"/>
    </row>
    <row r="38" spans="1:40" x14ac:dyDescent="0.25">
      <c r="B38" s="87" t="s">
        <v>15</v>
      </c>
      <c r="C38" s="141" t="s">
        <v>38</v>
      </c>
      <c r="D38" s="39"/>
      <c r="E38" s="54" t="s">
        <v>9</v>
      </c>
      <c r="F38" s="26"/>
      <c r="G38" s="18"/>
      <c r="H38" s="20" t="b">
        <f>IF(D41="x",H$2,H$1)</f>
        <v>0</v>
      </c>
      <c r="I38" s="4"/>
      <c r="J38" s="4"/>
      <c r="K38" s="4"/>
      <c r="L38" s="4"/>
      <c r="M38" s="4"/>
      <c r="N38" s="4"/>
      <c r="O38" s="4"/>
      <c r="P38" s="4"/>
      <c r="Q38" s="4"/>
      <c r="R38" s="4"/>
      <c r="S38" s="4"/>
      <c r="T38" s="4"/>
      <c r="U38" s="4"/>
      <c r="V38" s="4"/>
      <c r="W38" s="4"/>
      <c r="X38" s="4"/>
      <c r="Y38" s="4"/>
      <c r="Z38" s="4"/>
      <c r="AA38" s="4"/>
      <c r="AB38" s="4"/>
      <c r="AC38" s="4"/>
      <c r="AD38" s="4"/>
      <c r="AE38" s="4"/>
      <c r="AF38" s="4"/>
      <c r="AG38" s="4"/>
      <c r="AH38" s="4"/>
      <c r="AI38" s="4"/>
      <c r="AJ38" s="4"/>
      <c r="AK38" s="4"/>
      <c r="AL38" s="4"/>
      <c r="AM38" s="4"/>
      <c r="AN38" s="4"/>
    </row>
    <row r="39" spans="1:40" x14ac:dyDescent="0.25">
      <c r="B39" s="87" t="s">
        <v>15</v>
      </c>
      <c r="C39" s="141" t="s">
        <v>39</v>
      </c>
      <c r="D39" s="39"/>
      <c r="E39" s="54" t="s">
        <v>10</v>
      </c>
      <c r="F39" s="21" t="str">
        <f>IF(H40=1,IF(H38=H$2,H38,""),"")</f>
        <v/>
      </c>
      <c r="G39" s="18"/>
      <c r="H39" s="20" t="str">
        <f>IF(E$67="comprobar",COUNTIF(D38:D42,"x"),"")</f>
        <v/>
      </c>
      <c r="I39" s="4"/>
      <c r="J39" s="4"/>
      <c r="K39" s="4"/>
      <c r="L39" s="4"/>
      <c r="M39" s="4"/>
      <c r="N39" s="4"/>
      <c r="O39" s="4"/>
      <c r="P39" s="4"/>
      <c r="Q39" s="4"/>
      <c r="R39" s="4"/>
      <c r="S39" s="4"/>
      <c r="T39" s="4"/>
      <c r="U39" s="4"/>
      <c r="V39" s="4"/>
      <c r="W39" s="4"/>
      <c r="X39" s="4"/>
      <c r="Y39" s="4"/>
      <c r="Z39" s="4"/>
      <c r="AA39" s="4"/>
      <c r="AB39" s="4"/>
      <c r="AC39" s="4"/>
      <c r="AD39" s="4"/>
      <c r="AE39" s="4"/>
      <c r="AF39" s="4"/>
      <c r="AG39" s="4"/>
      <c r="AH39" s="4"/>
      <c r="AI39" s="4"/>
      <c r="AJ39" s="4"/>
      <c r="AK39" s="4"/>
      <c r="AL39" s="4"/>
      <c r="AM39" s="4"/>
      <c r="AN39" s="4"/>
    </row>
    <row r="40" spans="1:40" x14ac:dyDescent="0.25">
      <c r="B40" s="87" t="s">
        <v>15</v>
      </c>
      <c r="C40" s="141" t="s">
        <v>40</v>
      </c>
      <c r="D40" s="39"/>
      <c r="E40" s="54" t="s">
        <v>11</v>
      </c>
      <c r="F40" s="22" t="str">
        <f>IF(H40=-0.33,IF(H38=H$1,H38,""),"")</f>
        <v/>
      </c>
      <c r="G40" s="18"/>
      <c r="H40" s="23">
        <f>IF(H39=1,IF(H38=H$2,1,-0.33),0)</f>
        <v>0</v>
      </c>
      <c r="I40" s="4"/>
      <c r="J40" s="4"/>
      <c r="K40" s="4"/>
      <c r="L40" s="4"/>
      <c r="M40" s="4"/>
      <c r="N40" s="4"/>
      <c r="O40" s="4"/>
      <c r="P40" s="4"/>
      <c r="Q40" s="4"/>
      <c r="R40" s="4"/>
      <c r="S40" s="4"/>
      <c r="T40" s="4"/>
      <c r="U40" s="4"/>
      <c r="V40" s="4"/>
      <c r="W40" s="4"/>
      <c r="X40" s="4"/>
      <c r="Y40" s="4"/>
      <c r="Z40" s="4"/>
      <c r="AA40" s="4"/>
      <c r="AB40" s="4"/>
      <c r="AC40" s="4"/>
      <c r="AD40" s="4"/>
      <c r="AE40" s="4"/>
      <c r="AF40" s="4"/>
      <c r="AG40" s="4"/>
      <c r="AH40" s="4"/>
      <c r="AI40" s="4"/>
      <c r="AJ40" s="4"/>
      <c r="AK40" s="4"/>
      <c r="AL40" s="4"/>
      <c r="AM40" s="4"/>
      <c r="AN40" s="4"/>
    </row>
    <row r="41" spans="1:40" x14ac:dyDescent="0.25">
      <c r="B41" s="87" t="s">
        <v>15</v>
      </c>
      <c r="C41" s="141" t="s">
        <v>41</v>
      </c>
      <c r="D41" s="39"/>
      <c r="E41" s="54" t="s">
        <v>12</v>
      </c>
      <c r="F41" s="26"/>
      <c r="G41" s="18"/>
      <c r="H41" s="18"/>
      <c r="I41" s="4"/>
      <c r="J41" s="4"/>
      <c r="K41" s="4"/>
      <c r="L41" s="4"/>
      <c r="M41" s="4"/>
      <c r="N41" s="4"/>
      <c r="O41" s="4"/>
      <c r="P41" s="4"/>
      <c r="Q41" s="4"/>
      <c r="R41" s="4"/>
      <c r="S41" s="4"/>
      <c r="T41" s="4"/>
      <c r="U41" s="4"/>
      <c r="V41" s="4"/>
      <c r="W41" s="4"/>
      <c r="X41" s="4"/>
      <c r="Y41" s="4"/>
      <c r="Z41" s="4"/>
      <c r="AA41" s="4"/>
      <c r="AB41" s="4"/>
      <c r="AC41" s="4"/>
      <c r="AD41" s="4"/>
      <c r="AE41" s="4"/>
      <c r="AF41" s="4"/>
      <c r="AG41" s="4"/>
      <c r="AH41" s="4"/>
      <c r="AI41" s="4"/>
      <c r="AJ41" s="4"/>
      <c r="AK41" s="4"/>
      <c r="AL41" s="4"/>
      <c r="AM41" s="4"/>
      <c r="AN41" s="4"/>
    </row>
    <row r="42" spans="1:40" x14ac:dyDescent="0.25">
      <c r="B42" s="87"/>
      <c r="C42" s="25"/>
      <c r="D42" s="39"/>
      <c r="E42" s="54" t="s">
        <v>13</v>
      </c>
      <c r="F42" s="19"/>
      <c r="G42" s="18"/>
      <c r="H42" s="18"/>
      <c r="I42" s="4"/>
      <c r="J42" s="4"/>
      <c r="K42" s="4"/>
      <c r="L42" s="4"/>
      <c r="M42" s="4"/>
      <c r="N42" s="4"/>
      <c r="O42" s="4"/>
      <c r="P42" s="4"/>
      <c r="Q42" s="4"/>
      <c r="R42" s="4"/>
      <c r="S42" s="4"/>
      <c r="T42" s="4"/>
      <c r="U42" s="4"/>
      <c r="V42" s="4"/>
      <c r="W42" s="4"/>
      <c r="X42" s="4"/>
      <c r="Y42" s="4"/>
      <c r="Z42" s="4"/>
      <c r="AA42" s="4"/>
      <c r="AB42" s="4"/>
      <c r="AC42" s="4"/>
      <c r="AD42" s="4"/>
      <c r="AE42" s="4"/>
      <c r="AF42" s="4"/>
      <c r="AG42" s="4"/>
      <c r="AH42" s="4"/>
      <c r="AI42" s="4"/>
      <c r="AJ42" s="4"/>
      <c r="AK42" s="4"/>
      <c r="AL42" s="4"/>
      <c r="AM42" s="4"/>
      <c r="AN42" s="4"/>
    </row>
    <row r="43" spans="1:40" s="16" customFormat="1" x14ac:dyDescent="0.25">
      <c r="A43" s="4"/>
      <c r="B43" s="86" t="s">
        <v>91</v>
      </c>
      <c r="C43" s="88" t="s">
        <v>606</v>
      </c>
      <c r="D43" s="40"/>
      <c r="E43" s="53"/>
      <c r="F43" s="28"/>
      <c r="G43" s="14"/>
      <c r="H43" s="14"/>
      <c r="I43" s="4"/>
      <c r="J43" s="4"/>
      <c r="K43" s="4"/>
      <c r="L43" s="4"/>
      <c r="M43" s="4"/>
      <c r="N43" s="4"/>
      <c r="O43" s="4"/>
      <c r="P43" s="4"/>
      <c r="Q43" s="4"/>
      <c r="R43" s="4"/>
      <c r="S43" s="4"/>
      <c r="T43" s="4"/>
      <c r="U43" s="4"/>
      <c r="V43" s="4"/>
      <c r="W43" s="4"/>
      <c r="X43" s="4"/>
      <c r="Y43" s="4"/>
      <c r="Z43" s="4"/>
      <c r="AA43" s="4"/>
      <c r="AB43" s="4"/>
      <c r="AC43" s="4"/>
      <c r="AD43" s="4"/>
      <c r="AE43" s="4"/>
      <c r="AF43" s="4"/>
      <c r="AG43" s="4"/>
      <c r="AH43" s="4"/>
      <c r="AI43" s="4"/>
      <c r="AJ43" s="4"/>
      <c r="AK43" s="4"/>
      <c r="AL43" s="4"/>
      <c r="AM43" s="4"/>
      <c r="AN43" s="4"/>
    </row>
    <row r="44" spans="1:40" x14ac:dyDescent="0.25">
      <c r="B44" s="87" t="s">
        <v>15</v>
      </c>
      <c r="C44" s="141" t="s">
        <v>42</v>
      </c>
      <c r="D44" s="39"/>
      <c r="E44" s="54" t="s">
        <v>9</v>
      </c>
      <c r="F44" s="26"/>
      <c r="G44" s="18"/>
      <c r="H44" s="20" t="b">
        <f>IF(D44="x",H$2,H$1)</f>
        <v>0</v>
      </c>
      <c r="I44" s="4"/>
      <c r="J44" s="4"/>
      <c r="K44" s="4"/>
      <c r="L44" s="4"/>
      <c r="M44" s="4"/>
      <c r="N44" s="4"/>
      <c r="O44" s="4"/>
      <c r="P44" s="4"/>
      <c r="Q44" s="4"/>
      <c r="R44" s="4"/>
      <c r="S44" s="4"/>
      <c r="T44" s="4"/>
      <c r="U44" s="4"/>
      <c r="V44" s="4"/>
      <c r="W44" s="4"/>
      <c r="X44" s="4"/>
      <c r="Y44" s="4"/>
      <c r="Z44" s="4"/>
      <c r="AA44" s="4"/>
      <c r="AB44" s="4"/>
      <c r="AC44" s="4"/>
      <c r="AD44" s="4"/>
      <c r="AE44" s="4"/>
      <c r="AF44" s="4"/>
      <c r="AG44" s="4"/>
      <c r="AH44" s="4"/>
      <c r="AI44" s="4"/>
      <c r="AJ44" s="4"/>
      <c r="AK44" s="4"/>
      <c r="AL44" s="4"/>
      <c r="AM44" s="4"/>
      <c r="AN44" s="4"/>
    </row>
    <row r="45" spans="1:40" x14ac:dyDescent="0.25">
      <c r="B45" s="87" t="s">
        <v>15</v>
      </c>
      <c r="C45" s="141" t="s">
        <v>43</v>
      </c>
      <c r="D45" s="39"/>
      <c r="E45" s="54" t="s">
        <v>10</v>
      </c>
      <c r="F45" s="21" t="str">
        <f>IF(H46=1,IF(H44=H$2,H44,""),"")</f>
        <v/>
      </c>
      <c r="G45" s="18"/>
      <c r="H45" s="20" t="str">
        <f>IF(E$67="comprobar",COUNTIF(D44:D48,"x"),"")</f>
        <v/>
      </c>
      <c r="I45" s="4"/>
      <c r="J45" s="4"/>
      <c r="K45" s="4"/>
      <c r="L45" s="4"/>
      <c r="M45" s="4"/>
      <c r="N45" s="4"/>
      <c r="O45" s="4"/>
      <c r="P45" s="4"/>
      <c r="Q45" s="4"/>
      <c r="R45" s="4"/>
      <c r="S45" s="4"/>
      <c r="T45" s="4"/>
      <c r="U45" s="4"/>
      <c r="V45" s="4"/>
      <c r="W45" s="4"/>
      <c r="X45" s="4"/>
      <c r="Y45" s="4"/>
      <c r="Z45" s="4"/>
      <c r="AA45" s="4"/>
      <c r="AB45" s="4"/>
      <c r="AC45" s="4"/>
      <c r="AD45" s="4"/>
      <c r="AE45" s="4"/>
      <c r="AF45" s="4"/>
      <c r="AG45" s="4"/>
      <c r="AH45" s="4"/>
      <c r="AI45" s="4"/>
      <c r="AJ45" s="4"/>
      <c r="AK45" s="4"/>
      <c r="AL45" s="4"/>
      <c r="AM45" s="4"/>
      <c r="AN45" s="4"/>
    </row>
    <row r="46" spans="1:40" x14ac:dyDescent="0.25">
      <c r="B46" s="87" t="s">
        <v>15</v>
      </c>
      <c r="C46" s="141" t="s">
        <v>44</v>
      </c>
      <c r="D46" s="39"/>
      <c r="E46" s="54" t="s">
        <v>11</v>
      </c>
      <c r="F46" s="22" t="str">
        <f>IF(H46=-0.33,IF(H44=H$1,H44,""),"")</f>
        <v/>
      </c>
      <c r="G46" s="18"/>
      <c r="H46" s="23">
        <f>IF(H45=1,IF(H44=H$2,1,-0.33),0)</f>
        <v>0</v>
      </c>
      <c r="I46" s="4"/>
      <c r="J46" s="4"/>
      <c r="K46" s="4"/>
      <c r="L46" s="4"/>
      <c r="M46" s="4"/>
      <c r="N46" s="4"/>
      <c r="O46" s="4"/>
      <c r="P46" s="4"/>
      <c r="Q46" s="4"/>
      <c r="R46" s="4"/>
      <c r="S46" s="4"/>
      <c r="T46" s="4"/>
      <c r="U46" s="4"/>
      <c r="V46" s="4"/>
      <c r="W46" s="4"/>
      <c r="X46" s="4"/>
      <c r="Y46" s="4"/>
      <c r="Z46" s="4"/>
      <c r="AA46" s="4"/>
      <c r="AB46" s="4"/>
      <c r="AC46" s="4"/>
      <c r="AD46" s="4"/>
      <c r="AE46" s="4"/>
      <c r="AF46" s="4"/>
      <c r="AG46" s="4"/>
      <c r="AH46" s="4"/>
      <c r="AI46" s="4"/>
      <c r="AJ46" s="4"/>
      <c r="AK46" s="4"/>
      <c r="AL46" s="4"/>
      <c r="AM46" s="4"/>
      <c r="AN46" s="4"/>
    </row>
    <row r="47" spans="1:40" x14ac:dyDescent="0.25">
      <c r="B47" s="87" t="s">
        <v>15</v>
      </c>
      <c r="C47" s="141" t="s">
        <v>45</v>
      </c>
      <c r="D47" s="39"/>
      <c r="E47" s="54" t="s">
        <v>12</v>
      </c>
      <c r="F47" s="26"/>
      <c r="G47" s="18"/>
      <c r="H47" s="23"/>
      <c r="I47" s="4"/>
      <c r="J47" s="4"/>
      <c r="K47" s="4"/>
      <c r="L47" s="4"/>
      <c r="M47" s="4"/>
      <c r="N47" s="4"/>
      <c r="O47" s="4"/>
      <c r="P47" s="4"/>
      <c r="Q47" s="4"/>
      <c r="R47" s="4"/>
      <c r="S47" s="4"/>
      <c r="T47" s="4"/>
      <c r="U47" s="4"/>
      <c r="V47" s="4"/>
      <c r="W47" s="4"/>
      <c r="X47" s="4"/>
      <c r="Y47" s="4"/>
      <c r="Z47" s="4"/>
      <c r="AA47" s="4"/>
      <c r="AB47" s="4"/>
      <c r="AC47" s="4"/>
      <c r="AD47" s="4"/>
      <c r="AE47" s="4"/>
      <c r="AF47" s="4"/>
      <c r="AG47" s="4"/>
      <c r="AH47" s="4"/>
      <c r="AI47" s="4"/>
      <c r="AJ47" s="4"/>
      <c r="AK47" s="4"/>
      <c r="AL47" s="4"/>
      <c r="AM47" s="4"/>
      <c r="AN47" s="4"/>
    </row>
    <row r="48" spans="1:40" x14ac:dyDescent="0.25">
      <c r="B48" s="87"/>
      <c r="C48" s="25"/>
      <c r="D48" s="39"/>
      <c r="E48" s="54" t="s">
        <v>13</v>
      </c>
      <c r="F48" s="19"/>
      <c r="G48" s="18"/>
      <c r="H48" s="23"/>
      <c r="I48" s="4"/>
      <c r="J48" s="4"/>
      <c r="K48" s="4"/>
      <c r="L48" s="4"/>
      <c r="M48" s="4"/>
      <c r="N48" s="4"/>
      <c r="O48" s="4"/>
      <c r="P48" s="4"/>
      <c r="Q48" s="4"/>
      <c r="R48" s="4"/>
      <c r="S48" s="4"/>
      <c r="T48" s="4"/>
      <c r="U48" s="4"/>
      <c r="V48" s="4"/>
      <c r="W48" s="4"/>
      <c r="X48" s="4"/>
      <c r="Y48" s="4"/>
      <c r="Z48" s="4"/>
      <c r="AA48" s="4"/>
      <c r="AB48" s="4"/>
      <c r="AC48" s="4"/>
      <c r="AD48" s="4"/>
      <c r="AE48" s="4"/>
      <c r="AF48" s="4"/>
      <c r="AG48" s="4"/>
      <c r="AH48" s="4"/>
      <c r="AI48" s="4"/>
      <c r="AJ48" s="4"/>
      <c r="AK48" s="4"/>
      <c r="AL48" s="4"/>
      <c r="AM48" s="4"/>
      <c r="AN48" s="4"/>
    </row>
    <row r="49" spans="1:40" s="16" customFormat="1" x14ac:dyDescent="0.25">
      <c r="A49" s="4"/>
      <c r="B49" s="86" t="s">
        <v>92</v>
      </c>
      <c r="C49" s="88" t="s">
        <v>607</v>
      </c>
      <c r="D49" s="40"/>
      <c r="E49" s="53"/>
      <c r="F49" s="28"/>
      <c r="G49" s="14"/>
      <c r="H49" s="14"/>
      <c r="I49" s="4"/>
      <c r="J49" s="4"/>
      <c r="K49" s="4"/>
      <c r="L49" s="4"/>
      <c r="M49" s="4"/>
      <c r="N49" s="4"/>
      <c r="O49" s="4"/>
      <c r="P49" s="4"/>
      <c r="Q49" s="4"/>
      <c r="R49" s="4"/>
      <c r="S49" s="4"/>
      <c r="T49" s="4"/>
      <c r="U49" s="4"/>
      <c r="V49" s="4"/>
      <c r="W49" s="4"/>
      <c r="X49" s="4"/>
      <c r="Y49" s="4"/>
      <c r="Z49" s="4"/>
      <c r="AA49" s="4"/>
      <c r="AB49" s="4"/>
      <c r="AC49" s="4"/>
      <c r="AD49" s="4"/>
      <c r="AE49" s="4"/>
      <c r="AF49" s="4"/>
      <c r="AG49" s="4"/>
      <c r="AH49" s="4"/>
      <c r="AI49" s="4"/>
      <c r="AJ49" s="4"/>
      <c r="AK49" s="4"/>
      <c r="AL49" s="4"/>
      <c r="AM49" s="4"/>
      <c r="AN49" s="4"/>
    </row>
    <row r="50" spans="1:40" x14ac:dyDescent="0.25">
      <c r="B50" s="87" t="s">
        <v>15</v>
      </c>
      <c r="C50" s="141" t="s">
        <v>46</v>
      </c>
      <c r="D50" s="39"/>
      <c r="E50" s="54" t="s">
        <v>9</v>
      </c>
      <c r="F50" s="26"/>
      <c r="G50" s="18"/>
      <c r="H50" s="20" t="b">
        <f>IF(D53="x",H$2,H$1)</f>
        <v>0</v>
      </c>
      <c r="I50" s="4"/>
      <c r="J50" s="4"/>
      <c r="K50" s="4"/>
      <c r="L50" s="4"/>
      <c r="M50" s="4"/>
      <c r="N50" s="4"/>
      <c r="O50" s="4"/>
      <c r="P50" s="4"/>
      <c r="Q50" s="4"/>
      <c r="R50" s="4"/>
      <c r="S50" s="4"/>
      <c r="T50" s="4"/>
      <c r="U50" s="4"/>
      <c r="V50" s="4"/>
      <c r="W50" s="4"/>
      <c r="X50" s="4"/>
      <c r="Y50" s="4"/>
      <c r="Z50" s="4"/>
      <c r="AA50" s="4"/>
      <c r="AB50" s="4"/>
      <c r="AC50" s="4"/>
      <c r="AD50" s="4"/>
      <c r="AE50" s="4"/>
      <c r="AF50" s="4"/>
      <c r="AG50" s="4"/>
      <c r="AH50" s="4"/>
      <c r="AI50" s="4"/>
      <c r="AJ50" s="4"/>
      <c r="AK50" s="4"/>
      <c r="AL50" s="4"/>
      <c r="AM50" s="4"/>
      <c r="AN50" s="4"/>
    </row>
    <row r="51" spans="1:40" x14ac:dyDescent="0.25">
      <c r="B51" s="87" t="s">
        <v>15</v>
      </c>
      <c r="C51" s="141" t="s">
        <v>47</v>
      </c>
      <c r="D51" s="39"/>
      <c r="E51" s="54" t="s">
        <v>10</v>
      </c>
      <c r="F51" s="21" t="str">
        <f>IF(H52=1,IF(H50=H$2,H50,""),"")</f>
        <v/>
      </c>
      <c r="G51" s="18"/>
      <c r="H51" s="20" t="str">
        <f>IF(E$67="comprobar",COUNTIF(D50:D54,"x"),"")</f>
        <v/>
      </c>
      <c r="I51" s="4"/>
      <c r="J51" s="4"/>
      <c r="K51" s="4"/>
      <c r="L51" s="4"/>
      <c r="M51" s="4"/>
      <c r="N51" s="4"/>
      <c r="O51" s="4"/>
      <c r="P51" s="4"/>
      <c r="Q51" s="4"/>
      <c r="R51" s="4"/>
      <c r="S51" s="4"/>
      <c r="T51" s="4"/>
      <c r="U51" s="4"/>
      <c r="V51" s="4"/>
      <c r="W51" s="4"/>
      <c r="X51" s="4"/>
      <c r="Y51" s="4"/>
      <c r="Z51" s="4"/>
      <c r="AA51" s="4"/>
      <c r="AB51" s="4"/>
      <c r="AC51" s="4"/>
      <c r="AD51" s="4"/>
      <c r="AE51" s="4"/>
      <c r="AF51" s="4"/>
      <c r="AG51" s="4"/>
      <c r="AH51" s="4"/>
      <c r="AI51" s="4"/>
      <c r="AJ51" s="4"/>
      <c r="AK51" s="4"/>
      <c r="AL51" s="4"/>
      <c r="AM51" s="4"/>
      <c r="AN51" s="4"/>
    </row>
    <row r="52" spans="1:40" x14ac:dyDescent="0.25">
      <c r="B52" s="87" t="s">
        <v>15</v>
      </c>
      <c r="C52" s="141" t="s">
        <v>48</v>
      </c>
      <c r="D52" s="39"/>
      <c r="E52" s="54" t="s">
        <v>11</v>
      </c>
      <c r="F52" s="22" t="str">
        <f>IF(H52=-0.33,IF(H50=H$1,H50,""),"")</f>
        <v/>
      </c>
      <c r="G52" s="18"/>
      <c r="H52" s="23">
        <f>IF(H51=1,IF(H50=H$2,1,-0.33),0)</f>
        <v>0</v>
      </c>
      <c r="I52" s="4"/>
      <c r="J52" s="4"/>
      <c r="K52" s="4"/>
      <c r="L52" s="4"/>
      <c r="M52" s="4"/>
      <c r="N52" s="4"/>
      <c r="O52" s="4"/>
      <c r="P52" s="4"/>
      <c r="Q52" s="4"/>
      <c r="R52" s="4"/>
      <c r="S52" s="4"/>
      <c r="T52" s="4"/>
      <c r="U52" s="4"/>
      <c r="V52" s="4"/>
      <c r="W52" s="4"/>
      <c r="X52" s="4"/>
      <c r="Y52" s="4"/>
      <c r="Z52" s="4"/>
      <c r="AA52" s="4"/>
      <c r="AB52" s="4"/>
      <c r="AC52" s="4"/>
      <c r="AD52" s="4"/>
      <c r="AE52" s="4"/>
      <c r="AF52" s="4"/>
      <c r="AG52" s="4"/>
      <c r="AH52" s="4"/>
      <c r="AI52" s="4"/>
      <c r="AJ52" s="4"/>
      <c r="AK52" s="4"/>
      <c r="AL52" s="4"/>
      <c r="AM52" s="4"/>
      <c r="AN52" s="4"/>
    </row>
    <row r="53" spans="1:40" x14ac:dyDescent="0.25">
      <c r="B53" s="87" t="s">
        <v>15</v>
      </c>
      <c r="C53" s="141" t="s">
        <v>49</v>
      </c>
      <c r="D53" s="39"/>
      <c r="E53" s="54" t="s">
        <v>12</v>
      </c>
      <c r="F53" s="26"/>
      <c r="G53" s="18"/>
      <c r="H53" s="23"/>
      <c r="I53" s="4"/>
      <c r="J53" s="4"/>
      <c r="K53" s="4"/>
      <c r="L53" s="4"/>
      <c r="M53" s="4"/>
      <c r="N53" s="4"/>
      <c r="O53" s="4"/>
      <c r="P53" s="4"/>
      <c r="Q53" s="4"/>
      <c r="R53" s="4"/>
      <c r="S53" s="4"/>
      <c r="T53" s="4"/>
      <c r="U53" s="4"/>
      <c r="V53" s="4"/>
      <c r="W53" s="4"/>
      <c r="X53" s="4"/>
      <c r="Y53" s="4"/>
      <c r="Z53" s="4"/>
      <c r="AA53" s="4"/>
      <c r="AB53" s="4"/>
      <c r="AC53" s="4"/>
      <c r="AD53" s="4"/>
      <c r="AE53" s="4"/>
      <c r="AF53" s="4"/>
      <c r="AG53" s="4"/>
      <c r="AH53" s="4"/>
      <c r="AI53" s="4"/>
      <c r="AJ53" s="4"/>
      <c r="AK53" s="4"/>
      <c r="AL53" s="4"/>
      <c r="AM53" s="4"/>
      <c r="AN53" s="4"/>
    </row>
    <row r="54" spans="1:40" x14ac:dyDescent="0.25">
      <c r="B54" s="87"/>
      <c r="C54" s="25"/>
      <c r="D54" s="39"/>
      <c r="E54" s="54" t="s">
        <v>13</v>
      </c>
      <c r="F54" s="19"/>
      <c r="G54" s="18"/>
      <c r="H54" s="23"/>
      <c r="I54" s="4"/>
      <c r="J54" s="4"/>
      <c r="K54" s="4"/>
      <c r="L54" s="4"/>
      <c r="M54" s="4"/>
      <c r="N54" s="4"/>
      <c r="O54" s="4"/>
      <c r="P54" s="4"/>
      <c r="Q54" s="4"/>
      <c r="R54" s="4"/>
      <c r="S54" s="4"/>
      <c r="T54" s="4"/>
      <c r="U54" s="4"/>
      <c r="V54" s="4"/>
      <c r="W54" s="4"/>
      <c r="X54" s="4"/>
      <c r="Y54" s="4"/>
      <c r="Z54" s="4"/>
      <c r="AA54" s="4"/>
      <c r="AB54" s="4"/>
      <c r="AC54" s="4"/>
      <c r="AD54" s="4"/>
      <c r="AE54" s="4"/>
      <c r="AF54" s="4"/>
      <c r="AG54" s="4"/>
      <c r="AH54" s="4"/>
      <c r="AI54" s="4"/>
      <c r="AJ54" s="4"/>
      <c r="AK54" s="4"/>
      <c r="AL54" s="4"/>
      <c r="AM54" s="4"/>
      <c r="AN54" s="4"/>
    </row>
    <row r="55" spans="1:40" s="16" customFormat="1" x14ac:dyDescent="0.25">
      <c r="A55" s="4"/>
      <c r="B55" s="86" t="s">
        <v>199</v>
      </c>
      <c r="C55" s="88" t="s">
        <v>608</v>
      </c>
      <c r="D55" s="40"/>
      <c r="E55" s="53"/>
      <c r="F55" s="28"/>
      <c r="G55" s="14"/>
      <c r="H55" s="14"/>
      <c r="I55" s="4"/>
      <c r="J55" s="4"/>
      <c r="K55" s="4"/>
      <c r="L55" s="4"/>
      <c r="M55" s="4"/>
      <c r="N55" s="4"/>
      <c r="O55" s="4"/>
      <c r="P55" s="4"/>
      <c r="Q55" s="4"/>
      <c r="R55" s="4"/>
      <c r="S55" s="4"/>
      <c r="T55" s="4"/>
      <c r="U55" s="4"/>
      <c r="V55" s="4"/>
      <c r="W55" s="4"/>
      <c r="X55" s="4"/>
      <c r="Y55" s="4"/>
      <c r="Z55" s="4"/>
      <c r="AA55" s="4"/>
      <c r="AB55" s="4"/>
      <c r="AC55" s="4"/>
      <c r="AD55" s="4"/>
      <c r="AE55" s="4"/>
      <c r="AF55" s="4"/>
      <c r="AG55" s="4"/>
      <c r="AH55" s="4"/>
      <c r="AI55" s="4"/>
      <c r="AJ55" s="4"/>
      <c r="AK55" s="4"/>
      <c r="AL55" s="4"/>
      <c r="AM55" s="4"/>
      <c r="AN55" s="4"/>
    </row>
    <row r="56" spans="1:40" x14ac:dyDescent="0.25">
      <c r="B56" s="87" t="s">
        <v>15</v>
      </c>
      <c r="C56" s="141" t="s">
        <v>50</v>
      </c>
      <c r="D56" s="39"/>
      <c r="E56" s="54" t="s">
        <v>9</v>
      </c>
      <c r="F56" s="26"/>
      <c r="G56" s="18"/>
      <c r="H56" s="20" t="b">
        <f>IF(D57="x",H$2,H$1)</f>
        <v>0</v>
      </c>
      <c r="I56" s="4"/>
      <c r="J56" s="4"/>
      <c r="K56" s="4"/>
      <c r="L56" s="4"/>
      <c r="M56" s="4"/>
      <c r="N56" s="4"/>
      <c r="O56" s="4"/>
      <c r="P56" s="4"/>
      <c r="Q56" s="4"/>
      <c r="R56" s="4"/>
      <c r="S56" s="4"/>
      <c r="T56" s="4"/>
      <c r="U56" s="4"/>
      <c r="V56" s="4"/>
      <c r="W56" s="4"/>
      <c r="X56" s="4"/>
      <c r="Y56" s="4"/>
      <c r="Z56" s="4"/>
      <c r="AA56" s="4"/>
      <c r="AB56" s="4"/>
      <c r="AC56" s="4"/>
      <c r="AD56" s="4"/>
      <c r="AE56" s="4"/>
      <c r="AF56" s="4"/>
      <c r="AG56" s="4"/>
      <c r="AH56" s="4"/>
      <c r="AI56" s="4"/>
      <c r="AJ56" s="4"/>
      <c r="AK56" s="4"/>
      <c r="AL56" s="4"/>
      <c r="AM56" s="4"/>
      <c r="AN56" s="4"/>
    </row>
    <row r="57" spans="1:40" x14ac:dyDescent="0.25">
      <c r="B57" s="87" t="s">
        <v>15</v>
      </c>
      <c r="C57" s="141" t="s">
        <v>51</v>
      </c>
      <c r="D57" s="39"/>
      <c r="E57" s="54" t="s">
        <v>10</v>
      </c>
      <c r="F57" s="21" t="str">
        <f>IF(H58=1,IF(H56=H$2,H56,""),"")</f>
        <v/>
      </c>
      <c r="G57" s="18"/>
      <c r="H57" s="20" t="str">
        <f>IF(E$67="comprobar",COUNTIF(D56:D60,"x"),"")</f>
        <v/>
      </c>
      <c r="I57" s="4"/>
      <c r="J57" s="4"/>
      <c r="K57" s="4"/>
      <c r="L57" s="4"/>
      <c r="M57" s="4"/>
      <c r="N57" s="4"/>
      <c r="O57" s="4"/>
      <c r="P57" s="4"/>
      <c r="Q57" s="4"/>
      <c r="R57" s="4"/>
      <c r="S57" s="4"/>
      <c r="T57" s="4"/>
      <c r="U57" s="4"/>
      <c r="V57" s="4"/>
      <c r="W57" s="4"/>
      <c r="X57" s="4"/>
      <c r="Y57" s="4"/>
      <c r="Z57" s="4"/>
      <c r="AA57" s="4"/>
      <c r="AB57" s="4"/>
      <c r="AC57" s="4"/>
      <c r="AD57" s="4"/>
      <c r="AE57" s="4"/>
      <c r="AF57" s="4"/>
      <c r="AG57" s="4"/>
      <c r="AH57" s="4"/>
      <c r="AI57" s="4"/>
      <c r="AJ57" s="4"/>
      <c r="AK57" s="4"/>
      <c r="AL57" s="4"/>
      <c r="AM57" s="4"/>
      <c r="AN57" s="4"/>
    </row>
    <row r="58" spans="1:40" x14ac:dyDescent="0.25">
      <c r="B58" s="87" t="s">
        <v>15</v>
      </c>
      <c r="C58" s="141" t="s">
        <v>52</v>
      </c>
      <c r="D58" s="39"/>
      <c r="E58" s="54" t="s">
        <v>11</v>
      </c>
      <c r="F58" s="22" t="str">
        <f>IF(H58=-0.33,IF(H56=H$1,H56,""),"")</f>
        <v/>
      </c>
      <c r="G58" s="18"/>
      <c r="H58" s="23">
        <f>IF(H57=1,IF(H56=H$2,1,-0.33),0)</f>
        <v>0</v>
      </c>
      <c r="I58" s="4"/>
      <c r="J58" s="4"/>
      <c r="K58" s="4"/>
      <c r="L58" s="4"/>
      <c r="M58" s="4"/>
      <c r="N58" s="4"/>
      <c r="O58" s="4"/>
      <c r="P58" s="4"/>
      <c r="Q58" s="4"/>
      <c r="R58" s="4"/>
      <c r="S58" s="4"/>
      <c r="T58" s="4"/>
      <c r="U58" s="4"/>
      <c r="V58" s="4"/>
      <c r="W58" s="4"/>
      <c r="X58" s="4"/>
      <c r="Y58" s="4"/>
      <c r="Z58" s="4"/>
      <c r="AA58" s="4"/>
      <c r="AB58" s="4"/>
      <c r="AC58" s="4"/>
      <c r="AD58" s="4"/>
      <c r="AE58" s="4"/>
      <c r="AF58" s="4"/>
      <c r="AG58" s="4"/>
      <c r="AH58" s="4"/>
      <c r="AI58" s="4"/>
      <c r="AJ58" s="4"/>
      <c r="AK58" s="4"/>
      <c r="AL58" s="4"/>
      <c r="AM58" s="4"/>
      <c r="AN58" s="4"/>
    </row>
    <row r="59" spans="1:40" x14ac:dyDescent="0.25">
      <c r="B59" s="87" t="s">
        <v>15</v>
      </c>
      <c r="C59" s="141" t="s">
        <v>53</v>
      </c>
      <c r="D59" s="39"/>
      <c r="E59" s="54" t="s">
        <v>12</v>
      </c>
      <c r="F59" s="26"/>
      <c r="G59" s="18"/>
      <c r="H59" s="20"/>
      <c r="I59" s="4"/>
      <c r="J59" s="4"/>
      <c r="K59" s="4"/>
      <c r="L59" s="4"/>
      <c r="M59" s="4"/>
      <c r="N59" s="4"/>
      <c r="O59" s="4"/>
      <c r="P59" s="4"/>
      <c r="Q59" s="4"/>
      <c r="R59" s="4"/>
      <c r="S59" s="4"/>
      <c r="T59" s="4"/>
      <c r="U59" s="4"/>
      <c r="V59" s="4"/>
      <c r="W59" s="4"/>
      <c r="X59" s="4"/>
      <c r="Y59" s="4"/>
      <c r="Z59" s="4"/>
      <c r="AA59" s="4"/>
      <c r="AB59" s="4"/>
      <c r="AC59" s="4"/>
      <c r="AD59" s="4"/>
      <c r="AE59" s="4"/>
      <c r="AF59" s="4"/>
      <c r="AG59" s="4"/>
      <c r="AH59" s="4"/>
      <c r="AI59" s="4"/>
      <c r="AJ59" s="4"/>
      <c r="AK59" s="4"/>
      <c r="AL59" s="4"/>
      <c r="AM59" s="4"/>
      <c r="AN59" s="4"/>
    </row>
    <row r="60" spans="1:40" x14ac:dyDescent="0.25">
      <c r="B60" s="87"/>
      <c r="C60" s="25"/>
      <c r="D60" s="39"/>
      <c r="E60" s="54" t="s">
        <v>13</v>
      </c>
      <c r="F60" s="19"/>
      <c r="G60" s="18"/>
      <c r="H60" s="2"/>
      <c r="I60" s="4"/>
      <c r="J60" s="4"/>
      <c r="K60" s="4"/>
      <c r="L60" s="4"/>
      <c r="M60" s="4"/>
      <c r="N60" s="4"/>
      <c r="O60" s="4"/>
      <c r="P60" s="4"/>
      <c r="Q60" s="4"/>
      <c r="R60" s="4"/>
      <c r="S60" s="4"/>
      <c r="T60" s="4"/>
      <c r="U60" s="4"/>
      <c r="V60" s="4"/>
      <c r="W60" s="4"/>
      <c r="X60" s="4"/>
      <c r="Y60" s="4"/>
      <c r="Z60" s="4"/>
      <c r="AA60" s="4"/>
      <c r="AB60" s="4"/>
      <c r="AC60" s="4"/>
      <c r="AD60" s="4"/>
      <c r="AE60" s="4"/>
      <c r="AF60" s="4"/>
      <c r="AG60" s="4"/>
      <c r="AH60" s="4"/>
      <c r="AI60" s="4"/>
      <c r="AJ60" s="4"/>
      <c r="AK60" s="4"/>
      <c r="AL60" s="4"/>
      <c r="AM60" s="4"/>
      <c r="AN60" s="4"/>
    </row>
    <row r="61" spans="1:40" s="16" customFormat="1" x14ac:dyDescent="0.25">
      <c r="A61" s="4"/>
      <c r="B61" s="86" t="s">
        <v>159</v>
      </c>
      <c r="C61" s="88" t="s">
        <v>609</v>
      </c>
      <c r="D61" s="40"/>
      <c r="E61" s="53"/>
      <c r="F61" s="28"/>
      <c r="G61" s="24"/>
      <c r="H61" s="24"/>
      <c r="I61" s="4"/>
      <c r="J61" s="4"/>
      <c r="K61" s="4"/>
      <c r="L61" s="4"/>
      <c r="M61" s="4"/>
      <c r="N61" s="4"/>
      <c r="O61" s="4"/>
      <c r="P61" s="4"/>
      <c r="Q61" s="4"/>
      <c r="R61" s="4"/>
      <c r="S61" s="4"/>
      <c r="T61" s="4"/>
      <c r="U61" s="4"/>
      <c r="V61" s="4"/>
      <c r="W61" s="4"/>
      <c r="X61" s="4"/>
      <c r="Y61" s="4"/>
      <c r="Z61" s="4"/>
      <c r="AA61" s="4"/>
      <c r="AB61" s="4"/>
      <c r="AC61" s="4"/>
      <c r="AD61" s="4"/>
      <c r="AE61" s="4"/>
      <c r="AF61" s="4"/>
      <c r="AG61" s="4"/>
      <c r="AH61" s="4"/>
      <c r="AI61" s="4"/>
      <c r="AJ61" s="4"/>
      <c r="AK61" s="4"/>
      <c r="AL61" s="4"/>
      <c r="AM61" s="4"/>
      <c r="AN61" s="4"/>
    </row>
    <row r="62" spans="1:40" x14ac:dyDescent="0.25">
      <c r="B62" s="87" t="s">
        <v>15</v>
      </c>
      <c r="C62" s="141" t="s">
        <v>54</v>
      </c>
      <c r="D62" s="39"/>
      <c r="E62" s="54" t="s">
        <v>9</v>
      </c>
      <c r="F62" s="26"/>
      <c r="G62" s="25"/>
      <c r="H62" s="20" t="b">
        <f>IF(D63="x",H$2,H$1)</f>
        <v>0</v>
      </c>
      <c r="I62" s="4"/>
      <c r="J62" s="4"/>
      <c r="K62" s="4"/>
      <c r="L62" s="4"/>
      <c r="M62" s="4"/>
      <c r="N62" s="4"/>
      <c r="O62" s="4"/>
      <c r="P62" s="4"/>
      <c r="Q62" s="4"/>
      <c r="R62" s="4"/>
      <c r="S62" s="4"/>
      <c r="T62" s="4"/>
      <c r="U62" s="4"/>
      <c r="V62" s="4"/>
      <c r="W62" s="4"/>
      <c r="X62" s="4"/>
      <c r="Y62" s="4"/>
      <c r="Z62" s="4"/>
      <c r="AA62" s="4"/>
      <c r="AB62" s="4"/>
      <c r="AC62" s="4"/>
      <c r="AD62" s="4"/>
      <c r="AE62" s="4"/>
      <c r="AF62" s="4"/>
      <c r="AG62" s="4"/>
      <c r="AH62" s="4"/>
      <c r="AI62" s="4"/>
      <c r="AJ62" s="4"/>
      <c r="AK62" s="4"/>
      <c r="AL62" s="4"/>
      <c r="AM62" s="4"/>
      <c r="AN62" s="4"/>
    </row>
    <row r="63" spans="1:40" x14ac:dyDescent="0.25">
      <c r="B63" s="87" t="s">
        <v>15</v>
      </c>
      <c r="C63" s="141" t="s">
        <v>55</v>
      </c>
      <c r="D63" s="39"/>
      <c r="E63" s="54" t="s">
        <v>10</v>
      </c>
      <c r="F63" s="21" t="str">
        <f>IF(H64=1,IF(H62=H$2,H62,""),"")</f>
        <v/>
      </c>
      <c r="G63" s="25"/>
      <c r="H63" s="20" t="str">
        <f>IF(E$67="comprobar",COUNTIF(D62:D66,"x"),"")</f>
        <v/>
      </c>
      <c r="I63" s="4"/>
      <c r="J63" s="4"/>
      <c r="K63" s="4"/>
      <c r="L63" s="4"/>
      <c r="M63" s="4"/>
      <c r="N63" s="4"/>
      <c r="O63" s="4"/>
      <c r="P63" s="4"/>
      <c r="Q63" s="4"/>
      <c r="R63" s="4"/>
      <c r="S63" s="4"/>
      <c r="T63" s="4"/>
      <c r="U63" s="4"/>
      <c r="V63" s="4"/>
      <c r="W63" s="4"/>
      <c r="X63" s="4"/>
      <c r="Y63" s="4"/>
      <c r="Z63" s="4"/>
      <c r="AA63" s="4"/>
      <c r="AB63" s="4"/>
      <c r="AC63" s="4"/>
      <c r="AD63" s="4"/>
      <c r="AE63" s="4"/>
      <c r="AF63" s="4"/>
      <c r="AG63" s="4"/>
      <c r="AH63" s="4"/>
      <c r="AI63" s="4"/>
      <c r="AJ63" s="4"/>
      <c r="AK63" s="4"/>
      <c r="AL63" s="4"/>
      <c r="AM63" s="4"/>
      <c r="AN63" s="4"/>
    </row>
    <row r="64" spans="1:40" x14ac:dyDescent="0.25">
      <c r="B64" s="87" t="s">
        <v>15</v>
      </c>
      <c r="C64" s="141" t="s">
        <v>56</v>
      </c>
      <c r="D64" s="39"/>
      <c r="E64" s="54" t="s">
        <v>11</v>
      </c>
      <c r="F64" s="22" t="str">
        <f>IF(H64=-0.33,IF(H62=H$1,H62,""),"")</f>
        <v/>
      </c>
      <c r="G64" s="25"/>
      <c r="H64" s="23">
        <f>IF(H63=1,IF(H62=H$2,1,-0.33),0)</f>
        <v>0</v>
      </c>
      <c r="I64" s="4"/>
      <c r="J64" s="4"/>
      <c r="K64" s="4"/>
      <c r="L64" s="4"/>
      <c r="M64" s="4"/>
      <c r="N64" s="4"/>
      <c r="O64" s="4"/>
      <c r="P64" s="4"/>
      <c r="Q64" s="4"/>
      <c r="R64" s="4"/>
      <c r="S64" s="4"/>
      <c r="T64" s="4"/>
      <c r="U64" s="4"/>
      <c r="V64" s="4"/>
      <c r="W64" s="4"/>
      <c r="X64" s="4"/>
      <c r="Y64" s="4"/>
      <c r="Z64" s="4"/>
      <c r="AA64" s="4"/>
      <c r="AB64" s="4"/>
      <c r="AC64" s="4"/>
      <c r="AD64" s="4"/>
      <c r="AE64" s="4"/>
      <c r="AF64" s="4"/>
      <c r="AG64" s="4"/>
      <c r="AH64" s="4"/>
      <c r="AI64" s="4"/>
      <c r="AJ64" s="4"/>
      <c r="AK64" s="4"/>
      <c r="AL64" s="4"/>
      <c r="AM64" s="4"/>
      <c r="AN64" s="4"/>
    </row>
    <row r="65" spans="1:40" x14ac:dyDescent="0.25">
      <c r="B65" s="87" t="s">
        <v>15</v>
      </c>
      <c r="C65" s="141" t="s">
        <v>57</v>
      </c>
      <c r="D65" s="39"/>
      <c r="E65" s="54" t="s">
        <v>12</v>
      </c>
      <c r="F65" s="26"/>
      <c r="G65" s="25"/>
      <c r="H65" s="23"/>
      <c r="I65" s="4"/>
      <c r="J65" s="4"/>
      <c r="K65" s="4"/>
      <c r="L65" s="4"/>
      <c r="M65" s="4"/>
      <c r="N65" s="4"/>
      <c r="O65" s="4"/>
      <c r="P65" s="4"/>
      <c r="Q65" s="4"/>
      <c r="R65" s="4"/>
      <c r="S65" s="4"/>
      <c r="T65" s="4"/>
      <c r="U65" s="4"/>
      <c r="V65" s="4"/>
      <c r="W65" s="4"/>
      <c r="X65" s="4"/>
      <c r="Y65" s="4"/>
      <c r="Z65" s="4"/>
      <c r="AA65" s="4"/>
      <c r="AB65" s="4"/>
      <c r="AC65" s="4"/>
      <c r="AD65" s="4"/>
      <c r="AE65" s="4"/>
      <c r="AF65" s="4"/>
      <c r="AG65" s="4"/>
      <c r="AH65" s="4"/>
      <c r="AI65" s="4"/>
      <c r="AJ65" s="4"/>
      <c r="AK65" s="4"/>
      <c r="AL65" s="4"/>
      <c r="AM65" s="4"/>
      <c r="AN65" s="4"/>
    </row>
    <row r="66" spans="1:40" x14ac:dyDescent="0.25">
      <c r="B66" s="87"/>
      <c r="C66" s="25"/>
      <c r="D66" s="39"/>
      <c r="E66" s="54" t="s">
        <v>13</v>
      </c>
      <c r="F66" s="19"/>
      <c r="G66" s="25"/>
      <c r="H66" s="23"/>
      <c r="I66" s="4"/>
      <c r="J66" s="4"/>
      <c r="K66" s="4"/>
      <c r="L66" s="4"/>
      <c r="M66" s="4"/>
      <c r="N66" s="4"/>
      <c r="O66" s="4"/>
      <c r="P66" s="4"/>
      <c r="Q66" s="4"/>
      <c r="R66" s="4"/>
      <c r="S66" s="4"/>
      <c r="T66" s="4"/>
      <c r="U66" s="4"/>
      <c r="V66" s="4"/>
      <c r="W66" s="4"/>
      <c r="X66" s="4"/>
      <c r="Y66" s="4"/>
      <c r="Z66" s="4"/>
      <c r="AA66" s="4"/>
      <c r="AB66" s="4"/>
      <c r="AC66" s="4"/>
      <c r="AD66" s="4"/>
      <c r="AE66" s="4"/>
      <c r="AF66" s="4"/>
      <c r="AG66" s="4"/>
      <c r="AH66" s="4"/>
      <c r="AI66" s="4"/>
      <c r="AJ66" s="4"/>
      <c r="AK66" s="4"/>
      <c r="AL66" s="4"/>
      <c r="AM66" s="4"/>
      <c r="AN66" s="4"/>
    </row>
    <row r="67" spans="1:40" x14ac:dyDescent="0.25">
      <c r="B67" s="45"/>
      <c r="C67" s="8"/>
      <c r="D67" s="49"/>
      <c r="E67" s="55"/>
      <c r="F67" s="19"/>
      <c r="G67" s="18"/>
      <c r="H67" s="18"/>
      <c r="I67" s="4"/>
      <c r="J67" s="4"/>
      <c r="K67" s="4"/>
      <c r="L67" s="4"/>
      <c r="M67" s="4"/>
      <c r="N67" s="4"/>
      <c r="O67" s="4"/>
      <c r="P67" s="4"/>
      <c r="Q67" s="4"/>
      <c r="R67" s="4"/>
      <c r="S67" s="4"/>
      <c r="T67" s="4"/>
      <c r="U67" s="4"/>
      <c r="V67" s="4"/>
      <c r="W67" s="4"/>
      <c r="X67" s="4"/>
      <c r="Y67" s="4"/>
      <c r="Z67" s="4"/>
      <c r="AA67" s="4"/>
      <c r="AB67" s="4"/>
      <c r="AC67" s="4"/>
      <c r="AD67" s="4"/>
      <c r="AE67" s="4"/>
      <c r="AF67" s="4"/>
      <c r="AG67" s="4"/>
      <c r="AH67" s="4"/>
      <c r="AI67" s="4"/>
      <c r="AJ67" s="4"/>
      <c r="AK67" s="4"/>
      <c r="AL67" s="4"/>
      <c r="AM67" s="4"/>
      <c r="AN67" s="4"/>
    </row>
    <row r="68" spans="1:40" x14ac:dyDescent="0.25">
      <c r="B68" s="45"/>
      <c r="C68" s="8"/>
      <c r="D68" s="49"/>
      <c r="E68" s="58"/>
      <c r="F68" s="29" t="s">
        <v>8</v>
      </c>
      <c r="G68" s="18" t="s">
        <v>6</v>
      </c>
      <c r="H68" s="18" t="s">
        <v>7</v>
      </c>
      <c r="I68" s="4"/>
      <c r="J68" s="4"/>
      <c r="K68" s="4"/>
      <c r="L68" s="4"/>
      <c r="M68" s="4"/>
      <c r="N68" s="4"/>
      <c r="O68" s="4"/>
      <c r="P68" s="4"/>
      <c r="Q68" s="4"/>
      <c r="R68" s="4"/>
      <c r="S68" s="4"/>
      <c r="T68" s="4"/>
      <c r="U68" s="4"/>
      <c r="V68" s="4"/>
      <c r="W68" s="4"/>
      <c r="X68" s="4"/>
      <c r="Y68" s="4"/>
      <c r="Z68" s="4"/>
      <c r="AA68" s="4"/>
      <c r="AB68" s="4"/>
      <c r="AC68" s="4"/>
      <c r="AD68" s="4"/>
      <c r="AE68" s="4"/>
      <c r="AF68" s="4"/>
      <c r="AG68" s="4"/>
      <c r="AH68" s="4"/>
      <c r="AI68" s="4"/>
      <c r="AJ68" s="4"/>
      <c r="AK68" s="4"/>
      <c r="AL68" s="4"/>
      <c r="AM68" s="4"/>
      <c r="AN68" s="4"/>
    </row>
    <row r="69" spans="1:40" ht="19.5" x14ac:dyDescent="0.25">
      <c r="B69" s="45"/>
      <c r="C69" s="89"/>
      <c r="D69" s="170"/>
      <c r="E69" s="170"/>
      <c r="F69" s="30" t="str">
        <f>IF(E67="comprobar",H64+H58+H52+H46+H40+H34+H28+H22+H16+H10,"")</f>
        <v/>
      </c>
      <c r="G69" s="18">
        <f>10/2</f>
        <v>5</v>
      </c>
      <c r="H69" s="18"/>
      <c r="I69" s="4"/>
      <c r="J69" s="4"/>
      <c r="K69" s="4"/>
      <c r="L69" s="4"/>
      <c r="M69" s="4"/>
      <c r="N69" s="4"/>
      <c r="O69" s="4"/>
      <c r="P69" s="4"/>
      <c r="Q69" s="4"/>
      <c r="R69" s="4"/>
      <c r="S69" s="4"/>
      <c r="T69" s="4"/>
      <c r="U69" s="4"/>
      <c r="V69" s="4"/>
      <c r="W69" s="4"/>
      <c r="X69" s="4"/>
      <c r="Y69" s="4"/>
      <c r="Z69" s="4"/>
      <c r="AA69" s="4"/>
      <c r="AB69" s="4"/>
      <c r="AC69" s="4"/>
      <c r="AD69" s="4"/>
      <c r="AE69" s="4"/>
      <c r="AF69" s="4"/>
      <c r="AG69" s="4"/>
      <c r="AH69" s="4"/>
      <c r="AI69" s="4"/>
      <c r="AJ69" s="4"/>
      <c r="AK69" s="4"/>
      <c r="AL69" s="4"/>
      <c r="AM69" s="4"/>
      <c r="AN69" s="4"/>
    </row>
    <row r="70" spans="1:40" ht="16.5" thickBot="1" x14ac:dyDescent="0.3">
      <c r="B70" s="46"/>
      <c r="C70" s="31"/>
      <c r="D70" s="32"/>
      <c r="E70" s="56"/>
      <c r="F70" s="33" t="str">
        <f>IF(F69&gt;G69,G68,H68)</f>
        <v>APROBADO</v>
      </c>
      <c r="G70" s="18"/>
      <c r="H70" s="18"/>
      <c r="I70" s="4"/>
      <c r="J70" s="4"/>
      <c r="K70" s="4"/>
      <c r="L70" s="4"/>
      <c r="M70" s="4"/>
      <c r="N70" s="4"/>
      <c r="O70" s="4"/>
      <c r="P70" s="4"/>
      <c r="Q70" s="4"/>
      <c r="R70" s="4"/>
      <c r="S70" s="4"/>
      <c r="T70" s="4"/>
      <c r="U70" s="4"/>
      <c r="V70" s="4"/>
      <c r="W70" s="4"/>
      <c r="X70" s="4"/>
      <c r="Y70" s="4"/>
      <c r="Z70" s="4"/>
      <c r="AA70" s="4"/>
      <c r="AB70" s="4"/>
      <c r="AC70" s="4"/>
      <c r="AD70" s="4"/>
      <c r="AE70" s="4"/>
      <c r="AF70" s="4"/>
      <c r="AG70" s="4"/>
      <c r="AH70" s="4"/>
      <c r="AI70" s="4"/>
      <c r="AJ70" s="4"/>
      <c r="AK70" s="4"/>
      <c r="AL70" s="4"/>
      <c r="AM70" s="4"/>
      <c r="AN70" s="4"/>
    </row>
    <row r="71" spans="1:40" ht="28.5" x14ac:dyDescent="0.45">
      <c r="B71" s="62" t="s">
        <v>17</v>
      </c>
      <c r="C71" s="168" t="s">
        <v>114</v>
      </c>
      <c r="D71" s="168"/>
      <c r="E71" s="168"/>
      <c r="F71" s="169"/>
      <c r="G71" s="18"/>
      <c r="H71" s="18"/>
      <c r="I71" s="4"/>
      <c r="J71" s="4"/>
      <c r="K71" s="4"/>
      <c r="L71" s="4"/>
      <c r="M71" s="4"/>
      <c r="N71" s="4"/>
      <c r="O71" s="4"/>
      <c r="P71" s="4"/>
      <c r="Q71" s="4"/>
      <c r="R71" s="4"/>
      <c r="S71" s="4"/>
      <c r="T71" s="4"/>
      <c r="U71" s="4"/>
      <c r="V71" s="4"/>
      <c r="W71" s="4"/>
      <c r="X71" s="4"/>
      <c r="Y71" s="4"/>
      <c r="Z71" s="4"/>
      <c r="AA71" s="4"/>
      <c r="AB71" s="4"/>
      <c r="AC71" s="4"/>
      <c r="AD71" s="4"/>
      <c r="AE71" s="4"/>
      <c r="AF71" s="4"/>
      <c r="AG71" s="4"/>
      <c r="AH71" s="4"/>
      <c r="AI71" s="4"/>
      <c r="AJ71" s="4"/>
      <c r="AK71" s="4"/>
      <c r="AL71" s="4"/>
      <c r="AM71" s="4"/>
      <c r="AN71" s="4"/>
    </row>
    <row r="72" spans="1:40" s="16" customFormat="1" x14ac:dyDescent="0.25">
      <c r="A72" s="4"/>
      <c r="B72" s="86" t="s">
        <v>64</v>
      </c>
      <c r="C72" s="88" t="s">
        <v>614</v>
      </c>
      <c r="D72" s="40"/>
      <c r="E72" s="53"/>
      <c r="F72" s="28"/>
      <c r="G72" s="14"/>
      <c r="H72" s="14"/>
    </row>
    <row r="73" spans="1:40" x14ac:dyDescent="0.25">
      <c r="B73" s="87" t="s">
        <v>15</v>
      </c>
      <c r="C73" s="141" t="s">
        <v>58</v>
      </c>
      <c r="D73" s="39"/>
      <c r="E73" s="54" t="s">
        <v>9</v>
      </c>
      <c r="F73" s="26"/>
      <c r="G73" s="18"/>
      <c r="H73" s="20" t="b">
        <f>IF(D75="x",H$2,H$1)</f>
        <v>0</v>
      </c>
      <c r="I73" s="4"/>
      <c r="J73" s="4"/>
      <c r="K73" s="4"/>
      <c r="L73" s="4"/>
      <c r="M73" s="4"/>
      <c r="N73" s="4"/>
      <c r="O73" s="4"/>
      <c r="P73" s="4"/>
      <c r="Q73" s="4"/>
      <c r="R73" s="4"/>
      <c r="S73" s="4"/>
      <c r="T73" s="4"/>
      <c r="U73" s="4"/>
      <c r="V73" s="4"/>
      <c r="W73" s="4"/>
      <c r="X73" s="4"/>
      <c r="Y73" s="4"/>
      <c r="Z73" s="4"/>
      <c r="AA73" s="4"/>
      <c r="AB73" s="4"/>
      <c r="AC73" s="4"/>
      <c r="AD73" s="4"/>
      <c r="AE73" s="4"/>
      <c r="AF73" s="4"/>
      <c r="AG73" s="4"/>
      <c r="AH73" s="4"/>
      <c r="AI73" s="4"/>
      <c r="AJ73" s="4"/>
      <c r="AK73" s="4"/>
      <c r="AL73" s="4"/>
      <c r="AM73" s="4"/>
      <c r="AN73" s="4"/>
    </row>
    <row r="74" spans="1:40" x14ac:dyDescent="0.25">
      <c r="B74" s="87" t="s">
        <v>15</v>
      </c>
      <c r="C74" s="141" t="s">
        <v>59</v>
      </c>
      <c r="D74" s="39"/>
      <c r="E74" s="54" t="s">
        <v>10</v>
      </c>
      <c r="F74" s="21" t="str">
        <f>IF(H75=1,IF(H73=H$2,H73,""),"")</f>
        <v/>
      </c>
      <c r="G74" s="18"/>
      <c r="H74" s="20" t="str">
        <f>IF(E$132="comprobar",COUNTIF(D73:D77,"x"),"")</f>
        <v/>
      </c>
      <c r="I74" s="4"/>
      <c r="J74" s="4"/>
      <c r="K74" s="4"/>
      <c r="L74" s="4"/>
      <c r="M74" s="4"/>
      <c r="N74" s="4"/>
      <c r="O74" s="4"/>
      <c r="P74" s="4"/>
      <c r="Q74" s="4"/>
      <c r="R74" s="4"/>
      <c r="S74" s="4"/>
      <c r="T74" s="4"/>
      <c r="U74" s="4"/>
      <c r="V74" s="4"/>
      <c r="W74" s="4"/>
      <c r="X74" s="4"/>
      <c r="Y74" s="4"/>
      <c r="Z74" s="4"/>
      <c r="AA74" s="4"/>
      <c r="AB74" s="4"/>
      <c r="AC74" s="4"/>
      <c r="AD74" s="4"/>
      <c r="AE74" s="4"/>
      <c r="AF74" s="4"/>
      <c r="AG74" s="4"/>
      <c r="AH74" s="4"/>
      <c r="AI74" s="4"/>
      <c r="AJ74" s="4"/>
      <c r="AK74" s="4"/>
      <c r="AL74" s="4"/>
      <c r="AM74" s="4"/>
      <c r="AN74" s="4"/>
    </row>
    <row r="75" spans="1:40" x14ac:dyDescent="0.25">
      <c r="B75" s="87" t="s">
        <v>15</v>
      </c>
      <c r="C75" s="141" t="s">
        <v>60</v>
      </c>
      <c r="D75" s="39"/>
      <c r="E75" s="54" t="s">
        <v>11</v>
      </c>
      <c r="F75" s="22" t="str">
        <f>IF(H75=-0.33,IF(H73=H$1,H73,""),"")</f>
        <v/>
      </c>
      <c r="G75" s="18"/>
      <c r="H75" s="23">
        <f>IF(H74=1,IF(H73=H$2,1,-0.33),0)</f>
        <v>0</v>
      </c>
      <c r="I75" s="4"/>
      <c r="J75" s="4"/>
      <c r="K75" s="4"/>
      <c r="L75" s="4"/>
      <c r="M75" s="4"/>
      <c r="N75" s="4"/>
      <c r="O75" s="4"/>
      <c r="P75" s="4"/>
      <c r="Q75" s="4"/>
      <c r="R75" s="4"/>
      <c r="S75" s="4"/>
      <c r="T75" s="4"/>
      <c r="U75" s="4"/>
      <c r="V75" s="4"/>
      <c r="W75" s="4"/>
      <c r="X75" s="4"/>
      <c r="Y75" s="4"/>
      <c r="Z75" s="4"/>
      <c r="AA75" s="4"/>
      <c r="AB75" s="4"/>
      <c r="AC75" s="4"/>
      <c r="AD75" s="4"/>
      <c r="AE75" s="4"/>
      <c r="AF75" s="4"/>
      <c r="AG75" s="4"/>
      <c r="AH75" s="4"/>
      <c r="AI75" s="4"/>
      <c r="AJ75" s="4"/>
      <c r="AK75" s="4"/>
      <c r="AL75" s="4"/>
      <c r="AM75" s="4"/>
      <c r="AN75" s="4"/>
    </row>
    <row r="76" spans="1:40" x14ac:dyDescent="0.25">
      <c r="B76" s="87" t="s">
        <v>15</v>
      </c>
      <c r="C76" s="141" t="s">
        <v>61</v>
      </c>
      <c r="D76" s="39"/>
      <c r="E76" s="54" t="s">
        <v>12</v>
      </c>
      <c r="F76" s="26"/>
      <c r="G76" s="18"/>
      <c r="H76" s="23"/>
      <c r="I76" s="4"/>
      <c r="J76" s="4"/>
      <c r="K76" s="4"/>
      <c r="L76" s="4"/>
      <c r="M76" s="4"/>
      <c r="N76" s="4"/>
      <c r="O76" s="4"/>
      <c r="P76" s="4"/>
      <c r="Q76" s="4"/>
      <c r="R76" s="4"/>
      <c r="S76" s="4"/>
      <c r="T76" s="4"/>
      <c r="U76" s="4"/>
      <c r="V76" s="4"/>
      <c r="W76" s="4"/>
      <c r="X76" s="4"/>
      <c r="Y76" s="4"/>
      <c r="Z76" s="4"/>
      <c r="AA76" s="4"/>
      <c r="AB76" s="4"/>
      <c r="AC76" s="4"/>
      <c r="AD76" s="4"/>
      <c r="AE76" s="4"/>
      <c r="AF76" s="4"/>
      <c r="AG76" s="4"/>
      <c r="AH76" s="4"/>
      <c r="AI76" s="4"/>
      <c r="AJ76" s="4"/>
      <c r="AK76" s="4"/>
      <c r="AL76" s="4"/>
      <c r="AM76" s="4"/>
      <c r="AN76" s="4"/>
    </row>
    <row r="77" spans="1:40" x14ac:dyDescent="0.25">
      <c r="B77" s="65"/>
      <c r="C77" s="66"/>
      <c r="D77" s="39"/>
      <c r="E77" s="54" t="s">
        <v>13</v>
      </c>
      <c r="F77" s="19"/>
      <c r="G77" s="18"/>
      <c r="H77" s="23"/>
      <c r="I77" s="4"/>
      <c r="J77" s="4"/>
      <c r="K77" s="4"/>
      <c r="L77" s="4"/>
      <c r="M77" s="4"/>
      <c r="N77" s="4"/>
      <c r="O77" s="4"/>
      <c r="P77" s="4"/>
      <c r="Q77" s="4"/>
      <c r="R77" s="4"/>
      <c r="S77" s="4"/>
      <c r="T77" s="4"/>
      <c r="U77" s="4"/>
      <c r="V77" s="4"/>
      <c r="W77" s="4"/>
      <c r="X77" s="4"/>
      <c r="Y77" s="4"/>
      <c r="Z77" s="4"/>
      <c r="AA77" s="4"/>
      <c r="AB77" s="4"/>
      <c r="AC77" s="4"/>
      <c r="AD77" s="4"/>
      <c r="AE77" s="4"/>
      <c r="AF77" s="4"/>
      <c r="AG77" s="4"/>
      <c r="AH77" s="4"/>
      <c r="AI77" s="4"/>
      <c r="AJ77" s="4"/>
      <c r="AK77" s="4"/>
      <c r="AL77" s="4"/>
      <c r="AM77" s="4"/>
      <c r="AN77" s="4"/>
    </row>
    <row r="78" spans="1:40" s="34" customFormat="1" x14ac:dyDescent="0.25">
      <c r="A78" s="4"/>
      <c r="B78" s="86" t="s">
        <v>62</v>
      </c>
      <c r="C78" s="88" t="s">
        <v>63</v>
      </c>
      <c r="D78" s="40"/>
      <c r="E78" s="53"/>
      <c r="F78" s="28"/>
      <c r="G78" s="14"/>
      <c r="H78" s="14"/>
    </row>
    <row r="79" spans="1:40" x14ac:dyDescent="0.25">
      <c r="B79" s="87" t="s">
        <v>15</v>
      </c>
      <c r="C79" t="s">
        <v>65</v>
      </c>
      <c r="D79" s="39"/>
      <c r="E79" s="54" t="s">
        <v>9</v>
      </c>
      <c r="F79" s="26"/>
      <c r="G79" s="18"/>
      <c r="H79" s="20" t="b">
        <f>IF(D80="x",H$2,H$1)</f>
        <v>0</v>
      </c>
      <c r="I79" s="4"/>
      <c r="J79" s="4"/>
      <c r="K79" s="4"/>
      <c r="L79" s="4"/>
      <c r="M79" s="4"/>
      <c r="N79" s="4"/>
      <c r="O79" s="4"/>
      <c r="P79" s="4"/>
      <c r="Q79" s="4"/>
      <c r="R79" s="4"/>
      <c r="S79" s="4"/>
      <c r="T79" s="4"/>
      <c r="U79" s="4"/>
      <c r="V79" s="4"/>
      <c r="W79" s="4"/>
      <c r="X79" s="4"/>
      <c r="Y79" s="4"/>
      <c r="Z79" s="4"/>
      <c r="AA79" s="4"/>
      <c r="AB79" s="4"/>
      <c r="AC79" s="4"/>
      <c r="AD79" s="4"/>
      <c r="AE79" s="4"/>
      <c r="AF79" s="4"/>
      <c r="AG79" s="4"/>
      <c r="AH79" s="4"/>
      <c r="AI79" s="4"/>
      <c r="AJ79" s="4"/>
      <c r="AK79" s="4"/>
      <c r="AL79" s="4"/>
      <c r="AM79" s="4"/>
      <c r="AN79" s="4"/>
    </row>
    <row r="80" spans="1:40" x14ac:dyDescent="0.25">
      <c r="B80" s="87" t="s">
        <v>15</v>
      </c>
      <c r="C80" s="91" t="s">
        <v>66</v>
      </c>
      <c r="D80" s="39"/>
      <c r="E80" s="54" t="s">
        <v>10</v>
      </c>
      <c r="F80" s="21" t="str">
        <f>IF(H81=1,IF(H79=H$2,H79,""),"")</f>
        <v/>
      </c>
      <c r="G80" s="18"/>
      <c r="H80" s="20" t="str">
        <f>IF(E$132="comprobar",COUNTIF(D79:D83,"x"),"")</f>
        <v/>
      </c>
      <c r="I80" s="4"/>
      <c r="J80" s="4"/>
      <c r="K80" s="4"/>
      <c r="L80" s="4"/>
      <c r="M80" s="4"/>
      <c r="N80" s="4"/>
      <c r="O80" s="4"/>
      <c r="P80" s="4"/>
      <c r="Q80" s="4"/>
      <c r="R80" s="4"/>
      <c r="S80" s="4"/>
      <c r="T80" s="4"/>
      <c r="U80" s="4"/>
      <c r="V80" s="4"/>
      <c r="W80" s="4"/>
      <c r="X80" s="4"/>
      <c r="Y80" s="4"/>
      <c r="Z80" s="4"/>
      <c r="AA80" s="4"/>
      <c r="AB80" s="4"/>
      <c r="AC80" s="4"/>
      <c r="AD80" s="4"/>
      <c r="AE80" s="4"/>
      <c r="AF80" s="4"/>
      <c r="AG80" s="4"/>
      <c r="AH80" s="4"/>
      <c r="AI80" s="4"/>
      <c r="AJ80" s="4"/>
      <c r="AK80" s="4"/>
      <c r="AL80" s="4"/>
      <c r="AM80" s="4"/>
      <c r="AN80" s="4"/>
    </row>
    <row r="81" spans="1:40" x14ac:dyDescent="0.25">
      <c r="B81" s="87" t="s">
        <v>15</v>
      </c>
      <c r="C81" s="91" t="s">
        <v>67</v>
      </c>
      <c r="D81" s="39"/>
      <c r="E81" s="54" t="s">
        <v>11</v>
      </c>
      <c r="F81" s="22" t="str">
        <f>IF(H81=-0.33,IF(H79=H$1,H79,""),"")</f>
        <v/>
      </c>
      <c r="G81" s="18"/>
      <c r="H81" s="23">
        <f t="shared" ref="H81" si="1">IF(H80=1,IF(H79=H$2,1,-0.33),0)</f>
        <v>0</v>
      </c>
      <c r="I81" s="4"/>
      <c r="J81" s="4"/>
      <c r="K81" s="4"/>
      <c r="L81" s="4"/>
      <c r="M81" s="4"/>
      <c r="N81" s="4"/>
      <c r="O81" s="4"/>
      <c r="P81" s="4"/>
      <c r="Q81" s="4"/>
      <c r="R81" s="4"/>
      <c r="S81" s="4"/>
      <c r="T81" s="4"/>
      <c r="U81" s="4"/>
      <c r="V81" s="4"/>
      <c r="W81" s="4"/>
      <c r="X81" s="4"/>
      <c r="Y81" s="4"/>
      <c r="Z81" s="4"/>
      <c r="AA81" s="4"/>
      <c r="AB81" s="4"/>
      <c r="AC81" s="4"/>
      <c r="AD81" s="4"/>
      <c r="AE81" s="4"/>
      <c r="AF81" s="4"/>
      <c r="AG81" s="4"/>
      <c r="AH81" s="4"/>
      <c r="AI81" s="4"/>
      <c r="AJ81" s="4"/>
      <c r="AK81" s="4"/>
      <c r="AL81" s="4"/>
      <c r="AM81" s="4"/>
      <c r="AN81" s="4"/>
    </row>
    <row r="82" spans="1:40" x14ac:dyDescent="0.25">
      <c r="B82" s="87" t="s">
        <v>15</v>
      </c>
      <c r="C82" s="91" t="s">
        <v>68</v>
      </c>
      <c r="D82" s="39"/>
      <c r="E82" s="54" t="s">
        <v>12</v>
      </c>
      <c r="F82" s="26"/>
      <c r="G82" s="18"/>
      <c r="H82" s="23"/>
      <c r="I82" s="4"/>
      <c r="J82" s="4"/>
      <c r="K82" s="4"/>
      <c r="L82" s="4"/>
      <c r="M82" s="4"/>
      <c r="N82" s="4"/>
      <c r="O82" s="4"/>
      <c r="P82" s="4"/>
      <c r="Q82" s="4"/>
      <c r="R82" s="4"/>
      <c r="S82" s="4"/>
      <c r="T82" s="4"/>
      <c r="U82" s="4"/>
      <c r="V82" s="4"/>
      <c r="W82" s="4"/>
      <c r="X82" s="4"/>
      <c r="Y82" s="4"/>
      <c r="Z82" s="4"/>
      <c r="AA82" s="4"/>
      <c r="AB82" s="4"/>
      <c r="AC82" s="4"/>
      <c r="AD82" s="4"/>
      <c r="AE82" s="4"/>
      <c r="AF82" s="4"/>
      <c r="AG82" s="4"/>
      <c r="AH82" s="4"/>
      <c r="AI82" s="4"/>
      <c r="AJ82" s="4"/>
      <c r="AK82" s="4"/>
      <c r="AL82" s="4"/>
      <c r="AM82" s="4"/>
      <c r="AN82" s="4"/>
    </row>
    <row r="83" spans="1:40" x14ac:dyDescent="0.25">
      <c r="B83" s="65"/>
      <c r="C83" s="66"/>
      <c r="D83" s="39"/>
      <c r="E83" s="54" t="s">
        <v>13</v>
      </c>
      <c r="F83" s="19"/>
      <c r="G83" s="18"/>
      <c r="H83" s="23"/>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row>
    <row r="84" spans="1:40" s="34" customFormat="1" x14ac:dyDescent="0.25">
      <c r="A84" s="139"/>
      <c r="B84" s="86" t="s">
        <v>69</v>
      </c>
      <c r="C84" s="88" t="s">
        <v>70</v>
      </c>
      <c r="D84" s="59"/>
      <c r="E84" s="57"/>
      <c r="F84" s="51"/>
      <c r="G84" s="48"/>
      <c r="H84" s="48"/>
    </row>
    <row r="85" spans="1:40" x14ac:dyDescent="0.25">
      <c r="B85" s="87" t="s">
        <v>15</v>
      </c>
      <c r="C85" s="91" t="s">
        <v>71</v>
      </c>
      <c r="D85" s="39"/>
      <c r="E85" s="54" t="s">
        <v>9</v>
      </c>
      <c r="F85" s="26"/>
      <c r="G85" s="18"/>
      <c r="H85" s="20" t="b">
        <f>IF(D85="x",H$2,H$1)</f>
        <v>0</v>
      </c>
      <c r="I85" s="4"/>
      <c r="J85" s="4"/>
      <c r="K85" s="4"/>
      <c r="L85" s="4"/>
      <c r="M85" s="4"/>
      <c r="N85" s="4"/>
      <c r="O85" s="4"/>
      <c r="P85" s="4"/>
      <c r="Q85" s="4"/>
      <c r="R85" s="4"/>
      <c r="S85" s="4"/>
      <c r="T85" s="4"/>
      <c r="U85" s="4"/>
      <c r="V85" s="4"/>
      <c r="W85" s="4"/>
      <c r="X85" s="4"/>
      <c r="Y85" s="4"/>
      <c r="Z85" s="4"/>
      <c r="AA85" s="4"/>
      <c r="AB85" s="4"/>
      <c r="AC85" s="4"/>
      <c r="AD85" s="4"/>
      <c r="AE85" s="4"/>
      <c r="AF85" s="4"/>
      <c r="AG85" s="4"/>
      <c r="AH85" s="4"/>
      <c r="AI85" s="4"/>
      <c r="AJ85" s="4"/>
      <c r="AK85" s="4"/>
      <c r="AL85" s="4"/>
      <c r="AM85" s="4"/>
      <c r="AN85" s="4"/>
    </row>
    <row r="86" spans="1:40" x14ac:dyDescent="0.25">
      <c r="B86" s="87" t="s">
        <v>15</v>
      </c>
      <c r="C86" s="91" t="s">
        <v>72</v>
      </c>
      <c r="D86" s="39"/>
      <c r="E86" s="54" t="s">
        <v>10</v>
      </c>
      <c r="F86" s="21" t="str">
        <f>IF(H87=1,IF(H85=H$2,H85,""),"")</f>
        <v/>
      </c>
      <c r="G86" s="18"/>
      <c r="H86" s="20" t="str">
        <f>IF(E$132="comprobar",COUNTIF(D85:D89,"x"),"")</f>
        <v/>
      </c>
      <c r="I86" s="4"/>
      <c r="J86" s="4"/>
      <c r="K86" s="4"/>
      <c r="L86" s="4"/>
      <c r="M86" s="4"/>
      <c r="N86" s="4"/>
      <c r="O86" s="4"/>
      <c r="P86" s="4"/>
      <c r="Q86" s="4"/>
      <c r="R86" s="4"/>
      <c r="S86" s="4"/>
      <c r="T86" s="4"/>
      <c r="U86" s="4"/>
      <c r="V86" s="4"/>
      <c r="W86" s="4"/>
      <c r="X86" s="4"/>
      <c r="Y86" s="4"/>
      <c r="Z86" s="4"/>
      <c r="AA86" s="4"/>
      <c r="AB86" s="4"/>
      <c r="AC86" s="4"/>
      <c r="AD86" s="4"/>
      <c r="AE86" s="4"/>
      <c r="AF86" s="4"/>
      <c r="AG86" s="4"/>
      <c r="AH86" s="4"/>
      <c r="AI86" s="4"/>
      <c r="AJ86" s="4"/>
      <c r="AK86" s="4"/>
      <c r="AL86" s="4"/>
      <c r="AM86" s="4"/>
      <c r="AN86" s="4"/>
    </row>
    <row r="87" spans="1:40" x14ac:dyDescent="0.25">
      <c r="B87" s="87" t="s">
        <v>15</v>
      </c>
      <c r="C87" s="91" t="s">
        <v>73</v>
      </c>
      <c r="D87" s="39"/>
      <c r="E87" s="54" t="s">
        <v>11</v>
      </c>
      <c r="F87" s="22" t="str">
        <f>IF(H87=-0.33,IF(H85=H$1,H85,""),"")</f>
        <v/>
      </c>
      <c r="G87" s="18"/>
      <c r="H87" s="23">
        <f t="shared" ref="H87" si="2">IF(H86=1,IF(H85=H$2,1,-0.33),0)</f>
        <v>0</v>
      </c>
      <c r="I87" s="4"/>
      <c r="J87" s="4"/>
      <c r="K87" s="4"/>
      <c r="L87" s="4"/>
      <c r="M87" s="4"/>
      <c r="N87" s="4"/>
      <c r="O87" s="4"/>
      <c r="P87" s="4"/>
      <c r="Q87" s="4"/>
      <c r="R87" s="4"/>
      <c r="S87" s="4"/>
      <c r="T87" s="4"/>
      <c r="U87" s="4"/>
      <c r="V87" s="4"/>
      <c r="W87" s="4"/>
      <c r="X87" s="4"/>
      <c r="Y87" s="4"/>
      <c r="Z87" s="4"/>
      <c r="AA87" s="4"/>
      <c r="AB87" s="4"/>
      <c r="AC87" s="4"/>
      <c r="AD87" s="4"/>
      <c r="AE87" s="4"/>
      <c r="AF87" s="4"/>
      <c r="AG87" s="4"/>
      <c r="AH87" s="4"/>
      <c r="AI87" s="4"/>
      <c r="AJ87" s="4"/>
      <c r="AK87" s="4"/>
      <c r="AL87" s="4"/>
      <c r="AM87" s="4"/>
      <c r="AN87" s="4"/>
    </row>
    <row r="88" spans="1:40" x14ac:dyDescent="0.25">
      <c r="B88" s="87" t="s">
        <v>15</v>
      </c>
      <c r="C88" s="91" t="s">
        <v>74</v>
      </c>
      <c r="D88" s="39"/>
      <c r="E88" s="54" t="s">
        <v>12</v>
      </c>
      <c r="F88" s="26"/>
      <c r="G88" s="18"/>
      <c r="H88" s="23"/>
      <c r="I88" s="4"/>
      <c r="J88" s="4"/>
      <c r="K88" s="4"/>
      <c r="L88" s="4"/>
      <c r="M88" s="4"/>
      <c r="N88" s="4"/>
      <c r="O88" s="4"/>
      <c r="P88" s="4"/>
      <c r="Q88" s="4"/>
      <c r="R88" s="4"/>
      <c r="S88" s="4"/>
      <c r="T88" s="4"/>
      <c r="U88" s="4"/>
      <c r="V88" s="4"/>
      <c r="W88" s="4"/>
      <c r="X88" s="4"/>
      <c r="Y88" s="4"/>
      <c r="Z88" s="4"/>
      <c r="AA88" s="4"/>
      <c r="AB88" s="4"/>
      <c r="AC88" s="4"/>
      <c r="AD88" s="4"/>
      <c r="AE88" s="4"/>
      <c r="AF88" s="4"/>
      <c r="AG88" s="4"/>
      <c r="AH88" s="4"/>
      <c r="AI88" s="4"/>
      <c r="AJ88" s="4"/>
      <c r="AK88" s="4"/>
      <c r="AL88" s="4"/>
      <c r="AM88" s="4"/>
      <c r="AN88" s="4"/>
    </row>
    <row r="89" spans="1:40" x14ac:dyDescent="0.25">
      <c r="B89" s="65"/>
      <c r="C89" s="66"/>
      <c r="D89" s="39"/>
      <c r="E89" s="54" t="s">
        <v>13</v>
      </c>
      <c r="F89" s="19"/>
      <c r="G89" s="18"/>
      <c r="H89" s="23"/>
      <c r="I89" s="4"/>
      <c r="J89" s="4"/>
      <c r="K89" s="4"/>
      <c r="L89" s="4"/>
      <c r="M89" s="4"/>
      <c r="N89" s="4"/>
      <c r="O89" s="4"/>
      <c r="P89" s="4"/>
      <c r="Q89" s="4"/>
      <c r="R89" s="4"/>
      <c r="S89" s="4"/>
      <c r="T89" s="4"/>
      <c r="U89" s="4"/>
      <c r="V89" s="4"/>
      <c r="W89" s="4"/>
      <c r="X89" s="4"/>
      <c r="Y89" s="4"/>
      <c r="Z89" s="4"/>
      <c r="AA89" s="4"/>
      <c r="AB89" s="4"/>
      <c r="AC89" s="4"/>
      <c r="AD89" s="4"/>
      <c r="AE89" s="4"/>
      <c r="AF89" s="4"/>
      <c r="AG89" s="4"/>
      <c r="AH89" s="4"/>
      <c r="AI89" s="4"/>
      <c r="AJ89" s="4"/>
      <c r="AK89" s="4"/>
      <c r="AL89" s="4"/>
      <c r="AM89" s="4"/>
      <c r="AN89" s="4"/>
    </row>
    <row r="90" spans="1:40" s="16" customFormat="1" x14ac:dyDescent="0.25">
      <c r="A90" s="4"/>
      <c r="B90" s="86" t="s">
        <v>75</v>
      </c>
      <c r="C90" s="88" t="s">
        <v>615</v>
      </c>
      <c r="D90" s="40"/>
      <c r="E90" s="53"/>
      <c r="F90" s="28"/>
      <c r="G90" s="14"/>
      <c r="H90" s="14"/>
    </row>
    <row r="91" spans="1:40" x14ac:dyDescent="0.25">
      <c r="B91" s="87" t="s">
        <v>15</v>
      </c>
      <c r="C91" s="91" t="s">
        <v>76</v>
      </c>
      <c r="D91" s="39"/>
      <c r="E91" s="54" t="s">
        <v>9</v>
      </c>
      <c r="F91" s="26"/>
      <c r="G91" s="18"/>
      <c r="H91" s="20" t="b">
        <f>IF(D94="x",H$2,H$1)</f>
        <v>0</v>
      </c>
      <c r="I91" s="4"/>
      <c r="J91" s="4"/>
      <c r="K91" s="4"/>
      <c r="L91" s="4"/>
      <c r="M91" s="4"/>
      <c r="N91" s="4"/>
      <c r="O91" s="4"/>
      <c r="P91" s="4"/>
      <c r="Q91" s="4"/>
      <c r="R91" s="4"/>
      <c r="S91" s="4"/>
      <c r="T91" s="4"/>
      <c r="U91" s="4"/>
      <c r="V91" s="4"/>
      <c r="W91" s="4"/>
      <c r="X91" s="4"/>
      <c r="Y91" s="4"/>
      <c r="Z91" s="4"/>
      <c r="AA91" s="4"/>
      <c r="AB91" s="4"/>
      <c r="AC91" s="4"/>
      <c r="AD91" s="4"/>
      <c r="AE91" s="4"/>
      <c r="AF91" s="4"/>
      <c r="AG91" s="4"/>
      <c r="AH91" s="4"/>
      <c r="AI91" s="4"/>
      <c r="AJ91" s="4"/>
      <c r="AK91" s="4"/>
      <c r="AL91" s="4"/>
      <c r="AM91" s="4"/>
      <c r="AN91" s="4"/>
    </row>
    <row r="92" spans="1:40" x14ac:dyDescent="0.25">
      <c r="B92" s="87" t="s">
        <v>15</v>
      </c>
      <c r="C92" s="91" t="s">
        <v>77</v>
      </c>
      <c r="D92" s="39"/>
      <c r="E92" s="54" t="s">
        <v>10</v>
      </c>
      <c r="F92" s="21" t="str">
        <f>IF(H93=1,IF(H91=H$2,H91,""),"")</f>
        <v/>
      </c>
      <c r="G92" s="18"/>
      <c r="H92" s="20" t="str">
        <f>IF(E$132="comprobar",COUNTIF(D91:D95,"x"),"")</f>
        <v/>
      </c>
      <c r="I92" s="4"/>
      <c r="J92" s="4"/>
      <c r="K92" s="4"/>
      <c r="L92" s="4"/>
      <c r="M92" s="4"/>
      <c r="N92" s="4"/>
      <c r="O92" s="4"/>
      <c r="P92" s="4"/>
      <c r="Q92" s="4"/>
      <c r="R92" s="4"/>
      <c r="S92" s="4"/>
      <c r="T92" s="4"/>
      <c r="U92" s="4"/>
      <c r="V92" s="4"/>
      <c r="W92" s="4"/>
      <c r="X92" s="4"/>
      <c r="Y92" s="4"/>
      <c r="Z92" s="4"/>
      <c r="AA92" s="4"/>
      <c r="AB92" s="4"/>
      <c r="AC92" s="4"/>
      <c r="AD92" s="4"/>
      <c r="AE92" s="4"/>
      <c r="AF92" s="4"/>
      <c r="AG92" s="4"/>
      <c r="AH92" s="4"/>
      <c r="AI92" s="4"/>
      <c r="AJ92" s="4"/>
      <c r="AK92" s="4"/>
      <c r="AL92" s="4"/>
      <c r="AM92" s="4"/>
      <c r="AN92" s="4"/>
    </row>
    <row r="93" spans="1:40" x14ac:dyDescent="0.25">
      <c r="B93" s="87" t="s">
        <v>15</v>
      </c>
      <c r="C93" s="91" t="s">
        <v>78</v>
      </c>
      <c r="D93" s="39"/>
      <c r="E93" s="54" t="s">
        <v>11</v>
      </c>
      <c r="F93" s="22" t="str">
        <f>IF(H93=-0.33,IF(H91=H$1,H91,""),"")</f>
        <v/>
      </c>
      <c r="G93" s="18"/>
      <c r="H93" s="23">
        <f t="shared" ref="H93" si="3">IF(H92=1,IF(H91=H$2,1,-0.33),0)</f>
        <v>0</v>
      </c>
      <c r="I93" s="4"/>
      <c r="J93" s="4"/>
      <c r="K93" s="4"/>
      <c r="L93" s="4"/>
      <c r="M93" s="4"/>
      <c r="N93" s="4"/>
      <c r="O93" s="4"/>
      <c r="P93" s="4"/>
      <c r="Q93" s="4"/>
      <c r="R93" s="4"/>
      <c r="S93" s="4"/>
      <c r="T93" s="4"/>
      <c r="U93" s="4"/>
      <c r="V93" s="4"/>
      <c r="W93" s="4"/>
      <c r="X93" s="4"/>
      <c r="Y93" s="4"/>
      <c r="Z93" s="4"/>
      <c r="AA93" s="4"/>
      <c r="AB93" s="4"/>
      <c r="AC93" s="4"/>
      <c r="AD93" s="4"/>
      <c r="AE93" s="4"/>
      <c r="AF93" s="4"/>
      <c r="AG93" s="4"/>
      <c r="AH93" s="4"/>
      <c r="AI93" s="4"/>
      <c r="AJ93" s="4"/>
      <c r="AK93" s="4"/>
      <c r="AL93" s="4"/>
      <c r="AM93" s="4"/>
      <c r="AN93" s="4"/>
    </row>
    <row r="94" spans="1:40" x14ac:dyDescent="0.25">
      <c r="B94" s="87" t="s">
        <v>15</v>
      </c>
      <c r="C94" s="91" t="s">
        <v>79</v>
      </c>
      <c r="D94" s="39"/>
      <c r="E94" s="54" t="s">
        <v>12</v>
      </c>
      <c r="F94" s="26"/>
      <c r="G94" s="18"/>
      <c r="H94" s="23"/>
      <c r="I94" s="4"/>
      <c r="J94" s="4"/>
      <c r="K94" s="4"/>
      <c r="L94" s="4"/>
      <c r="M94" s="4"/>
      <c r="N94" s="4"/>
      <c r="O94" s="4"/>
      <c r="P94" s="4"/>
      <c r="Q94" s="4"/>
      <c r="R94" s="4"/>
      <c r="S94" s="4"/>
      <c r="T94" s="4"/>
      <c r="U94" s="4"/>
      <c r="V94" s="4"/>
      <c r="W94" s="4"/>
      <c r="X94" s="4"/>
      <c r="Y94" s="4"/>
      <c r="Z94" s="4"/>
      <c r="AA94" s="4"/>
      <c r="AB94" s="4"/>
      <c r="AC94" s="4"/>
      <c r="AD94" s="4"/>
      <c r="AE94" s="4"/>
      <c r="AF94" s="4"/>
      <c r="AG94" s="4"/>
      <c r="AH94" s="4"/>
      <c r="AI94" s="4"/>
      <c r="AJ94" s="4"/>
      <c r="AK94" s="4"/>
      <c r="AL94" s="4"/>
      <c r="AM94" s="4"/>
      <c r="AN94" s="4"/>
    </row>
    <row r="95" spans="1:40" x14ac:dyDescent="0.25">
      <c r="B95" s="65"/>
      <c r="C95" s="66"/>
      <c r="D95" s="39"/>
      <c r="E95" s="54" t="s">
        <v>13</v>
      </c>
      <c r="F95" s="19"/>
      <c r="G95" s="18"/>
      <c r="H95" s="23"/>
      <c r="I95" s="4"/>
      <c r="J95" s="4"/>
      <c r="K95" s="4"/>
      <c r="L95" s="4"/>
      <c r="M95" s="4"/>
      <c r="N95" s="4"/>
      <c r="O95" s="4"/>
      <c r="P95" s="4"/>
      <c r="Q95" s="4"/>
      <c r="R95" s="4"/>
      <c r="S95" s="4"/>
      <c r="T95" s="4"/>
      <c r="U95" s="4"/>
      <c r="V95" s="4"/>
      <c r="W95" s="4"/>
      <c r="X95" s="4"/>
      <c r="Y95" s="4"/>
      <c r="Z95" s="4"/>
      <c r="AA95" s="4"/>
      <c r="AB95" s="4"/>
      <c r="AC95" s="4"/>
      <c r="AD95" s="4"/>
      <c r="AE95" s="4"/>
      <c r="AF95" s="4"/>
      <c r="AG95" s="4"/>
      <c r="AH95" s="4"/>
      <c r="AI95" s="4"/>
      <c r="AJ95" s="4"/>
      <c r="AK95" s="4"/>
      <c r="AL95" s="4"/>
      <c r="AM95" s="4"/>
      <c r="AN95" s="4"/>
    </row>
    <row r="96" spans="1:40" s="16" customFormat="1" x14ac:dyDescent="0.25">
      <c r="A96" s="4"/>
      <c r="B96" s="86" t="s">
        <v>80</v>
      </c>
      <c r="C96" s="88" t="s">
        <v>616</v>
      </c>
      <c r="D96" s="40"/>
      <c r="E96" s="53"/>
      <c r="F96" s="28"/>
      <c r="G96" s="14"/>
      <c r="H96" s="14"/>
    </row>
    <row r="97" spans="1:40" x14ac:dyDescent="0.25">
      <c r="B97" s="87" t="s">
        <v>15</v>
      </c>
      <c r="C97" s="64" t="s">
        <v>81</v>
      </c>
      <c r="D97" s="39"/>
      <c r="E97" s="54" t="s">
        <v>9</v>
      </c>
      <c r="F97" s="26"/>
      <c r="G97" s="18"/>
      <c r="H97" s="20" t="b">
        <f>IF(D97="x",H$2,H$1)</f>
        <v>0</v>
      </c>
      <c r="I97" s="4"/>
      <c r="J97" s="4"/>
      <c r="K97" s="4"/>
      <c r="L97" s="4"/>
      <c r="M97" s="4"/>
      <c r="N97" s="4"/>
      <c r="O97" s="4"/>
      <c r="P97" s="4"/>
      <c r="Q97" s="4"/>
      <c r="R97" s="4"/>
      <c r="S97" s="4"/>
      <c r="T97" s="4"/>
      <c r="U97" s="4"/>
      <c r="V97" s="4"/>
      <c r="W97" s="4"/>
      <c r="X97" s="4"/>
      <c r="Y97" s="4"/>
      <c r="Z97" s="4"/>
      <c r="AA97" s="4"/>
      <c r="AB97" s="4"/>
      <c r="AC97" s="4"/>
      <c r="AD97" s="4"/>
      <c r="AE97" s="4"/>
      <c r="AF97" s="4"/>
      <c r="AG97" s="4"/>
      <c r="AH97" s="4"/>
      <c r="AI97" s="4"/>
      <c r="AJ97" s="4"/>
      <c r="AK97" s="4"/>
      <c r="AL97" s="4"/>
      <c r="AM97" s="4"/>
      <c r="AN97" s="4"/>
    </row>
    <row r="98" spans="1:40" x14ac:dyDescent="0.25">
      <c r="B98" s="87" t="s">
        <v>15</v>
      </c>
      <c r="C98" s="64" t="s">
        <v>82</v>
      </c>
      <c r="D98" s="39"/>
      <c r="E98" s="54" t="s">
        <v>10</v>
      </c>
      <c r="F98" s="21" t="str">
        <f>IF(H99=1,IF(H97=H$2,H97,""),"")</f>
        <v/>
      </c>
      <c r="G98" s="18"/>
      <c r="H98" s="20" t="str">
        <f>IF(E$132="comprobar",COUNTIF(D97:D101,"x"),"")</f>
        <v/>
      </c>
      <c r="I98" s="4"/>
      <c r="J98" s="4"/>
      <c r="K98" s="4"/>
      <c r="L98" s="4"/>
      <c r="M98" s="4"/>
      <c r="N98" s="4"/>
      <c r="O98" s="4"/>
      <c r="P98" s="4"/>
      <c r="Q98" s="4"/>
      <c r="R98" s="4"/>
      <c r="S98" s="4"/>
      <c r="T98" s="4"/>
      <c r="U98" s="4"/>
      <c r="V98" s="4"/>
      <c r="W98" s="4"/>
      <c r="X98" s="4"/>
      <c r="Y98" s="4"/>
      <c r="Z98" s="4"/>
      <c r="AA98" s="4"/>
      <c r="AB98" s="4"/>
      <c r="AC98" s="4"/>
      <c r="AD98" s="4"/>
      <c r="AE98" s="4"/>
      <c r="AF98" s="4"/>
      <c r="AG98" s="4"/>
      <c r="AH98" s="4"/>
      <c r="AI98" s="4"/>
      <c r="AJ98" s="4"/>
      <c r="AK98" s="4"/>
      <c r="AL98" s="4"/>
      <c r="AM98" s="4"/>
      <c r="AN98" s="4"/>
    </row>
    <row r="99" spans="1:40" x14ac:dyDescent="0.25">
      <c r="B99" s="87" t="s">
        <v>15</v>
      </c>
      <c r="C99" s="91" t="s">
        <v>83</v>
      </c>
      <c r="D99" s="39"/>
      <c r="E99" s="54" t="s">
        <v>11</v>
      </c>
      <c r="F99" s="22" t="str">
        <f>IF(H99=-0.33,IF(H97=H$1,H97,""),"")</f>
        <v/>
      </c>
      <c r="G99" s="18"/>
      <c r="H99" s="23">
        <f t="shared" ref="H99" si="4">IF(H98=1,IF(H97=H$2,1,-0.33),0)</f>
        <v>0</v>
      </c>
      <c r="I99" s="4"/>
      <c r="J99" s="4"/>
      <c r="K99" s="4"/>
      <c r="L99" s="4"/>
      <c r="M99" s="4"/>
      <c r="N99" s="4"/>
      <c r="O99" s="4"/>
      <c r="P99" s="4"/>
      <c r="Q99" s="4"/>
      <c r="R99" s="4"/>
      <c r="S99" s="4"/>
      <c r="T99" s="4"/>
      <c r="U99" s="4"/>
      <c r="V99" s="4"/>
      <c r="W99" s="4"/>
      <c r="X99" s="4"/>
      <c r="Y99" s="4"/>
      <c r="Z99" s="4"/>
      <c r="AA99" s="4"/>
      <c r="AB99" s="4"/>
      <c r="AC99" s="4"/>
      <c r="AD99" s="4"/>
      <c r="AE99" s="4"/>
      <c r="AF99" s="4"/>
      <c r="AG99" s="4"/>
      <c r="AH99" s="4"/>
      <c r="AI99" s="4"/>
      <c r="AJ99" s="4"/>
      <c r="AK99" s="4"/>
      <c r="AL99" s="4"/>
      <c r="AM99" s="4"/>
      <c r="AN99" s="4"/>
    </row>
    <row r="100" spans="1:40" x14ac:dyDescent="0.25">
      <c r="B100" s="87" t="s">
        <v>15</v>
      </c>
      <c r="C100" s="91" t="s">
        <v>84</v>
      </c>
      <c r="D100" s="39"/>
      <c r="E100" s="54" t="s">
        <v>12</v>
      </c>
      <c r="F100" s="26"/>
      <c r="G100" s="18"/>
      <c r="H100" s="23"/>
      <c r="I100" s="4"/>
      <c r="J100" s="4"/>
      <c r="K100" s="4"/>
      <c r="L100" s="4"/>
      <c r="M100" s="4"/>
      <c r="N100" s="4"/>
      <c r="O100" s="4"/>
      <c r="P100" s="4"/>
      <c r="Q100" s="4"/>
      <c r="R100" s="4"/>
      <c r="S100" s="4"/>
      <c r="T100" s="4"/>
      <c r="U100" s="4"/>
      <c r="V100" s="4"/>
      <c r="W100" s="4"/>
      <c r="X100" s="4"/>
      <c r="Y100" s="4"/>
      <c r="Z100" s="4"/>
      <c r="AA100" s="4"/>
      <c r="AB100" s="4"/>
      <c r="AC100" s="4"/>
      <c r="AD100" s="4"/>
      <c r="AE100" s="4"/>
      <c r="AF100" s="4"/>
      <c r="AG100" s="4"/>
      <c r="AH100" s="4"/>
      <c r="AI100" s="4"/>
      <c r="AJ100" s="4"/>
      <c r="AK100" s="4"/>
      <c r="AL100" s="4"/>
      <c r="AM100" s="4"/>
      <c r="AN100" s="4"/>
    </row>
    <row r="101" spans="1:40" x14ac:dyDescent="0.25">
      <c r="B101" s="65"/>
      <c r="C101" s="66"/>
      <c r="D101" s="39"/>
      <c r="E101" s="54" t="s">
        <v>13</v>
      </c>
      <c r="F101" s="19"/>
      <c r="G101" s="18"/>
      <c r="H101" s="23"/>
      <c r="I101" s="4"/>
      <c r="J101" s="4"/>
      <c r="K101" s="4"/>
      <c r="L101" s="4"/>
      <c r="M101" s="4"/>
      <c r="N101" s="4"/>
      <c r="O101" s="4"/>
      <c r="P101" s="4"/>
      <c r="Q101" s="4"/>
      <c r="R101" s="4"/>
      <c r="S101" s="4"/>
      <c r="T101" s="4"/>
      <c r="U101" s="4"/>
      <c r="V101" s="4"/>
      <c r="W101" s="4"/>
      <c r="X101" s="4"/>
      <c r="Y101" s="4"/>
      <c r="Z101" s="4"/>
      <c r="AA101" s="4"/>
      <c r="AB101" s="4"/>
      <c r="AC101" s="4"/>
      <c r="AD101" s="4"/>
      <c r="AE101" s="4"/>
      <c r="AF101" s="4"/>
      <c r="AG101" s="4"/>
      <c r="AH101" s="4"/>
      <c r="AI101" s="4"/>
      <c r="AJ101" s="4"/>
      <c r="AK101" s="4"/>
      <c r="AL101" s="4"/>
      <c r="AM101" s="4"/>
      <c r="AN101" s="4"/>
    </row>
    <row r="102" spans="1:40" s="16" customFormat="1" x14ac:dyDescent="0.25">
      <c r="A102" s="4"/>
      <c r="B102" s="86" t="s">
        <v>85</v>
      </c>
      <c r="C102" s="88" t="s">
        <v>86</v>
      </c>
      <c r="D102" s="40"/>
      <c r="E102" s="53"/>
      <c r="F102" s="28"/>
      <c r="G102" s="14"/>
      <c r="H102" s="14"/>
    </row>
    <row r="103" spans="1:40" x14ac:dyDescent="0.25">
      <c r="B103" s="87" t="s">
        <v>15</v>
      </c>
      <c r="C103" s="64" t="s">
        <v>87</v>
      </c>
      <c r="D103" s="39"/>
      <c r="E103" s="54" t="s">
        <v>9</v>
      </c>
      <c r="F103" s="26"/>
      <c r="G103" s="18"/>
      <c r="H103" s="20" t="b">
        <f>IF(D106="x",H$2,H$1)</f>
        <v>0</v>
      </c>
      <c r="I103" s="4"/>
      <c r="J103" s="4"/>
      <c r="K103" s="4"/>
      <c r="L103" s="4"/>
      <c r="M103" s="4"/>
      <c r="N103" s="4"/>
      <c r="O103" s="4"/>
      <c r="P103" s="4"/>
      <c r="Q103" s="4"/>
      <c r="R103" s="4"/>
      <c r="S103" s="4"/>
      <c r="T103" s="4"/>
      <c r="U103" s="4"/>
      <c r="V103" s="4"/>
      <c r="W103" s="4"/>
      <c r="X103" s="4"/>
      <c r="Y103" s="4"/>
      <c r="Z103" s="4"/>
      <c r="AA103" s="4"/>
      <c r="AB103" s="4"/>
      <c r="AC103" s="4"/>
      <c r="AD103" s="4"/>
      <c r="AE103" s="4"/>
      <c r="AF103" s="4"/>
      <c r="AG103" s="4"/>
      <c r="AH103" s="4"/>
      <c r="AI103" s="4"/>
      <c r="AJ103" s="4"/>
      <c r="AK103" s="4"/>
      <c r="AL103" s="4"/>
      <c r="AM103" s="4"/>
      <c r="AN103" s="4"/>
    </row>
    <row r="104" spans="1:40" x14ac:dyDescent="0.25">
      <c r="B104" s="87" t="s">
        <v>15</v>
      </c>
      <c r="C104" s="64" t="s">
        <v>88</v>
      </c>
      <c r="D104" s="39"/>
      <c r="E104" s="54" t="s">
        <v>10</v>
      </c>
      <c r="F104" s="21" t="str">
        <f>IF(H105=1,IF(H103=H$2,H103,""),"")</f>
        <v/>
      </c>
      <c r="G104" s="18"/>
      <c r="H104" s="20" t="str">
        <f>IF(E$132="comprobar",COUNTIF(D103:D107,"x"),"")</f>
        <v/>
      </c>
      <c r="I104" s="4"/>
      <c r="J104" s="4"/>
      <c r="K104" s="4"/>
      <c r="L104" s="4"/>
      <c r="M104" s="4"/>
      <c r="N104" s="4"/>
      <c r="O104" s="4"/>
      <c r="P104" s="4"/>
      <c r="Q104" s="4"/>
      <c r="R104" s="4"/>
      <c r="S104" s="4"/>
      <c r="T104" s="4"/>
      <c r="U104" s="4"/>
      <c r="V104" s="4"/>
      <c r="W104" s="4"/>
      <c r="X104" s="4"/>
      <c r="Y104" s="4"/>
      <c r="Z104" s="4"/>
      <c r="AA104" s="4"/>
      <c r="AB104" s="4"/>
      <c r="AC104" s="4"/>
      <c r="AD104" s="4"/>
      <c r="AE104" s="4"/>
      <c r="AF104" s="4"/>
      <c r="AG104" s="4"/>
      <c r="AH104" s="4"/>
      <c r="AI104" s="4"/>
      <c r="AJ104" s="4"/>
      <c r="AK104" s="4"/>
      <c r="AL104" s="4"/>
      <c r="AM104" s="4"/>
      <c r="AN104" s="4"/>
    </row>
    <row r="105" spans="1:40" x14ac:dyDescent="0.25">
      <c r="B105" s="87" t="s">
        <v>15</v>
      </c>
      <c r="C105" s="64" t="s">
        <v>89</v>
      </c>
      <c r="D105" s="39"/>
      <c r="E105" s="54" t="s">
        <v>11</v>
      </c>
      <c r="F105" s="22" t="str">
        <f>IF(H105=-0.33,IF(H103=H$1,H103,""),"")</f>
        <v/>
      </c>
      <c r="G105" s="18"/>
      <c r="H105" s="23">
        <f t="shared" ref="H105" si="5">IF(H104=1,IF(H103=H$2,1,-0.33),0)</f>
        <v>0</v>
      </c>
      <c r="I105" s="4"/>
      <c r="J105" s="4"/>
      <c r="K105" s="4"/>
      <c r="L105" s="4"/>
      <c r="M105" s="4"/>
      <c r="N105" s="4"/>
      <c r="O105" s="4"/>
      <c r="P105" s="4"/>
      <c r="Q105" s="4"/>
      <c r="R105" s="4"/>
      <c r="S105" s="4"/>
      <c r="T105" s="4"/>
      <c r="U105" s="4"/>
      <c r="V105" s="4"/>
      <c r="W105" s="4"/>
      <c r="X105" s="4"/>
      <c r="Y105" s="4"/>
      <c r="Z105" s="4"/>
      <c r="AA105" s="4"/>
      <c r="AB105" s="4"/>
      <c r="AC105" s="4"/>
      <c r="AD105" s="4"/>
      <c r="AE105" s="4"/>
      <c r="AF105" s="4"/>
      <c r="AG105" s="4"/>
      <c r="AH105" s="4"/>
      <c r="AI105" s="4"/>
      <c r="AJ105" s="4"/>
      <c r="AK105" s="4"/>
      <c r="AL105" s="4"/>
      <c r="AM105" s="4"/>
      <c r="AN105" s="4"/>
    </row>
    <row r="106" spans="1:40" x14ac:dyDescent="0.25">
      <c r="B106" s="87" t="s">
        <v>15</v>
      </c>
      <c r="C106" s="64" t="s">
        <v>90</v>
      </c>
      <c r="D106" s="39"/>
      <c r="E106" s="54" t="s">
        <v>12</v>
      </c>
      <c r="F106" s="26"/>
      <c r="G106" s="18"/>
      <c r="H106" s="23"/>
      <c r="I106" s="4"/>
      <c r="J106" s="4"/>
      <c r="K106" s="4"/>
      <c r="L106" s="4"/>
      <c r="M106" s="4"/>
      <c r="N106" s="4"/>
      <c r="O106" s="4"/>
      <c r="P106" s="4"/>
      <c r="Q106" s="4"/>
      <c r="R106" s="4"/>
      <c r="S106" s="4"/>
      <c r="T106" s="4"/>
      <c r="U106" s="4"/>
      <c r="V106" s="4"/>
      <c r="W106" s="4"/>
      <c r="X106" s="4"/>
      <c r="Y106" s="4"/>
      <c r="Z106" s="4"/>
      <c r="AA106" s="4"/>
      <c r="AB106" s="4"/>
      <c r="AC106" s="4"/>
      <c r="AD106" s="4"/>
      <c r="AE106" s="4"/>
      <c r="AF106" s="4"/>
      <c r="AG106" s="4"/>
      <c r="AH106" s="4"/>
      <c r="AI106" s="4"/>
      <c r="AJ106" s="4"/>
      <c r="AK106" s="4"/>
      <c r="AL106" s="4"/>
      <c r="AM106" s="4"/>
      <c r="AN106" s="4"/>
    </row>
    <row r="107" spans="1:40" x14ac:dyDescent="0.25">
      <c r="B107" s="65"/>
      <c r="C107" s="66"/>
      <c r="D107" s="39"/>
      <c r="E107" s="54" t="s">
        <v>13</v>
      </c>
      <c r="F107" s="19"/>
      <c r="G107" s="18"/>
      <c r="H107" s="23"/>
      <c r="I107" s="4"/>
      <c r="J107" s="4"/>
      <c r="K107" s="4"/>
      <c r="L107" s="4"/>
      <c r="M107" s="4"/>
      <c r="N107" s="4"/>
      <c r="O107" s="4"/>
      <c r="P107" s="4"/>
      <c r="Q107" s="4"/>
      <c r="R107" s="4"/>
      <c r="S107" s="4"/>
      <c r="T107" s="4"/>
      <c r="U107" s="4"/>
      <c r="V107" s="4"/>
      <c r="W107" s="4"/>
      <c r="X107" s="4"/>
      <c r="Y107" s="4"/>
      <c r="Z107" s="4"/>
      <c r="AA107" s="4"/>
      <c r="AB107" s="4"/>
      <c r="AC107" s="4"/>
      <c r="AD107" s="4"/>
      <c r="AE107" s="4"/>
      <c r="AF107" s="4"/>
      <c r="AG107" s="4"/>
      <c r="AH107" s="4"/>
      <c r="AI107" s="4"/>
      <c r="AJ107" s="4"/>
      <c r="AK107" s="4"/>
      <c r="AL107" s="4"/>
      <c r="AM107" s="4"/>
      <c r="AN107" s="4"/>
    </row>
    <row r="108" spans="1:40" s="16" customFormat="1" x14ac:dyDescent="0.25">
      <c r="A108" s="4"/>
      <c r="B108" s="86" t="s">
        <v>91</v>
      </c>
      <c r="C108" s="88" t="s">
        <v>95</v>
      </c>
      <c r="D108" s="40"/>
      <c r="E108" s="53"/>
      <c r="F108" s="28"/>
      <c r="G108" s="14"/>
      <c r="H108" s="14"/>
    </row>
    <row r="109" spans="1:40" x14ac:dyDescent="0.25">
      <c r="B109" s="87" t="s">
        <v>15</v>
      </c>
      <c r="C109" s="91" t="s">
        <v>96</v>
      </c>
      <c r="D109" s="39"/>
      <c r="E109" s="1" t="s">
        <v>9</v>
      </c>
      <c r="F109" s="26"/>
      <c r="G109" s="18"/>
      <c r="H109" s="20" t="b">
        <f>IF(D110="x",H$2,H$1)</f>
        <v>0</v>
      </c>
      <c r="I109" s="4"/>
      <c r="J109" s="4"/>
      <c r="K109" s="4"/>
      <c r="L109" s="4"/>
      <c r="M109" s="4"/>
      <c r="N109" s="4"/>
      <c r="O109" s="4"/>
      <c r="P109" s="4"/>
      <c r="Q109" s="4"/>
      <c r="R109" s="4"/>
      <c r="S109" s="4"/>
      <c r="T109" s="4"/>
      <c r="U109" s="4"/>
      <c r="V109" s="4"/>
      <c r="W109" s="4"/>
      <c r="X109" s="4"/>
      <c r="Y109" s="4"/>
      <c r="Z109" s="4"/>
      <c r="AA109" s="4"/>
      <c r="AB109" s="4"/>
      <c r="AC109" s="4"/>
      <c r="AD109" s="4"/>
      <c r="AE109" s="4"/>
      <c r="AF109" s="4"/>
      <c r="AG109" s="4"/>
      <c r="AH109" s="4"/>
      <c r="AI109" s="4"/>
      <c r="AJ109" s="4"/>
      <c r="AK109" s="4"/>
      <c r="AL109" s="4"/>
      <c r="AM109" s="4"/>
      <c r="AN109" s="4"/>
    </row>
    <row r="110" spans="1:40" x14ac:dyDescent="0.25">
      <c r="B110" s="87" t="s">
        <v>15</v>
      </c>
      <c r="C110" s="91" t="s">
        <v>97</v>
      </c>
      <c r="D110" s="39"/>
      <c r="E110" s="54" t="s">
        <v>10</v>
      </c>
      <c r="F110" s="21" t="str">
        <f>IF(H111=1,IF(H109=H$2,H109,""),"")</f>
        <v/>
      </c>
      <c r="G110" s="18"/>
      <c r="H110" s="20" t="str">
        <f>IF(E$132="comprobar",COUNTIF(D109:D113,"x"),"")</f>
        <v/>
      </c>
      <c r="I110" s="4"/>
      <c r="J110" s="4"/>
      <c r="K110" s="4"/>
      <c r="L110" s="4"/>
      <c r="M110" s="4"/>
      <c r="N110" s="4"/>
      <c r="O110" s="4"/>
      <c r="P110" s="4"/>
      <c r="Q110" s="4"/>
      <c r="R110" s="4"/>
      <c r="S110" s="4"/>
      <c r="T110" s="4"/>
      <c r="U110" s="4"/>
      <c r="V110" s="4"/>
      <c r="W110" s="4"/>
      <c r="X110" s="4"/>
      <c r="Y110" s="4"/>
      <c r="Z110" s="4"/>
      <c r="AA110" s="4"/>
      <c r="AB110" s="4"/>
      <c r="AC110" s="4"/>
      <c r="AD110" s="4"/>
      <c r="AE110" s="4"/>
      <c r="AF110" s="4"/>
      <c r="AG110" s="4"/>
      <c r="AH110" s="4"/>
      <c r="AI110" s="4"/>
      <c r="AJ110" s="4"/>
      <c r="AK110" s="4"/>
      <c r="AL110" s="4"/>
      <c r="AM110" s="4"/>
      <c r="AN110" s="4"/>
    </row>
    <row r="111" spans="1:40" x14ac:dyDescent="0.25">
      <c r="B111" s="87" t="s">
        <v>15</v>
      </c>
      <c r="C111" s="91" t="s">
        <v>98</v>
      </c>
      <c r="D111" s="39"/>
      <c r="E111" s="54" t="s">
        <v>11</v>
      </c>
      <c r="F111" s="22" t="str">
        <f>IF(H111=-0.33,IF(H109=H$1,H109,""),"")</f>
        <v/>
      </c>
      <c r="G111" s="18"/>
      <c r="H111" s="23">
        <f t="shared" ref="H111" si="6">IF(H110=1,IF(H109=H$2,1,-0.33),0)</f>
        <v>0</v>
      </c>
      <c r="I111" s="4"/>
      <c r="J111" s="4"/>
      <c r="K111" s="4"/>
      <c r="L111" s="4"/>
      <c r="M111" s="4"/>
      <c r="N111" s="4"/>
      <c r="O111" s="4"/>
      <c r="P111" s="4"/>
      <c r="Q111" s="4"/>
      <c r="R111" s="4"/>
      <c r="S111" s="4"/>
      <c r="T111" s="4"/>
      <c r="U111" s="4"/>
      <c r="V111" s="4"/>
      <c r="W111" s="4"/>
      <c r="X111" s="4"/>
      <c r="Y111" s="4"/>
      <c r="Z111" s="4"/>
      <c r="AA111" s="4"/>
      <c r="AB111" s="4"/>
      <c r="AC111" s="4"/>
      <c r="AD111" s="4"/>
      <c r="AE111" s="4"/>
      <c r="AF111" s="4"/>
      <c r="AG111" s="4"/>
      <c r="AH111" s="4"/>
      <c r="AI111" s="4"/>
      <c r="AJ111" s="4"/>
      <c r="AK111" s="4"/>
      <c r="AL111" s="4"/>
      <c r="AM111" s="4"/>
      <c r="AN111" s="4"/>
    </row>
    <row r="112" spans="1:40" x14ac:dyDescent="0.25">
      <c r="B112" s="87" t="s">
        <v>15</v>
      </c>
      <c r="C112" s="91" t="s">
        <v>99</v>
      </c>
      <c r="D112" s="39"/>
      <c r="E112" s="54" t="s">
        <v>12</v>
      </c>
      <c r="F112" s="26"/>
      <c r="G112" s="18"/>
      <c r="H112" s="23"/>
      <c r="I112" s="4"/>
      <c r="J112" s="4"/>
      <c r="K112" s="4"/>
      <c r="L112" s="4"/>
      <c r="M112" s="4"/>
      <c r="N112" s="4"/>
      <c r="O112" s="4"/>
      <c r="P112" s="4"/>
      <c r="Q112" s="4"/>
      <c r="R112" s="4"/>
      <c r="S112" s="4"/>
      <c r="T112" s="4"/>
      <c r="U112" s="4"/>
      <c r="V112" s="4"/>
      <c r="W112" s="4"/>
      <c r="X112" s="4"/>
      <c r="Y112" s="4"/>
      <c r="Z112" s="4"/>
      <c r="AA112" s="4"/>
      <c r="AB112" s="4"/>
      <c r="AC112" s="4"/>
      <c r="AD112" s="4"/>
      <c r="AE112" s="4"/>
      <c r="AF112" s="4"/>
      <c r="AG112" s="4"/>
      <c r="AH112" s="4"/>
      <c r="AI112" s="4"/>
      <c r="AJ112" s="4"/>
      <c r="AK112" s="4"/>
      <c r="AL112" s="4"/>
      <c r="AM112" s="4"/>
      <c r="AN112" s="4"/>
    </row>
    <row r="113" spans="1:40" x14ac:dyDescent="0.25">
      <c r="B113" s="43"/>
      <c r="C113" s="104"/>
      <c r="D113" s="39"/>
      <c r="E113" s="54" t="s">
        <v>13</v>
      </c>
      <c r="F113" s="19"/>
      <c r="G113" s="18"/>
      <c r="H113" s="23"/>
      <c r="I113" s="4"/>
      <c r="J113" s="4"/>
      <c r="K113" s="4"/>
      <c r="L113" s="4"/>
      <c r="M113" s="4"/>
      <c r="N113" s="4"/>
      <c r="O113" s="4"/>
      <c r="P113" s="4"/>
      <c r="Q113" s="4"/>
      <c r="R113" s="4"/>
      <c r="S113" s="4"/>
      <c r="T113" s="4"/>
      <c r="U113" s="4"/>
      <c r="V113" s="4"/>
      <c r="W113" s="4"/>
      <c r="X113" s="4"/>
      <c r="Y113" s="4"/>
      <c r="Z113" s="4"/>
      <c r="AA113" s="4"/>
      <c r="AB113" s="4"/>
      <c r="AC113" s="4"/>
      <c r="AD113" s="4"/>
      <c r="AE113" s="4"/>
      <c r="AF113" s="4"/>
      <c r="AG113" s="4"/>
      <c r="AH113" s="4"/>
      <c r="AI113" s="4"/>
      <c r="AJ113" s="4"/>
      <c r="AK113" s="4"/>
      <c r="AL113" s="4"/>
      <c r="AM113" s="4"/>
      <c r="AN113" s="4"/>
    </row>
    <row r="114" spans="1:40" s="16" customFormat="1" x14ac:dyDescent="0.25">
      <c r="A114" s="4"/>
      <c r="B114" s="86" t="s">
        <v>92</v>
      </c>
      <c r="C114" s="88" t="s">
        <v>617</v>
      </c>
      <c r="D114" s="40"/>
      <c r="E114" s="53"/>
      <c r="F114" s="28"/>
      <c r="G114" s="14"/>
      <c r="H114" s="14"/>
    </row>
    <row r="115" spans="1:40" x14ac:dyDescent="0.25">
      <c r="B115" s="87" t="s">
        <v>15</v>
      </c>
      <c r="C115" s="64" t="s">
        <v>100</v>
      </c>
      <c r="D115" s="39"/>
      <c r="E115" s="54" t="s">
        <v>9</v>
      </c>
      <c r="F115" s="26"/>
      <c r="G115" s="18"/>
      <c r="H115" s="20" t="b">
        <f>IF(D116="x",H$2,H$1)</f>
        <v>0</v>
      </c>
      <c r="I115" s="4"/>
      <c r="J115" s="4"/>
      <c r="K115" s="4"/>
      <c r="L115" s="4"/>
      <c r="M115" s="4"/>
      <c r="N115" s="4"/>
      <c r="O115" s="4"/>
      <c r="P115" s="4"/>
      <c r="Q115" s="4"/>
      <c r="R115" s="4"/>
      <c r="S115" s="4"/>
      <c r="T115" s="4"/>
      <c r="U115" s="4"/>
      <c r="V115" s="4"/>
      <c r="W115" s="4"/>
      <c r="X115" s="4"/>
      <c r="Y115" s="4"/>
      <c r="Z115" s="4"/>
      <c r="AA115" s="4"/>
      <c r="AB115" s="4"/>
      <c r="AC115" s="4"/>
      <c r="AD115" s="4"/>
      <c r="AE115" s="4"/>
      <c r="AF115" s="4"/>
      <c r="AG115" s="4"/>
      <c r="AH115" s="4"/>
      <c r="AI115" s="4"/>
      <c r="AJ115" s="4"/>
      <c r="AK115" s="4"/>
      <c r="AL115" s="4"/>
      <c r="AM115" s="4"/>
      <c r="AN115" s="4"/>
    </row>
    <row r="116" spans="1:40" x14ac:dyDescent="0.25">
      <c r="B116" s="87" t="s">
        <v>15</v>
      </c>
      <c r="C116" s="91" t="s">
        <v>101</v>
      </c>
      <c r="D116" s="39"/>
      <c r="E116" s="54" t="s">
        <v>10</v>
      </c>
      <c r="F116" s="21" t="str">
        <f>IF(H117=1,IF(H115=H$2,H115,""),"")</f>
        <v/>
      </c>
      <c r="G116" s="18"/>
      <c r="H116" s="20" t="str">
        <f>IF(E$132="comprobar",COUNTIF(D115:D119,"x"),"")</f>
        <v/>
      </c>
      <c r="I116" s="4"/>
      <c r="J116" s="4"/>
      <c r="K116" s="4"/>
      <c r="L116" s="4"/>
      <c r="M116" s="4"/>
      <c r="N116" s="4"/>
      <c r="O116" s="4"/>
      <c r="P116" s="4"/>
      <c r="Q116" s="4"/>
      <c r="R116" s="4"/>
      <c r="S116" s="4"/>
      <c r="T116" s="4"/>
      <c r="U116" s="4"/>
      <c r="V116" s="4"/>
      <c r="W116" s="4"/>
      <c r="X116" s="4"/>
      <c r="Y116" s="4"/>
      <c r="Z116" s="4"/>
      <c r="AA116" s="4"/>
      <c r="AB116" s="4"/>
      <c r="AC116" s="4"/>
      <c r="AD116" s="4"/>
      <c r="AE116" s="4"/>
      <c r="AF116" s="4"/>
      <c r="AG116" s="4"/>
      <c r="AH116" s="4"/>
      <c r="AI116" s="4"/>
      <c r="AJ116" s="4"/>
      <c r="AK116" s="4"/>
      <c r="AL116" s="4"/>
      <c r="AM116" s="4"/>
      <c r="AN116" s="4"/>
    </row>
    <row r="117" spans="1:40" x14ac:dyDescent="0.25">
      <c r="B117" s="87" t="s">
        <v>15</v>
      </c>
      <c r="C117" s="91" t="s">
        <v>102</v>
      </c>
      <c r="D117" s="39"/>
      <c r="E117" s="54" t="s">
        <v>11</v>
      </c>
      <c r="F117" s="22" t="str">
        <f>IF(H117=-0.33,IF(H115=H$1,H115,""),"")</f>
        <v/>
      </c>
      <c r="G117" s="18"/>
      <c r="H117" s="23">
        <f t="shared" ref="H117" si="7">IF(H116=1,IF(H115=H$2,1,-0.33),0)</f>
        <v>0</v>
      </c>
      <c r="I117" s="4"/>
      <c r="J117" s="4"/>
      <c r="K117" s="4"/>
      <c r="L117" s="4"/>
      <c r="M117" s="4"/>
      <c r="N117" s="4"/>
      <c r="O117" s="4"/>
      <c r="P117" s="4"/>
      <c r="Q117" s="4"/>
      <c r="R117" s="4"/>
      <c r="S117" s="4"/>
      <c r="T117" s="4"/>
      <c r="U117" s="4"/>
      <c r="V117" s="4"/>
      <c r="W117" s="4"/>
      <c r="X117" s="4"/>
      <c r="Y117" s="4"/>
      <c r="Z117" s="4"/>
      <c r="AA117" s="4"/>
      <c r="AB117" s="4"/>
      <c r="AC117" s="4"/>
      <c r="AD117" s="4"/>
      <c r="AE117" s="4"/>
      <c r="AF117" s="4"/>
      <c r="AG117" s="4"/>
      <c r="AH117" s="4"/>
      <c r="AI117" s="4"/>
      <c r="AJ117" s="4"/>
      <c r="AK117" s="4"/>
      <c r="AL117" s="4"/>
      <c r="AM117" s="4"/>
      <c r="AN117" s="4"/>
    </row>
    <row r="118" spans="1:40" x14ac:dyDescent="0.25">
      <c r="B118" s="87" t="s">
        <v>15</v>
      </c>
      <c r="C118" s="91" t="s">
        <v>103</v>
      </c>
      <c r="D118" s="39"/>
      <c r="E118" s="54" t="s">
        <v>12</v>
      </c>
      <c r="F118" s="26"/>
      <c r="G118" s="18"/>
      <c r="H118" s="23"/>
      <c r="I118" s="4"/>
      <c r="J118" s="4"/>
      <c r="K118" s="4"/>
      <c r="L118" s="4"/>
      <c r="M118" s="4"/>
      <c r="N118" s="4"/>
      <c r="O118" s="4"/>
      <c r="P118" s="4"/>
      <c r="Q118" s="4"/>
      <c r="R118" s="4"/>
      <c r="S118" s="4"/>
      <c r="T118" s="4"/>
      <c r="U118" s="4"/>
      <c r="V118" s="4"/>
      <c r="W118" s="4"/>
      <c r="X118" s="4"/>
      <c r="Y118" s="4"/>
      <c r="Z118" s="4"/>
      <c r="AA118" s="4"/>
      <c r="AB118" s="4"/>
      <c r="AC118" s="4"/>
      <c r="AD118" s="4"/>
      <c r="AE118" s="4"/>
      <c r="AF118" s="4"/>
      <c r="AG118" s="4"/>
      <c r="AH118" s="4"/>
      <c r="AI118" s="4"/>
      <c r="AJ118" s="4"/>
      <c r="AK118" s="4"/>
      <c r="AL118" s="4"/>
      <c r="AM118" s="4"/>
      <c r="AN118" s="4"/>
    </row>
    <row r="119" spans="1:40" x14ac:dyDescent="0.25">
      <c r="B119" s="65"/>
      <c r="C119" s="66"/>
      <c r="D119" s="39"/>
      <c r="E119" s="54" t="s">
        <v>13</v>
      </c>
      <c r="F119" s="19"/>
      <c r="G119" s="18"/>
      <c r="H119" s="23"/>
      <c r="I119" s="4"/>
      <c r="J119" s="4"/>
      <c r="K119" s="4"/>
      <c r="L119" s="4"/>
      <c r="M119" s="4"/>
      <c r="N119" s="4"/>
      <c r="O119" s="4"/>
      <c r="P119" s="4"/>
      <c r="Q119" s="4"/>
      <c r="R119" s="4"/>
      <c r="S119" s="4"/>
      <c r="T119" s="4"/>
      <c r="U119" s="4"/>
      <c r="V119" s="4"/>
      <c r="W119" s="4"/>
      <c r="X119" s="4"/>
      <c r="Y119" s="4"/>
      <c r="Z119" s="4"/>
      <c r="AA119" s="4"/>
      <c r="AB119" s="4"/>
      <c r="AC119" s="4"/>
      <c r="AD119" s="4"/>
      <c r="AE119" s="4"/>
      <c r="AF119" s="4"/>
      <c r="AG119" s="4"/>
      <c r="AH119" s="4"/>
      <c r="AI119" s="4"/>
      <c r="AJ119" s="4"/>
      <c r="AK119" s="4"/>
      <c r="AL119" s="4"/>
      <c r="AM119" s="4"/>
      <c r="AN119" s="4"/>
    </row>
    <row r="120" spans="1:40" s="16" customFormat="1" x14ac:dyDescent="0.25">
      <c r="A120" s="4"/>
      <c r="B120" s="86" t="s">
        <v>93</v>
      </c>
      <c r="C120" s="88" t="s">
        <v>86</v>
      </c>
      <c r="D120" s="40"/>
      <c r="E120" s="53"/>
      <c r="F120" s="28"/>
      <c r="G120" s="14"/>
      <c r="H120" s="14"/>
    </row>
    <row r="121" spans="1:40" x14ac:dyDescent="0.25">
      <c r="B121" s="87" t="s">
        <v>15</v>
      </c>
      <c r="C121" s="64" t="s">
        <v>104</v>
      </c>
      <c r="D121" s="39"/>
      <c r="E121" s="54" t="s">
        <v>9</v>
      </c>
      <c r="F121" s="26"/>
      <c r="G121" s="18"/>
      <c r="H121" s="20" t="b">
        <f>IF(D124="x",H$2,H$1)</f>
        <v>0</v>
      </c>
      <c r="I121" s="4"/>
      <c r="J121" s="4"/>
      <c r="K121" s="4"/>
      <c r="L121" s="4"/>
      <c r="M121" s="4"/>
      <c r="N121" s="4"/>
      <c r="O121" s="4"/>
      <c r="P121" s="4"/>
      <c r="Q121" s="4"/>
      <c r="R121" s="4"/>
      <c r="S121" s="4"/>
      <c r="T121" s="4"/>
      <c r="U121" s="4"/>
      <c r="V121" s="4"/>
      <c r="W121" s="4"/>
      <c r="X121" s="4"/>
      <c r="Y121" s="4"/>
      <c r="Z121" s="4"/>
      <c r="AA121" s="4"/>
      <c r="AB121" s="4"/>
      <c r="AC121" s="4"/>
      <c r="AD121" s="4"/>
      <c r="AE121" s="4"/>
      <c r="AF121" s="4"/>
      <c r="AG121" s="4"/>
      <c r="AH121" s="4"/>
      <c r="AI121" s="4"/>
      <c r="AJ121" s="4"/>
      <c r="AK121" s="4"/>
      <c r="AL121" s="4"/>
      <c r="AM121" s="4"/>
      <c r="AN121" s="4"/>
    </row>
    <row r="122" spans="1:40" x14ac:dyDescent="0.25">
      <c r="B122" s="87" t="s">
        <v>15</v>
      </c>
      <c r="C122" s="91" t="s">
        <v>105</v>
      </c>
      <c r="D122" s="39"/>
      <c r="E122" s="54" t="s">
        <v>10</v>
      </c>
      <c r="F122" s="21" t="str">
        <f>IF(H123=1,IF(H121=H$2,H121,""),"")</f>
        <v/>
      </c>
      <c r="G122" s="18"/>
      <c r="H122" s="20" t="str">
        <f>IF(E$132="comprobar",COUNTIF(D121:D125,"x"),"")</f>
        <v/>
      </c>
      <c r="I122" s="4"/>
      <c r="J122" s="4"/>
      <c r="K122" s="4"/>
      <c r="L122" s="4"/>
      <c r="M122" s="4"/>
      <c r="N122" s="4"/>
      <c r="O122" s="4"/>
      <c r="P122" s="4"/>
      <c r="Q122" s="4"/>
      <c r="R122" s="4"/>
      <c r="S122" s="4"/>
      <c r="T122" s="4"/>
      <c r="U122" s="4"/>
      <c r="V122" s="4"/>
      <c r="W122" s="4"/>
      <c r="X122" s="4"/>
      <c r="Y122" s="4"/>
      <c r="Z122" s="4"/>
      <c r="AA122" s="4"/>
      <c r="AB122" s="4"/>
      <c r="AC122" s="4"/>
      <c r="AD122" s="4"/>
      <c r="AE122" s="4"/>
      <c r="AF122" s="4"/>
      <c r="AG122" s="4"/>
      <c r="AH122" s="4"/>
      <c r="AI122" s="4"/>
      <c r="AJ122" s="4"/>
      <c r="AK122" s="4"/>
      <c r="AL122" s="4"/>
      <c r="AM122" s="4"/>
      <c r="AN122" s="4"/>
    </row>
    <row r="123" spans="1:40" x14ac:dyDescent="0.25">
      <c r="B123" s="87" t="s">
        <v>15</v>
      </c>
      <c r="C123" s="91" t="s">
        <v>106</v>
      </c>
      <c r="D123" s="39"/>
      <c r="E123" s="54" t="s">
        <v>11</v>
      </c>
      <c r="F123" s="22" t="str">
        <f>IF(H123=-0.33,IF(H121=H$1,H121,""),"")</f>
        <v/>
      </c>
      <c r="G123" s="18"/>
      <c r="H123" s="23">
        <f t="shared" ref="H123" si="8">IF(H122=1,IF(H121=H$2,1,-0.33),0)</f>
        <v>0</v>
      </c>
      <c r="I123" s="4"/>
      <c r="J123" s="4"/>
      <c r="K123" s="4"/>
      <c r="L123" s="4"/>
      <c r="M123" s="4"/>
      <c r="N123" s="4"/>
      <c r="O123" s="4"/>
      <c r="P123" s="4"/>
      <c r="Q123" s="4"/>
      <c r="R123" s="4"/>
      <c r="S123" s="4"/>
      <c r="T123" s="4"/>
      <c r="U123" s="4"/>
      <c r="V123" s="4"/>
      <c r="W123" s="4"/>
      <c r="X123" s="4"/>
      <c r="Y123" s="4"/>
      <c r="Z123" s="4"/>
      <c r="AA123" s="4"/>
      <c r="AB123" s="4"/>
      <c r="AC123" s="4"/>
      <c r="AD123" s="4"/>
      <c r="AE123" s="4"/>
      <c r="AF123" s="4"/>
      <c r="AG123" s="4"/>
      <c r="AH123" s="4"/>
      <c r="AI123" s="4"/>
      <c r="AJ123" s="4"/>
      <c r="AK123" s="4"/>
      <c r="AL123" s="4"/>
      <c r="AM123" s="4"/>
      <c r="AN123" s="4"/>
    </row>
    <row r="124" spans="1:40" x14ac:dyDescent="0.25">
      <c r="B124" s="87" t="s">
        <v>15</v>
      </c>
      <c r="C124" s="91" t="s">
        <v>107</v>
      </c>
      <c r="D124" s="39"/>
      <c r="E124" s="54" t="s">
        <v>12</v>
      </c>
      <c r="F124" s="26"/>
      <c r="G124" s="18"/>
      <c r="H124" s="23"/>
      <c r="I124" s="4"/>
      <c r="J124" s="4"/>
      <c r="K124" s="4"/>
      <c r="L124" s="4"/>
      <c r="M124" s="4"/>
      <c r="N124" s="4"/>
      <c r="O124" s="4"/>
      <c r="P124" s="4"/>
      <c r="Q124" s="4"/>
      <c r="R124" s="4"/>
      <c r="S124" s="4"/>
      <c r="T124" s="4"/>
      <c r="U124" s="4"/>
      <c r="V124" s="4"/>
      <c r="W124" s="4"/>
      <c r="X124" s="4"/>
      <c r="Y124" s="4"/>
      <c r="Z124" s="4"/>
      <c r="AA124" s="4"/>
      <c r="AB124" s="4"/>
      <c r="AC124" s="4"/>
      <c r="AD124" s="4"/>
      <c r="AE124" s="4"/>
      <c r="AF124" s="4"/>
      <c r="AG124" s="4"/>
      <c r="AH124" s="4"/>
      <c r="AI124" s="4"/>
      <c r="AJ124" s="4"/>
      <c r="AK124" s="4"/>
      <c r="AL124" s="4"/>
      <c r="AM124" s="4"/>
      <c r="AN124" s="4"/>
    </row>
    <row r="125" spans="1:40" x14ac:dyDescent="0.25">
      <c r="B125" s="65"/>
      <c r="C125" s="66"/>
      <c r="D125" s="39"/>
      <c r="E125" s="54" t="s">
        <v>13</v>
      </c>
      <c r="F125" s="19"/>
      <c r="G125" s="18"/>
      <c r="H125" s="23"/>
      <c r="I125" s="4"/>
      <c r="J125" s="4"/>
      <c r="K125" s="4"/>
      <c r="L125" s="4"/>
      <c r="M125" s="4"/>
      <c r="N125" s="4"/>
      <c r="O125" s="4"/>
      <c r="P125" s="4"/>
      <c r="Q125" s="4"/>
      <c r="R125" s="4"/>
      <c r="S125" s="4"/>
      <c r="T125" s="4"/>
      <c r="U125" s="4"/>
      <c r="V125" s="4"/>
      <c r="W125" s="4"/>
      <c r="X125" s="4"/>
      <c r="Y125" s="4"/>
      <c r="Z125" s="4"/>
      <c r="AA125" s="4"/>
      <c r="AB125" s="4"/>
      <c r="AC125" s="4"/>
      <c r="AD125" s="4"/>
      <c r="AE125" s="4"/>
      <c r="AF125" s="4"/>
      <c r="AG125" s="4"/>
      <c r="AH125" s="4"/>
      <c r="AI125" s="4"/>
      <c r="AJ125" s="4"/>
      <c r="AK125" s="4"/>
      <c r="AL125" s="4"/>
      <c r="AM125" s="4"/>
      <c r="AN125" s="4"/>
    </row>
    <row r="126" spans="1:40" s="16" customFormat="1" x14ac:dyDescent="0.25">
      <c r="A126" s="4"/>
      <c r="B126" s="86" t="s">
        <v>94</v>
      </c>
      <c r="C126" s="88" t="s">
        <v>108</v>
      </c>
      <c r="D126" s="40"/>
      <c r="E126" s="53"/>
      <c r="F126" s="28"/>
      <c r="G126" s="27"/>
      <c r="H126" s="14"/>
    </row>
    <row r="127" spans="1:40" x14ac:dyDescent="0.25">
      <c r="B127" s="87" t="s">
        <v>15</v>
      </c>
      <c r="C127" s="64" t="s">
        <v>109</v>
      </c>
      <c r="D127" s="39"/>
      <c r="E127" s="54" t="s">
        <v>9</v>
      </c>
      <c r="F127" s="26"/>
      <c r="G127" s="25"/>
      <c r="H127" s="20" t="b">
        <f>IF(D129="x",H$2,H$1)</f>
        <v>0</v>
      </c>
      <c r="I127" s="4"/>
      <c r="J127" s="4"/>
      <c r="K127" s="4"/>
      <c r="L127" s="4"/>
      <c r="M127" s="4"/>
      <c r="N127" s="4"/>
      <c r="O127" s="4"/>
      <c r="P127" s="4"/>
      <c r="Q127" s="4"/>
      <c r="R127" s="4"/>
      <c r="S127" s="4"/>
      <c r="T127" s="4"/>
      <c r="U127" s="4"/>
      <c r="V127" s="4"/>
      <c r="W127" s="4"/>
      <c r="X127" s="4"/>
      <c r="Y127" s="4"/>
      <c r="Z127" s="4"/>
      <c r="AA127" s="4"/>
      <c r="AB127" s="4"/>
      <c r="AC127" s="4"/>
      <c r="AD127" s="4"/>
      <c r="AE127" s="4"/>
      <c r="AF127" s="4"/>
      <c r="AG127" s="4"/>
      <c r="AH127" s="4"/>
      <c r="AI127" s="4"/>
      <c r="AJ127" s="4"/>
      <c r="AK127" s="4"/>
      <c r="AL127" s="4"/>
      <c r="AM127" s="4"/>
      <c r="AN127" s="4"/>
    </row>
    <row r="128" spans="1:40" x14ac:dyDescent="0.25">
      <c r="B128" s="87" t="s">
        <v>15</v>
      </c>
      <c r="C128" s="91" t="s">
        <v>110</v>
      </c>
      <c r="D128" s="39"/>
      <c r="E128" s="54" t="s">
        <v>10</v>
      </c>
      <c r="F128" s="21" t="str">
        <f>IF(H129=1,IF(H127=H$2,H127,""),"")</f>
        <v/>
      </c>
      <c r="G128" s="25"/>
      <c r="H128" s="20" t="str">
        <f>IF(E$132="comprobar",COUNTIF(D127:D131,"x"),"")</f>
        <v/>
      </c>
      <c r="I128" s="4"/>
      <c r="J128" s="4"/>
      <c r="K128" s="4"/>
      <c r="L128" s="4"/>
      <c r="M128" s="4"/>
      <c r="N128" s="4"/>
      <c r="O128" s="4"/>
      <c r="P128" s="4"/>
      <c r="Q128" s="4"/>
      <c r="R128" s="4"/>
      <c r="S128" s="4"/>
      <c r="T128" s="4"/>
      <c r="U128" s="4"/>
      <c r="V128" s="4"/>
      <c r="W128" s="4"/>
      <c r="X128" s="4"/>
      <c r="Y128" s="4"/>
      <c r="Z128" s="4"/>
      <c r="AA128" s="4"/>
      <c r="AB128" s="4"/>
      <c r="AC128" s="4"/>
      <c r="AD128" s="4"/>
      <c r="AE128" s="4"/>
      <c r="AF128" s="4"/>
      <c r="AG128" s="4"/>
      <c r="AH128" s="4"/>
      <c r="AI128" s="4"/>
      <c r="AJ128" s="4"/>
      <c r="AK128" s="4"/>
      <c r="AL128" s="4"/>
      <c r="AM128" s="4"/>
      <c r="AN128" s="4"/>
    </row>
    <row r="129" spans="1:40" x14ac:dyDescent="0.25">
      <c r="B129" s="87" t="s">
        <v>15</v>
      </c>
      <c r="C129" s="91" t="s">
        <v>111</v>
      </c>
      <c r="D129" s="39"/>
      <c r="E129" s="54" t="s">
        <v>11</v>
      </c>
      <c r="F129" s="22" t="str">
        <f>IF(H129=-0.33,IF(H127=H$1,H127,""),"")</f>
        <v/>
      </c>
      <c r="G129" s="25"/>
      <c r="H129" s="23">
        <f t="shared" ref="H129" si="9">IF(H128=1,IF(H127=H$2,1,-0.33),0)</f>
        <v>0</v>
      </c>
      <c r="I129" s="4"/>
      <c r="J129" s="4"/>
      <c r="K129" s="4"/>
      <c r="L129" s="4"/>
      <c r="M129" s="4"/>
      <c r="N129" s="4"/>
      <c r="O129" s="4"/>
      <c r="P129" s="4"/>
      <c r="Q129" s="4"/>
      <c r="R129" s="4"/>
      <c r="S129" s="4"/>
      <c r="T129" s="4"/>
      <c r="U129" s="4"/>
      <c r="V129" s="4"/>
      <c r="W129" s="4"/>
      <c r="X129" s="4"/>
      <c r="Y129" s="4"/>
      <c r="Z129" s="4"/>
      <c r="AA129" s="4"/>
      <c r="AB129" s="4"/>
      <c r="AC129" s="4"/>
      <c r="AD129" s="4"/>
      <c r="AE129" s="4"/>
      <c r="AF129" s="4"/>
      <c r="AG129" s="4"/>
      <c r="AH129" s="4"/>
      <c r="AI129" s="4"/>
      <c r="AJ129" s="4"/>
      <c r="AK129" s="4"/>
      <c r="AL129" s="4"/>
      <c r="AM129" s="4"/>
      <c r="AN129" s="4"/>
    </row>
    <row r="130" spans="1:40" x14ac:dyDescent="0.25">
      <c r="B130" s="87" t="s">
        <v>15</v>
      </c>
      <c r="C130" s="91" t="s">
        <v>112</v>
      </c>
      <c r="D130" s="39"/>
      <c r="E130" s="54" t="s">
        <v>12</v>
      </c>
      <c r="F130" s="26"/>
      <c r="G130" s="25"/>
      <c r="H130" s="23"/>
      <c r="I130" s="4"/>
      <c r="J130" s="4"/>
      <c r="K130" s="4"/>
      <c r="L130" s="4"/>
      <c r="M130" s="4"/>
      <c r="N130" s="4"/>
      <c r="O130" s="4"/>
      <c r="P130" s="4"/>
      <c r="Q130" s="4"/>
      <c r="R130" s="4"/>
      <c r="S130" s="4"/>
      <c r="T130" s="4"/>
      <c r="U130" s="4"/>
      <c r="V130" s="4"/>
      <c r="W130" s="4"/>
      <c r="X130" s="4"/>
      <c r="Y130" s="4"/>
      <c r="Z130" s="4"/>
      <c r="AA130" s="4"/>
      <c r="AB130" s="4"/>
      <c r="AC130" s="4"/>
      <c r="AD130" s="4"/>
      <c r="AE130" s="4"/>
      <c r="AF130" s="4"/>
      <c r="AG130" s="4"/>
      <c r="AH130" s="4"/>
      <c r="AI130" s="4"/>
      <c r="AJ130" s="4"/>
      <c r="AK130" s="4"/>
      <c r="AL130" s="4"/>
      <c r="AM130" s="4"/>
      <c r="AN130" s="4"/>
    </row>
    <row r="131" spans="1:40" x14ac:dyDescent="0.25">
      <c r="B131" s="65"/>
      <c r="C131" s="66"/>
      <c r="D131" s="39"/>
      <c r="E131" s="54" t="s">
        <v>13</v>
      </c>
      <c r="F131" s="19"/>
      <c r="G131" s="25"/>
      <c r="H131" s="23"/>
      <c r="I131" s="4"/>
      <c r="J131" s="4"/>
      <c r="K131" s="4"/>
      <c r="L131" s="4"/>
      <c r="M131" s="4"/>
      <c r="N131" s="4"/>
      <c r="O131" s="4"/>
      <c r="P131" s="4"/>
      <c r="Q131" s="4"/>
      <c r="R131" s="4"/>
      <c r="S131" s="4"/>
      <c r="T131" s="4"/>
      <c r="U131" s="4"/>
      <c r="V131" s="4"/>
      <c r="W131" s="4"/>
      <c r="X131" s="4"/>
      <c r="Y131" s="4"/>
      <c r="Z131" s="4"/>
      <c r="AA131" s="4"/>
      <c r="AB131" s="4"/>
      <c r="AC131" s="4"/>
      <c r="AD131" s="4"/>
      <c r="AE131" s="4"/>
      <c r="AF131" s="4"/>
      <c r="AG131" s="4"/>
      <c r="AH131" s="4"/>
      <c r="AI131" s="4"/>
      <c r="AJ131" s="4"/>
      <c r="AK131" s="4"/>
      <c r="AL131" s="4"/>
      <c r="AM131" s="4"/>
      <c r="AN131" s="4"/>
    </row>
    <row r="132" spans="1:40" x14ac:dyDescent="0.25">
      <c r="B132" s="45"/>
      <c r="C132" s="42"/>
      <c r="D132" s="49"/>
      <c r="E132" s="55"/>
      <c r="F132" s="19"/>
      <c r="G132" s="18"/>
      <c r="H132" s="18"/>
      <c r="I132" s="4"/>
      <c r="J132" s="4"/>
      <c r="K132" s="4"/>
      <c r="L132" s="4"/>
      <c r="M132" s="4"/>
      <c r="N132" s="4"/>
      <c r="O132" s="4"/>
      <c r="P132" s="4"/>
      <c r="Q132" s="4"/>
      <c r="R132" s="4"/>
      <c r="S132" s="4"/>
      <c r="T132" s="4"/>
      <c r="U132" s="4"/>
      <c r="V132" s="4"/>
      <c r="W132" s="4"/>
      <c r="X132" s="4"/>
      <c r="Y132" s="4"/>
      <c r="Z132" s="4"/>
      <c r="AA132" s="4"/>
      <c r="AB132" s="4"/>
      <c r="AC132" s="4"/>
      <c r="AD132" s="4"/>
      <c r="AE132" s="4"/>
      <c r="AF132" s="4"/>
      <c r="AG132" s="4"/>
      <c r="AH132" s="4"/>
      <c r="AI132" s="4"/>
      <c r="AJ132" s="4"/>
      <c r="AK132" s="4"/>
      <c r="AL132" s="4"/>
      <c r="AM132" s="4"/>
      <c r="AN132" s="4"/>
    </row>
    <row r="133" spans="1:40" x14ac:dyDescent="0.25">
      <c r="B133" s="45"/>
      <c r="C133" s="17"/>
      <c r="D133" s="49"/>
      <c r="E133" s="58"/>
      <c r="F133" s="29" t="s">
        <v>8</v>
      </c>
      <c r="G133" s="18" t="s">
        <v>6</v>
      </c>
      <c r="H133" s="18" t="s">
        <v>7</v>
      </c>
      <c r="I133" s="4"/>
      <c r="J133" s="4"/>
      <c r="K133" s="4"/>
      <c r="L133" s="4"/>
      <c r="M133" s="4"/>
      <c r="N133" s="4"/>
      <c r="O133" s="4"/>
      <c r="P133" s="4"/>
      <c r="Q133" s="4"/>
      <c r="R133" s="4"/>
      <c r="S133" s="4"/>
      <c r="T133" s="4"/>
      <c r="U133" s="4"/>
      <c r="V133" s="4"/>
      <c r="W133" s="4"/>
      <c r="X133" s="4"/>
      <c r="Y133" s="4"/>
      <c r="Z133" s="4"/>
      <c r="AA133" s="4"/>
      <c r="AB133" s="4"/>
      <c r="AC133" s="4"/>
      <c r="AD133" s="4"/>
      <c r="AE133" s="4"/>
      <c r="AF133" s="4"/>
      <c r="AG133" s="4"/>
      <c r="AH133" s="4"/>
      <c r="AI133" s="4"/>
      <c r="AJ133" s="4"/>
      <c r="AK133" s="4"/>
      <c r="AL133" s="4"/>
      <c r="AM133" s="4"/>
      <c r="AN133" s="4"/>
    </row>
    <row r="134" spans="1:40" ht="19.5" x14ac:dyDescent="0.25">
      <c r="B134" s="45"/>
      <c r="C134" s="17"/>
      <c r="D134" s="69"/>
      <c r="E134" s="52"/>
      <c r="F134" s="30" t="str">
        <f>IF(E132="comprobar",H129+H123+H117+H111+H105+H99+H93+H87+H81+H75,"")</f>
        <v/>
      </c>
      <c r="G134" s="18">
        <f>10/2</f>
        <v>5</v>
      </c>
      <c r="H134" s="18"/>
      <c r="I134" s="4"/>
      <c r="J134" s="4"/>
      <c r="K134" s="4"/>
      <c r="L134" s="4"/>
      <c r="M134" s="4"/>
      <c r="N134" s="4"/>
      <c r="O134" s="4"/>
      <c r="P134" s="4"/>
      <c r="Q134" s="4"/>
      <c r="R134" s="4"/>
      <c r="S134" s="4"/>
      <c r="T134" s="4"/>
      <c r="U134" s="4"/>
      <c r="V134" s="4"/>
      <c r="W134" s="4"/>
      <c r="X134" s="4"/>
      <c r="Y134" s="4"/>
      <c r="Z134" s="4"/>
      <c r="AA134" s="4"/>
      <c r="AB134" s="4"/>
      <c r="AC134" s="4"/>
      <c r="AD134" s="4"/>
      <c r="AE134" s="4"/>
      <c r="AF134" s="4"/>
      <c r="AG134" s="4"/>
      <c r="AH134" s="4"/>
      <c r="AI134" s="4"/>
      <c r="AJ134" s="4"/>
      <c r="AK134" s="4"/>
      <c r="AL134" s="4"/>
      <c r="AM134" s="4"/>
      <c r="AN134" s="4"/>
    </row>
    <row r="135" spans="1:40" ht="16.5" thickBot="1" x14ac:dyDescent="0.3">
      <c r="B135" s="46"/>
      <c r="C135" s="31"/>
      <c r="D135" s="32"/>
      <c r="E135" s="56"/>
      <c r="F135" s="33" t="str">
        <f>IF(F134&gt;G134,G133,H133)</f>
        <v>APROBADO</v>
      </c>
      <c r="G135" s="18"/>
      <c r="H135" s="18"/>
      <c r="I135" s="4"/>
      <c r="J135" s="4"/>
      <c r="K135" s="4"/>
      <c r="L135" s="4"/>
      <c r="M135" s="4"/>
      <c r="N135" s="4"/>
      <c r="O135" s="4"/>
      <c r="P135" s="4"/>
      <c r="Q135" s="4"/>
      <c r="R135" s="4"/>
      <c r="S135" s="4"/>
      <c r="T135" s="4"/>
      <c r="U135" s="4"/>
      <c r="V135" s="4"/>
      <c r="W135" s="4"/>
      <c r="X135" s="4"/>
      <c r="Y135" s="4"/>
      <c r="Z135" s="4"/>
      <c r="AA135" s="4"/>
      <c r="AB135" s="4"/>
      <c r="AC135" s="4"/>
      <c r="AD135" s="4"/>
      <c r="AE135" s="4"/>
      <c r="AF135" s="4"/>
      <c r="AG135" s="4"/>
      <c r="AH135" s="4"/>
      <c r="AI135" s="4"/>
      <c r="AJ135" s="4"/>
      <c r="AK135" s="4"/>
      <c r="AL135" s="4"/>
      <c r="AM135" s="4"/>
      <c r="AN135" s="4"/>
    </row>
    <row r="136" spans="1:40" ht="28.5" x14ac:dyDescent="0.45">
      <c r="B136" s="62" t="s">
        <v>17</v>
      </c>
      <c r="C136" s="129" t="s">
        <v>113</v>
      </c>
      <c r="D136" s="70"/>
      <c r="E136" s="70"/>
      <c r="F136" s="71"/>
      <c r="I136" s="4"/>
      <c r="J136" s="4"/>
      <c r="K136" s="4"/>
      <c r="L136" s="4"/>
      <c r="M136" s="4"/>
      <c r="N136" s="4"/>
      <c r="O136" s="4"/>
      <c r="P136" s="4"/>
      <c r="Q136" s="4"/>
      <c r="R136" s="4"/>
      <c r="S136" s="4"/>
      <c r="T136" s="4"/>
      <c r="U136" s="4"/>
      <c r="V136" s="4"/>
      <c r="W136" s="4"/>
      <c r="X136" s="4"/>
      <c r="Y136" s="4"/>
      <c r="Z136" s="4"/>
      <c r="AA136" s="4"/>
      <c r="AB136" s="4"/>
      <c r="AC136" s="4"/>
      <c r="AD136" s="4"/>
      <c r="AE136" s="4"/>
      <c r="AF136" s="4"/>
      <c r="AG136" s="4"/>
      <c r="AH136" s="4"/>
      <c r="AI136" s="4"/>
      <c r="AJ136" s="4"/>
      <c r="AK136" s="4"/>
      <c r="AL136" s="4"/>
      <c r="AM136" s="4"/>
      <c r="AN136" s="4"/>
    </row>
    <row r="137" spans="1:40" s="47" customFormat="1" x14ac:dyDescent="0.25">
      <c r="A137" s="139"/>
      <c r="B137" s="86" t="s">
        <v>64</v>
      </c>
      <c r="C137" s="88" t="s">
        <v>115</v>
      </c>
      <c r="D137" s="73"/>
      <c r="E137" s="48"/>
      <c r="F137" s="74"/>
      <c r="G137" s="48"/>
      <c r="H137" s="48"/>
    </row>
    <row r="138" spans="1:40" x14ac:dyDescent="0.25">
      <c r="B138" s="87" t="s">
        <v>15</v>
      </c>
      <c r="C138" s="91" t="s">
        <v>116</v>
      </c>
      <c r="D138" s="39"/>
      <c r="E138" s="54" t="s">
        <v>9</v>
      </c>
      <c r="F138" s="26"/>
      <c r="G138" s="18"/>
      <c r="H138" s="20" t="b">
        <f>IF(D140="x",H$2,H$1)</f>
        <v>0</v>
      </c>
      <c r="I138" s="4"/>
      <c r="J138" s="4"/>
      <c r="K138" s="4"/>
      <c r="L138" s="4"/>
      <c r="M138" s="4"/>
      <c r="N138" s="4"/>
      <c r="O138" s="4"/>
      <c r="P138" s="4"/>
      <c r="Q138" s="4"/>
      <c r="R138" s="4"/>
      <c r="S138" s="4"/>
      <c r="T138" s="4"/>
      <c r="U138" s="4"/>
      <c r="V138" s="4"/>
      <c r="W138" s="4"/>
      <c r="X138" s="4"/>
      <c r="Y138" s="4"/>
      <c r="Z138" s="4"/>
      <c r="AA138" s="4"/>
      <c r="AB138" s="4"/>
      <c r="AC138" s="4"/>
      <c r="AD138" s="4"/>
      <c r="AE138" s="4"/>
      <c r="AF138" s="4"/>
      <c r="AG138" s="4"/>
      <c r="AH138" s="4"/>
      <c r="AI138" s="4"/>
      <c r="AJ138" s="4"/>
      <c r="AK138" s="4"/>
      <c r="AL138" s="4"/>
      <c r="AM138" s="4"/>
      <c r="AN138" s="4"/>
    </row>
    <row r="139" spans="1:40" x14ac:dyDescent="0.25">
      <c r="B139" s="87" t="s">
        <v>15</v>
      </c>
      <c r="C139" s="91" t="s">
        <v>117</v>
      </c>
      <c r="D139" s="39"/>
      <c r="E139" s="54" t="s">
        <v>10</v>
      </c>
      <c r="F139" s="21" t="str">
        <f>IF(H140=1,IF(H138=H$2,H138,""),"")</f>
        <v/>
      </c>
      <c r="G139" s="18"/>
      <c r="H139" s="20" t="str">
        <f>IF(E197="comprobar",COUNTIF(D138:D142,"x"),"")</f>
        <v/>
      </c>
      <c r="I139" s="4"/>
      <c r="J139" s="4"/>
      <c r="K139" s="4"/>
      <c r="L139" s="4"/>
      <c r="M139" s="4"/>
      <c r="N139" s="4"/>
      <c r="O139" s="4"/>
      <c r="P139" s="4"/>
      <c r="Q139" s="4"/>
      <c r="R139" s="4"/>
      <c r="S139" s="4"/>
      <c r="T139" s="4"/>
      <c r="U139" s="4"/>
      <c r="V139" s="4"/>
      <c r="W139" s="4"/>
      <c r="X139" s="4"/>
      <c r="Y139" s="4"/>
      <c r="Z139" s="4"/>
      <c r="AA139" s="4"/>
      <c r="AB139" s="4"/>
      <c r="AC139" s="4"/>
      <c r="AD139" s="4"/>
      <c r="AE139" s="4"/>
      <c r="AF139" s="4"/>
      <c r="AG139" s="4"/>
      <c r="AH139" s="4"/>
      <c r="AI139" s="4"/>
      <c r="AJ139" s="4"/>
      <c r="AK139" s="4"/>
      <c r="AL139" s="4"/>
      <c r="AM139" s="4"/>
      <c r="AN139" s="4"/>
    </row>
    <row r="140" spans="1:40" x14ac:dyDescent="0.25">
      <c r="B140" s="87" t="s">
        <v>15</v>
      </c>
      <c r="C140" s="91" t="s">
        <v>118</v>
      </c>
      <c r="D140" s="39"/>
      <c r="E140" s="54" t="s">
        <v>11</v>
      </c>
      <c r="F140" s="22" t="str">
        <f>IF(H140=-0.33,IF(H138=H$1,H138,""),"")</f>
        <v/>
      </c>
      <c r="G140" s="18"/>
      <c r="H140" s="23">
        <f t="shared" ref="H140:H194" si="10">IF(H139=1,IF(H138=H$2,1,-0.33),0)</f>
        <v>0</v>
      </c>
      <c r="I140" s="4"/>
      <c r="J140" s="4"/>
      <c r="K140" s="4"/>
      <c r="L140" s="4"/>
      <c r="M140" s="4"/>
      <c r="N140" s="4"/>
      <c r="O140" s="4"/>
      <c r="P140" s="4"/>
      <c r="Q140" s="4"/>
      <c r="R140" s="4"/>
      <c r="S140" s="4"/>
      <c r="T140" s="4"/>
      <c r="U140" s="4"/>
      <c r="V140" s="4"/>
      <c r="W140" s="4"/>
      <c r="X140" s="4"/>
      <c r="Y140" s="4"/>
      <c r="Z140" s="4"/>
      <c r="AA140" s="4"/>
      <c r="AB140" s="4"/>
      <c r="AC140" s="4"/>
      <c r="AD140" s="4"/>
      <c r="AE140" s="4"/>
      <c r="AF140" s="4"/>
      <c r="AG140" s="4"/>
      <c r="AH140" s="4"/>
      <c r="AI140" s="4"/>
      <c r="AJ140" s="4"/>
      <c r="AK140" s="4"/>
      <c r="AL140" s="4"/>
      <c r="AM140" s="4"/>
      <c r="AN140" s="4"/>
    </row>
    <row r="141" spans="1:40" x14ac:dyDescent="0.25">
      <c r="B141" s="87" t="s">
        <v>15</v>
      </c>
      <c r="C141" s="91" t="s">
        <v>119</v>
      </c>
      <c r="D141" s="39"/>
      <c r="E141" s="54" t="s">
        <v>12</v>
      </c>
      <c r="F141" s="26"/>
      <c r="G141" s="18"/>
      <c r="H141" s="23"/>
      <c r="I141" s="4"/>
      <c r="J141" s="4"/>
      <c r="K141" s="4"/>
      <c r="L141" s="4"/>
      <c r="M141" s="4"/>
      <c r="N141" s="4"/>
      <c r="O141" s="4"/>
      <c r="P141" s="4"/>
      <c r="Q141" s="4"/>
      <c r="R141" s="4"/>
      <c r="S141" s="4"/>
      <c r="T141" s="4"/>
      <c r="U141" s="4"/>
      <c r="V141" s="4"/>
      <c r="W141" s="4"/>
      <c r="X141" s="4"/>
      <c r="Y141" s="4"/>
      <c r="Z141" s="4"/>
      <c r="AA141" s="4"/>
      <c r="AB141" s="4"/>
      <c r="AC141" s="4"/>
      <c r="AD141" s="4"/>
      <c r="AE141" s="4"/>
      <c r="AF141" s="4"/>
      <c r="AG141" s="4"/>
      <c r="AH141" s="4"/>
      <c r="AI141" s="4"/>
      <c r="AJ141" s="4"/>
      <c r="AK141" s="4"/>
      <c r="AL141" s="4"/>
      <c r="AM141" s="4"/>
      <c r="AN141" s="4"/>
    </row>
    <row r="142" spans="1:40" x14ac:dyDescent="0.25">
      <c r="B142" s="65"/>
      <c r="C142" s="66"/>
      <c r="D142" s="39"/>
      <c r="E142" s="54" t="s">
        <v>13</v>
      </c>
      <c r="F142" s="19"/>
      <c r="G142" s="18"/>
      <c r="H142" s="23"/>
      <c r="I142" s="4"/>
      <c r="J142" s="4"/>
      <c r="K142" s="4"/>
      <c r="L142" s="4"/>
      <c r="M142" s="4"/>
      <c r="N142" s="4"/>
      <c r="O142" s="4"/>
      <c r="P142" s="4"/>
      <c r="Q142" s="4"/>
      <c r="R142" s="4"/>
      <c r="S142" s="4"/>
      <c r="T142" s="4"/>
      <c r="U142" s="4"/>
      <c r="V142" s="4"/>
      <c r="W142" s="4"/>
      <c r="X142" s="4"/>
      <c r="Y142" s="4"/>
      <c r="Z142" s="4"/>
      <c r="AA142" s="4"/>
      <c r="AB142" s="4"/>
      <c r="AC142" s="4"/>
      <c r="AD142" s="4"/>
      <c r="AE142" s="4"/>
      <c r="AF142" s="4"/>
      <c r="AG142" s="4"/>
      <c r="AH142" s="4"/>
      <c r="AI142" s="4"/>
      <c r="AJ142" s="4"/>
      <c r="AK142" s="4"/>
      <c r="AL142" s="4"/>
      <c r="AM142" s="4"/>
      <c r="AN142" s="4"/>
    </row>
    <row r="143" spans="1:40" s="4" customFormat="1" x14ac:dyDescent="0.25">
      <c r="B143" s="81"/>
      <c r="C143" s="82"/>
      <c r="D143" s="49"/>
      <c r="E143" s="54"/>
      <c r="F143" s="26"/>
      <c r="G143" s="18"/>
      <c r="H143" s="18"/>
    </row>
    <row r="144" spans="1:40" x14ac:dyDescent="0.25">
      <c r="B144" s="86" t="s">
        <v>62</v>
      </c>
      <c r="C144" s="88" t="s">
        <v>120</v>
      </c>
      <c r="D144" s="73"/>
      <c r="E144" s="48"/>
      <c r="F144" s="73"/>
      <c r="G144" s="18"/>
      <c r="H144" s="20" t="b">
        <f>IF(D146="x",H$2,H$1)</f>
        <v>0</v>
      </c>
      <c r="I144" s="4"/>
      <c r="J144" s="4"/>
      <c r="K144" s="4"/>
      <c r="L144" s="4"/>
      <c r="M144" s="4"/>
      <c r="N144" s="4"/>
      <c r="O144" s="4"/>
      <c r="P144" s="4"/>
      <c r="Q144" s="4"/>
      <c r="R144" s="4"/>
      <c r="S144" s="4"/>
      <c r="T144" s="4"/>
      <c r="U144" s="4"/>
      <c r="V144" s="4"/>
      <c r="W144" s="4"/>
      <c r="X144" s="4"/>
      <c r="Y144" s="4"/>
      <c r="Z144" s="4"/>
      <c r="AA144" s="4"/>
      <c r="AB144" s="4"/>
      <c r="AC144" s="4"/>
      <c r="AD144" s="4"/>
      <c r="AE144" s="4"/>
      <c r="AF144" s="4"/>
      <c r="AG144" s="4"/>
      <c r="AH144" s="4"/>
      <c r="AI144" s="4"/>
      <c r="AJ144" s="4"/>
      <c r="AK144" s="4"/>
      <c r="AL144" s="4"/>
      <c r="AM144" s="4"/>
      <c r="AN144" s="4"/>
    </row>
    <row r="145" spans="1:40" x14ac:dyDescent="0.25">
      <c r="B145" s="87" t="s">
        <v>15</v>
      </c>
      <c r="C145" s="91" t="s">
        <v>121</v>
      </c>
      <c r="D145" s="39"/>
      <c r="E145" s="54" t="s">
        <v>9</v>
      </c>
      <c r="F145" s="21" t="str">
        <f>IF(H146=1,IF(H144=H$2,H144,""),"")</f>
        <v/>
      </c>
      <c r="G145" s="18"/>
      <c r="H145" s="20" t="str">
        <f>IF(E$197="comprobar",COUNTIF(D145:D148,"x"),"")</f>
        <v/>
      </c>
      <c r="I145" s="4"/>
      <c r="J145" s="4"/>
      <c r="K145" s="4"/>
      <c r="L145" s="4"/>
      <c r="M145" s="4"/>
      <c r="N145" s="4"/>
      <c r="O145" s="4"/>
      <c r="P145" s="4"/>
      <c r="Q145" s="4"/>
      <c r="R145" s="4"/>
      <c r="S145" s="4"/>
      <c r="T145" s="4"/>
      <c r="U145" s="4"/>
      <c r="V145" s="4"/>
      <c r="W145" s="4"/>
      <c r="X145" s="4"/>
      <c r="Y145" s="4"/>
      <c r="Z145" s="4"/>
      <c r="AA145" s="4"/>
      <c r="AB145" s="4"/>
      <c r="AC145" s="4"/>
      <c r="AD145" s="4"/>
      <c r="AE145" s="4"/>
      <c r="AF145" s="4"/>
      <c r="AG145" s="4"/>
      <c r="AH145" s="4"/>
      <c r="AI145" s="4"/>
      <c r="AJ145" s="4"/>
      <c r="AK145" s="4"/>
      <c r="AL145" s="4"/>
      <c r="AM145" s="4"/>
      <c r="AN145" s="4"/>
    </row>
    <row r="146" spans="1:40" x14ac:dyDescent="0.25">
      <c r="B146" s="87" t="s">
        <v>15</v>
      </c>
      <c r="C146" s="91" t="s">
        <v>122</v>
      </c>
      <c r="D146" s="39"/>
      <c r="E146" s="54" t="s">
        <v>10</v>
      </c>
      <c r="F146" s="22" t="str">
        <f>IF(H146=-0.33,IF(H144=H$1,H144,""),"")</f>
        <v/>
      </c>
      <c r="G146" s="18"/>
      <c r="H146" s="23">
        <f t="shared" si="10"/>
        <v>0</v>
      </c>
      <c r="I146" s="4"/>
      <c r="J146" s="4"/>
      <c r="K146" s="4"/>
      <c r="L146" s="4"/>
      <c r="M146" s="4"/>
      <c r="N146" s="4"/>
      <c r="O146" s="4"/>
      <c r="P146" s="4"/>
      <c r="Q146" s="4"/>
      <c r="R146" s="4"/>
      <c r="S146" s="4"/>
      <c r="T146" s="4"/>
      <c r="U146" s="4"/>
      <c r="V146" s="4"/>
      <c r="W146" s="4"/>
      <c r="X146" s="4"/>
      <c r="Y146" s="4"/>
      <c r="Z146" s="4"/>
      <c r="AA146" s="4"/>
      <c r="AB146" s="4"/>
      <c r="AC146" s="4"/>
      <c r="AD146" s="4"/>
      <c r="AE146" s="4"/>
      <c r="AF146" s="4"/>
      <c r="AG146" s="4"/>
      <c r="AH146" s="4"/>
      <c r="AI146" s="4"/>
      <c r="AJ146" s="4"/>
      <c r="AK146" s="4"/>
      <c r="AL146" s="4"/>
      <c r="AM146" s="4"/>
      <c r="AN146" s="4"/>
    </row>
    <row r="147" spans="1:40" x14ac:dyDescent="0.25">
      <c r="B147" s="87" t="s">
        <v>15</v>
      </c>
      <c r="C147" s="91" t="s">
        <v>123</v>
      </c>
      <c r="D147" s="39"/>
      <c r="E147" s="54" t="s">
        <v>11</v>
      </c>
      <c r="F147" s="26"/>
      <c r="G147" s="18"/>
      <c r="H147" s="23"/>
      <c r="I147" s="4"/>
      <c r="J147" s="4"/>
      <c r="K147" s="4"/>
      <c r="L147" s="4"/>
      <c r="M147" s="4"/>
      <c r="N147" s="4"/>
      <c r="O147" s="4"/>
      <c r="P147" s="4"/>
      <c r="Q147" s="4"/>
      <c r="R147" s="4"/>
      <c r="S147" s="4"/>
      <c r="T147" s="4"/>
      <c r="U147" s="4"/>
      <c r="V147" s="4"/>
      <c r="W147" s="4"/>
      <c r="X147" s="4"/>
      <c r="Y147" s="4"/>
      <c r="Z147" s="4"/>
      <c r="AA147" s="4"/>
      <c r="AB147" s="4"/>
      <c r="AC147" s="4"/>
      <c r="AD147" s="4"/>
      <c r="AE147" s="4"/>
      <c r="AF147" s="4"/>
      <c r="AG147" s="4"/>
      <c r="AH147" s="4"/>
      <c r="AI147" s="4"/>
      <c r="AJ147" s="4"/>
      <c r="AK147" s="4"/>
      <c r="AL147" s="4"/>
      <c r="AM147" s="4"/>
      <c r="AN147" s="4"/>
    </row>
    <row r="148" spans="1:40" x14ac:dyDescent="0.25">
      <c r="B148" s="87" t="s">
        <v>15</v>
      </c>
      <c r="C148" s="91" t="s">
        <v>124</v>
      </c>
      <c r="D148" s="39"/>
      <c r="E148" s="54" t="s">
        <v>12</v>
      </c>
      <c r="F148" s="19"/>
      <c r="G148" s="18"/>
      <c r="H148" s="23"/>
      <c r="I148" s="4"/>
      <c r="J148" s="4"/>
      <c r="K148" s="4"/>
      <c r="L148" s="4"/>
      <c r="M148" s="4"/>
      <c r="N148" s="4"/>
      <c r="O148" s="4"/>
      <c r="P148" s="4"/>
      <c r="Q148" s="4"/>
      <c r="R148" s="4"/>
      <c r="S148" s="4"/>
      <c r="T148" s="4"/>
      <c r="U148" s="4"/>
      <c r="V148" s="4"/>
      <c r="W148" s="4"/>
      <c r="X148" s="4"/>
      <c r="Y148" s="4"/>
      <c r="Z148" s="4"/>
      <c r="AA148" s="4"/>
      <c r="AB148" s="4"/>
      <c r="AC148" s="4"/>
      <c r="AD148" s="4"/>
      <c r="AE148" s="4"/>
      <c r="AF148" s="4"/>
      <c r="AG148" s="4"/>
      <c r="AH148" s="4"/>
      <c r="AI148" s="4"/>
      <c r="AJ148" s="4"/>
      <c r="AK148" s="4"/>
      <c r="AL148" s="4"/>
      <c r="AM148" s="4"/>
      <c r="AN148" s="4"/>
    </row>
    <row r="149" spans="1:40" s="16" customFormat="1" x14ac:dyDescent="0.25">
      <c r="A149" s="139"/>
      <c r="B149" s="86" t="s">
        <v>69</v>
      </c>
      <c r="C149" s="88" t="s">
        <v>125</v>
      </c>
      <c r="D149" s="80"/>
      <c r="E149" s="53"/>
      <c r="F149" s="28"/>
      <c r="G149" s="14"/>
      <c r="H149" s="14"/>
    </row>
    <row r="150" spans="1:40" x14ac:dyDescent="0.25">
      <c r="B150" s="87" t="s">
        <v>15</v>
      </c>
      <c r="C150" s="91" t="s">
        <v>126</v>
      </c>
      <c r="D150" s="39"/>
      <c r="E150" s="54" t="s">
        <v>9</v>
      </c>
      <c r="F150" s="26"/>
      <c r="G150" s="18"/>
      <c r="H150" s="20" t="b">
        <f>IF(D153="x",H$2,H$1)</f>
        <v>0</v>
      </c>
      <c r="I150" s="4"/>
      <c r="J150" s="4"/>
      <c r="K150" s="4"/>
      <c r="L150" s="4"/>
      <c r="M150" s="4"/>
      <c r="N150" s="4"/>
      <c r="O150" s="4"/>
      <c r="P150" s="4"/>
      <c r="Q150" s="4"/>
      <c r="R150" s="4"/>
      <c r="S150" s="4"/>
      <c r="T150" s="4"/>
      <c r="U150" s="4"/>
      <c r="V150" s="4"/>
      <c r="W150" s="4"/>
      <c r="X150" s="4"/>
      <c r="Y150" s="4"/>
      <c r="Z150" s="4"/>
      <c r="AA150" s="4"/>
      <c r="AB150" s="4"/>
      <c r="AC150" s="4"/>
      <c r="AD150" s="4"/>
      <c r="AE150" s="4"/>
      <c r="AF150" s="4"/>
      <c r="AG150" s="4"/>
      <c r="AH150" s="4"/>
      <c r="AI150" s="4"/>
      <c r="AJ150" s="4"/>
      <c r="AK150" s="4"/>
      <c r="AL150" s="4"/>
      <c r="AM150" s="4"/>
      <c r="AN150" s="4"/>
    </row>
    <row r="151" spans="1:40" x14ac:dyDescent="0.25">
      <c r="B151" s="87" t="s">
        <v>15</v>
      </c>
      <c r="C151" s="143" t="s">
        <v>127</v>
      </c>
      <c r="D151" s="39"/>
      <c r="E151" s="54" t="s">
        <v>10</v>
      </c>
      <c r="F151" s="21" t="str">
        <f>IF(H152=1,IF(H150=H$2,H150,""),"")</f>
        <v/>
      </c>
      <c r="G151" s="18"/>
      <c r="H151" s="20" t="str">
        <f>IF(E$197="comprobar",COUNTIF(D150:D154,"x"),"")</f>
        <v/>
      </c>
      <c r="I151" s="4"/>
      <c r="J151" s="4"/>
      <c r="K151" s="4"/>
      <c r="L151" s="4"/>
      <c r="M151" s="4"/>
      <c r="N151" s="4"/>
      <c r="O151" s="4"/>
      <c r="P151" s="4"/>
      <c r="Q151" s="4"/>
      <c r="R151" s="4"/>
      <c r="S151" s="4"/>
      <c r="T151" s="4"/>
      <c r="U151" s="4"/>
      <c r="V151" s="4"/>
      <c r="W151" s="4"/>
      <c r="X151" s="4"/>
      <c r="Y151" s="4"/>
      <c r="Z151" s="4"/>
      <c r="AA151" s="4"/>
      <c r="AB151" s="4"/>
      <c r="AC151" s="4"/>
      <c r="AD151" s="4"/>
      <c r="AE151" s="4"/>
      <c r="AF151" s="4"/>
      <c r="AG151" s="4"/>
      <c r="AH151" s="4"/>
      <c r="AI151" s="4"/>
      <c r="AJ151" s="4"/>
      <c r="AK151" s="4"/>
      <c r="AL151" s="4"/>
      <c r="AM151" s="4"/>
      <c r="AN151" s="4"/>
    </row>
    <row r="152" spans="1:40" x14ac:dyDescent="0.25">
      <c r="B152" s="87" t="s">
        <v>15</v>
      </c>
      <c r="C152" t="s">
        <v>128</v>
      </c>
      <c r="D152" s="39"/>
      <c r="E152" s="54" t="s">
        <v>11</v>
      </c>
      <c r="F152" s="22" t="str">
        <f>IF(H152=-0.33,IF(H150=H$1,H150,""),"")</f>
        <v/>
      </c>
      <c r="G152" s="18"/>
      <c r="H152" s="23">
        <f t="shared" si="10"/>
        <v>0</v>
      </c>
      <c r="I152" s="4"/>
      <c r="J152" s="4"/>
      <c r="K152" s="4"/>
      <c r="L152" s="4"/>
      <c r="M152" s="4"/>
      <c r="N152" s="4"/>
      <c r="O152" s="4"/>
      <c r="P152" s="4"/>
      <c r="Q152" s="4"/>
      <c r="R152" s="4"/>
      <c r="S152" s="4"/>
      <c r="T152" s="4"/>
      <c r="U152" s="4"/>
      <c r="V152" s="4"/>
      <c r="W152" s="4"/>
      <c r="X152" s="4"/>
      <c r="Y152" s="4"/>
      <c r="Z152" s="4"/>
      <c r="AA152" s="4"/>
      <c r="AB152" s="4"/>
      <c r="AC152" s="4"/>
      <c r="AD152" s="4"/>
      <c r="AE152" s="4"/>
      <c r="AF152" s="4"/>
      <c r="AG152" s="4"/>
      <c r="AH152" s="4"/>
      <c r="AI152" s="4"/>
      <c r="AJ152" s="4"/>
      <c r="AK152" s="4"/>
      <c r="AL152" s="4"/>
      <c r="AM152" s="4"/>
      <c r="AN152" s="4"/>
    </row>
    <row r="153" spans="1:40" x14ac:dyDescent="0.25">
      <c r="B153" s="87" t="s">
        <v>15</v>
      </c>
      <c r="C153" s="91" t="s">
        <v>129</v>
      </c>
      <c r="D153" s="39"/>
      <c r="E153" s="54" t="s">
        <v>12</v>
      </c>
      <c r="F153" s="26"/>
      <c r="G153" s="18"/>
      <c r="H153" s="23"/>
      <c r="I153" s="4"/>
      <c r="J153" s="4"/>
      <c r="K153" s="4"/>
      <c r="L153" s="4"/>
      <c r="M153" s="4"/>
      <c r="N153" s="4"/>
      <c r="O153" s="4"/>
      <c r="P153" s="4"/>
      <c r="Q153" s="4"/>
      <c r="R153" s="4"/>
      <c r="S153" s="4"/>
      <c r="T153" s="4"/>
      <c r="U153" s="4"/>
      <c r="V153" s="4"/>
      <c r="W153" s="4"/>
      <c r="X153" s="4"/>
      <c r="Y153" s="4"/>
      <c r="Z153" s="4"/>
      <c r="AA153" s="4"/>
      <c r="AB153" s="4"/>
      <c r="AC153" s="4"/>
      <c r="AD153" s="4"/>
      <c r="AE153" s="4"/>
      <c r="AF153" s="4"/>
      <c r="AG153" s="4"/>
      <c r="AH153" s="4"/>
      <c r="AI153" s="4"/>
      <c r="AJ153" s="4"/>
      <c r="AK153" s="4"/>
      <c r="AL153" s="4"/>
      <c r="AM153" s="4"/>
      <c r="AN153" s="4"/>
    </row>
    <row r="154" spans="1:40" x14ac:dyDescent="0.25">
      <c r="B154" s="65"/>
      <c r="C154" s="66"/>
      <c r="D154" s="39"/>
      <c r="E154" s="54" t="s">
        <v>13</v>
      </c>
      <c r="F154" s="19"/>
      <c r="G154" s="18"/>
      <c r="H154" s="23"/>
      <c r="I154" s="4"/>
      <c r="J154" s="4"/>
      <c r="K154" s="4"/>
      <c r="L154" s="4"/>
      <c r="M154" s="4"/>
      <c r="N154" s="4"/>
      <c r="O154" s="4"/>
      <c r="P154" s="4"/>
      <c r="Q154" s="4"/>
      <c r="R154" s="4"/>
      <c r="S154" s="4"/>
      <c r="T154" s="4"/>
      <c r="U154" s="4"/>
      <c r="V154" s="4"/>
      <c r="W154" s="4"/>
      <c r="X154" s="4"/>
      <c r="Y154" s="4"/>
      <c r="Z154" s="4"/>
      <c r="AA154" s="4"/>
      <c r="AB154" s="4"/>
      <c r="AC154" s="4"/>
      <c r="AD154" s="4"/>
      <c r="AE154" s="4"/>
      <c r="AF154" s="4"/>
      <c r="AG154" s="4"/>
      <c r="AH154" s="4"/>
      <c r="AI154" s="4"/>
      <c r="AJ154" s="4"/>
      <c r="AK154" s="4"/>
      <c r="AL154" s="4"/>
      <c r="AM154" s="4"/>
      <c r="AN154" s="4"/>
    </row>
    <row r="155" spans="1:40" s="16" customFormat="1" x14ac:dyDescent="0.25">
      <c r="A155" s="4"/>
      <c r="B155" s="86" t="s">
        <v>75</v>
      </c>
      <c r="C155" s="88" t="s">
        <v>130</v>
      </c>
      <c r="D155" s="80"/>
      <c r="E155" s="53"/>
      <c r="F155" s="28"/>
      <c r="G155" s="14"/>
      <c r="H155" s="14"/>
    </row>
    <row r="156" spans="1:40" ht="32.25" customHeight="1" x14ac:dyDescent="0.25">
      <c r="B156" s="87" t="s">
        <v>15</v>
      </c>
      <c r="C156" s="144" t="s">
        <v>131</v>
      </c>
      <c r="D156" s="39"/>
      <c r="E156" s="54" t="s">
        <v>9</v>
      </c>
      <c r="F156" s="26"/>
      <c r="G156" s="18"/>
      <c r="H156" s="20" t="b">
        <f>IF(D158="x",H$2,H$1)</f>
        <v>0</v>
      </c>
      <c r="I156" s="4"/>
      <c r="J156" s="4"/>
      <c r="K156" s="4"/>
      <c r="L156" s="4"/>
      <c r="M156" s="4"/>
      <c r="N156" s="4"/>
      <c r="O156" s="4"/>
      <c r="P156" s="4"/>
      <c r="Q156" s="4"/>
      <c r="R156" s="4"/>
      <c r="S156" s="4"/>
      <c r="T156" s="4"/>
      <c r="U156" s="4"/>
      <c r="V156" s="4"/>
      <c r="W156" s="4"/>
      <c r="X156" s="4"/>
      <c r="Y156" s="4"/>
      <c r="Z156" s="4"/>
      <c r="AA156" s="4"/>
      <c r="AB156" s="4"/>
      <c r="AC156" s="4"/>
      <c r="AD156" s="4"/>
      <c r="AE156" s="4"/>
      <c r="AF156" s="4"/>
      <c r="AG156" s="4"/>
      <c r="AH156" s="4"/>
      <c r="AI156" s="4"/>
      <c r="AJ156" s="4"/>
      <c r="AK156" s="4"/>
      <c r="AL156" s="4"/>
      <c r="AM156" s="4"/>
      <c r="AN156" s="4"/>
    </row>
    <row r="157" spans="1:40" ht="27.75" customHeight="1" x14ac:dyDescent="0.25">
      <c r="B157" s="87" t="s">
        <v>15</v>
      </c>
      <c r="C157" s="143" t="s">
        <v>132</v>
      </c>
      <c r="D157" s="39"/>
      <c r="E157" s="54" t="s">
        <v>10</v>
      </c>
      <c r="F157" s="21" t="str">
        <f>IF(H158=1,IF(H156=H$2,H156,""),"")</f>
        <v/>
      </c>
      <c r="G157" s="18"/>
      <c r="H157" s="20" t="str">
        <f>IF(E$197="comprobar",COUNTIF(D156:D160,"x"),"")</f>
        <v/>
      </c>
      <c r="I157" s="4"/>
      <c r="J157" s="4"/>
      <c r="K157" s="4"/>
      <c r="L157" s="4"/>
      <c r="M157" s="4"/>
      <c r="N157" s="4"/>
      <c r="O157" s="4"/>
      <c r="P157" s="4"/>
      <c r="Q157" s="4"/>
      <c r="R157" s="4"/>
      <c r="S157" s="4"/>
      <c r="T157" s="4"/>
      <c r="U157" s="4"/>
      <c r="V157" s="4"/>
      <c r="W157" s="4"/>
      <c r="X157" s="4"/>
      <c r="Y157" s="4"/>
      <c r="Z157" s="4"/>
      <c r="AA157" s="4"/>
      <c r="AB157" s="4"/>
      <c r="AC157" s="4"/>
      <c r="AD157" s="4"/>
      <c r="AE157" s="4"/>
      <c r="AF157" s="4"/>
      <c r="AG157" s="4"/>
      <c r="AH157" s="4"/>
      <c r="AI157" s="4"/>
      <c r="AJ157" s="4"/>
      <c r="AK157" s="4"/>
      <c r="AL157" s="4"/>
      <c r="AM157" s="4"/>
      <c r="AN157" s="4"/>
    </row>
    <row r="158" spans="1:40" ht="30" customHeight="1" x14ac:dyDescent="0.25">
      <c r="B158" s="87" t="s">
        <v>15</v>
      </c>
      <c r="C158" s="145" t="s">
        <v>133</v>
      </c>
      <c r="D158" s="39"/>
      <c r="E158" s="54" t="s">
        <v>11</v>
      </c>
      <c r="F158" s="22" t="str">
        <f>IF(H158=-0.33,IF(H156=H$1,H156,""),"")</f>
        <v/>
      </c>
      <c r="G158" s="18"/>
      <c r="H158" s="23">
        <f t="shared" si="10"/>
        <v>0</v>
      </c>
      <c r="I158" s="4"/>
      <c r="J158" s="4"/>
      <c r="K158" s="4"/>
      <c r="L158" s="4"/>
      <c r="M158" s="4"/>
      <c r="N158" s="4"/>
      <c r="O158" s="4"/>
      <c r="P158" s="4"/>
      <c r="Q158" s="4"/>
      <c r="R158" s="4"/>
      <c r="S158" s="4"/>
      <c r="T158" s="4"/>
      <c r="U158" s="4"/>
      <c r="V158" s="4"/>
      <c r="W158" s="4"/>
      <c r="X158" s="4"/>
      <c r="Y158" s="4"/>
      <c r="Z158" s="4"/>
      <c r="AA158" s="4"/>
      <c r="AB158" s="4"/>
      <c r="AC158" s="4"/>
      <c r="AD158" s="4"/>
      <c r="AE158" s="4"/>
      <c r="AF158" s="4"/>
      <c r="AG158" s="4"/>
      <c r="AH158" s="4"/>
      <c r="AI158" s="4"/>
      <c r="AJ158" s="4"/>
      <c r="AK158" s="4"/>
      <c r="AL158" s="4"/>
      <c r="AM158" s="4"/>
      <c r="AN158" s="4"/>
    </row>
    <row r="159" spans="1:40" x14ac:dyDescent="0.25">
      <c r="B159" s="87" t="s">
        <v>15</v>
      </c>
      <c r="C159" s="91" t="s">
        <v>134</v>
      </c>
      <c r="D159" s="39"/>
      <c r="E159" s="54" t="s">
        <v>12</v>
      </c>
      <c r="F159" s="26"/>
      <c r="G159" s="18"/>
      <c r="H159" s="23"/>
      <c r="I159" s="4"/>
      <c r="J159" s="4"/>
      <c r="K159" s="4"/>
      <c r="L159" s="4"/>
      <c r="M159" s="4"/>
      <c r="N159" s="4"/>
      <c r="O159" s="4"/>
      <c r="P159" s="4"/>
      <c r="Q159" s="4"/>
      <c r="R159" s="4"/>
      <c r="S159" s="4"/>
      <c r="T159" s="4"/>
      <c r="U159" s="4"/>
      <c r="V159" s="4"/>
      <c r="W159" s="4"/>
      <c r="X159" s="4"/>
      <c r="Y159" s="4"/>
      <c r="Z159" s="4"/>
      <c r="AA159" s="4"/>
      <c r="AB159" s="4"/>
      <c r="AC159" s="4"/>
      <c r="AD159" s="4"/>
      <c r="AE159" s="4"/>
      <c r="AF159" s="4"/>
      <c r="AG159" s="4"/>
      <c r="AH159" s="4"/>
      <c r="AI159" s="4"/>
      <c r="AJ159" s="4"/>
      <c r="AK159" s="4"/>
      <c r="AL159" s="4"/>
      <c r="AM159" s="4"/>
      <c r="AN159" s="4"/>
    </row>
    <row r="160" spans="1:40" x14ac:dyDescent="0.25">
      <c r="B160" s="65"/>
      <c r="C160" s="66"/>
      <c r="D160" s="39"/>
      <c r="E160" s="54" t="s">
        <v>13</v>
      </c>
      <c r="F160" s="19"/>
      <c r="G160" s="18"/>
      <c r="H160" s="23"/>
      <c r="I160" s="4"/>
      <c r="J160" s="4"/>
      <c r="K160" s="4"/>
      <c r="L160" s="4"/>
      <c r="M160" s="4"/>
      <c r="N160" s="4"/>
      <c r="O160" s="4"/>
      <c r="P160" s="4"/>
      <c r="Q160" s="4"/>
      <c r="R160" s="4"/>
      <c r="S160" s="4"/>
      <c r="T160" s="4"/>
      <c r="U160" s="4"/>
      <c r="V160" s="4"/>
      <c r="W160" s="4"/>
      <c r="X160" s="4"/>
      <c r="Y160" s="4"/>
      <c r="Z160" s="4"/>
      <c r="AA160" s="4"/>
      <c r="AB160" s="4"/>
      <c r="AC160" s="4"/>
      <c r="AD160" s="4"/>
      <c r="AE160" s="4"/>
      <c r="AF160" s="4"/>
      <c r="AG160" s="4"/>
      <c r="AH160" s="4"/>
      <c r="AI160" s="4"/>
      <c r="AJ160" s="4"/>
      <c r="AK160" s="4"/>
      <c r="AL160" s="4"/>
      <c r="AM160" s="4"/>
      <c r="AN160" s="4"/>
    </row>
    <row r="161" spans="1:40" s="16" customFormat="1" x14ac:dyDescent="0.25">
      <c r="A161" s="4"/>
      <c r="B161" s="140" t="s">
        <v>80</v>
      </c>
      <c r="C161" s="92" t="s">
        <v>135</v>
      </c>
      <c r="D161" s="80"/>
      <c r="E161" s="53"/>
      <c r="F161" s="28"/>
      <c r="G161" s="14"/>
      <c r="H161" s="14"/>
    </row>
    <row r="162" spans="1:40" x14ac:dyDescent="0.25">
      <c r="B162" s="87" t="s">
        <v>15</v>
      </c>
      <c r="C162" s="64" t="s">
        <v>136</v>
      </c>
      <c r="D162" s="39"/>
      <c r="E162" s="54" t="s">
        <v>9</v>
      </c>
      <c r="F162" s="26"/>
      <c r="G162" s="18"/>
      <c r="H162" s="20" t="b">
        <f>IF(D163="x",H$2,H$1)</f>
        <v>0</v>
      </c>
      <c r="I162" s="4"/>
      <c r="J162" s="4"/>
      <c r="K162" s="4"/>
      <c r="L162" s="4"/>
      <c r="M162" s="4"/>
      <c r="N162" s="4"/>
      <c r="O162" s="4"/>
      <c r="P162" s="4"/>
      <c r="Q162" s="4"/>
      <c r="R162" s="4"/>
      <c r="S162" s="4"/>
      <c r="T162" s="4"/>
      <c r="U162" s="4"/>
      <c r="V162" s="4"/>
      <c r="W162" s="4"/>
      <c r="X162" s="4"/>
      <c r="Y162" s="4"/>
      <c r="Z162" s="4"/>
      <c r="AA162" s="4"/>
      <c r="AB162" s="4"/>
      <c r="AC162" s="4"/>
      <c r="AD162" s="4"/>
      <c r="AE162" s="4"/>
      <c r="AF162" s="4"/>
      <c r="AG162" s="4"/>
      <c r="AH162" s="4"/>
      <c r="AI162" s="4"/>
      <c r="AJ162" s="4"/>
      <c r="AK162" s="4"/>
      <c r="AL162" s="4"/>
      <c r="AM162" s="4"/>
      <c r="AN162" s="4"/>
    </row>
    <row r="163" spans="1:40" x14ac:dyDescent="0.25">
      <c r="B163" s="87" t="s">
        <v>15</v>
      </c>
      <c r="C163" s="91" t="s">
        <v>137</v>
      </c>
      <c r="D163" s="39"/>
      <c r="E163" s="54" t="s">
        <v>10</v>
      </c>
      <c r="F163" s="21" t="str">
        <f>IF(H164=1,IF(H162=H$2,H162,""),"")</f>
        <v/>
      </c>
      <c r="G163" s="18"/>
      <c r="H163" s="20" t="str">
        <f>IF(E$197="comprobar",COUNTIF(D162:D166,"x"),"")</f>
        <v/>
      </c>
      <c r="I163" s="4"/>
      <c r="J163" s="4"/>
      <c r="K163" s="4"/>
      <c r="L163" s="4"/>
      <c r="M163" s="4"/>
      <c r="N163" s="4"/>
      <c r="O163" s="4"/>
      <c r="P163" s="4"/>
      <c r="Q163" s="4"/>
      <c r="R163" s="4"/>
      <c r="S163" s="4"/>
      <c r="T163" s="4"/>
      <c r="U163" s="4"/>
      <c r="V163" s="4"/>
      <c r="W163" s="4"/>
      <c r="X163" s="4"/>
      <c r="Y163" s="4"/>
      <c r="Z163" s="4"/>
      <c r="AA163" s="4"/>
      <c r="AB163" s="4"/>
      <c r="AC163" s="4"/>
      <c r="AD163" s="4"/>
      <c r="AE163" s="4"/>
      <c r="AF163" s="4"/>
      <c r="AG163" s="4"/>
      <c r="AH163" s="4"/>
      <c r="AI163" s="4"/>
      <c r="AJ163" s="4"/>
      <c r="AK163" s="4"/>
      <c r="AL163" s="4"/>
      <c r="AM163" s="4"/>
      <c r="AN163" s="4"/>
    </row>
    <row r="164" spans="1:40" x14ac:dyDescent="0.25">
      <c r="B164" s="87" t="s">
        <v>15</v>
      </c>
      <c r="C164" s="91" t="s">
        <v>138</v>
      </c>
      <c r="D164" s="39"/>
      <c r="E164" s="54" t="s">
        <v>11</v>
      </c>
      <c r="F164" s="22" t="str">
        <f>IF(H164=-0.33,IF(H162=H$1,H162,""),"")</f>
        <v/>
      </c>
      <c r="G164" s="18"/>
      <c r="H164" s="23">
        <f t="shared" si="10"/>
        <v>0</v>
      </c>
      <c r="I164" s="4"/>
      <c r="J164" s="4"/>
      <c r="K164" s="4"/>
      <c r="L164" s="4"/>
      <c r="M164" s="4"/>
      <c r="N164" s="4"/>
      <c r="O164" s="4"/>
      <c r="P164" s="4"/>
      <c r="Q164" s="4"/>
      <c r="R164" s="4"/>
      <c r="S164" s="4"/>
      <c r="T164" s="4"/>
      <c r="U164" s="4"/>
      <c r="V164" s="4"/>
      <c r="W164" s="4"/>
      <c r="X164" s="4"/>
      <c r="Y164" s="4"/>
      <c r="Z164" s="4"/>
      <c r="AA164" s="4"/>
      <c r="AB164" s="4"/>
      <c r="AC164" s="4"/>
      <c r="AD164" s="4"/>
      <c r="AE164" s="4"/>
      <c r="AF164" s="4"/>
      <c r="AG164" s="4"/>
      <c r="AH164" s="4"/>
      <c r="AI164" s="4"/>
      <c r="AJ164" s="4"/>
      <c r="AK164" s="4"/>
      <c r="AL164" s="4"/>
      <c r="AM164" s="4"/>
      <c r="AN164" s="4"/>
    </row>
    <row r="165" spans="1:40" x14ac:dyDescent="0.25">
      <c r="B165" s="87" t="s">
        <v>15</v>
      </c>
      <c r="C165" s="91" t="s">
        <v>139</v>
      </c>
      <c r="D165" s="39"/>
      <c r="E165" s="54" t="s">
        <v>12</v>
      </c>
      <c r="F165" s="26"/>
      <c r="G165" s="18"/>
      <c r="H165" s="23"/>
      <c r="I165" s="4"/>
      <c r="J165" s="4"/>
      <c r="K165" s="4"/>
      <c r="L165" s="4"/>
      <c r="M165" s="4"/>
      <c r="N165" s="4"/>
      <c r="O165" s="4"/>
      <c r="P165" s="4"/>
      <c r="Q165" s="4"/>
      <c r="R165" s="4"/>
      <c r="S165" s="4"/>
      <c r="T165" s="4"/>
      <c r="U165" s="4"/>
      <c r="V165" s="4"/>
      <c r="W165" s="4"/>
      <c r="X165" s="4"/>
      <c r="Y165" s="4"/>
      <c r="Z165" s="4"/>
      <c r="AA165" s="4"/>
      <c r="AB165" s="4"/>
      <c r="AC165" s="4"/>
      <c r="AD165" s="4"/>
      <c r="AE165" s="4"/>
      <c r="AF165" s="4"/>
      <c r="AG165" s="4"/>
      <c r="AH165" s="4"/>
      <c r="AI165" s="4"/>
      <c r="AJ165" s="4"/>
      <c r="AK165" s="4"/>
      <c r="AL165" s="4"/>
      <c r="AM165" s="4"/>
      <c r="AN165" s="4"/>
    </row>
    <row r="166" spans="1:40" x14ac:dyDescent="0.25">
      <c r="B166" s="65"/>
      <c r="C166" s="66"/>
      <c r="D166" s="39"/>
      <c r="E166" s="54" t="s">
        <v>13</v>
      </c>
      <c r="F166" s="19"/>
      <c r="G166" s="18"/>
      <c r="H166" s="23"/>
      <c r="I166" s="4"/>
      <c r="J166" s="4"/>
      <c r="K166" s="4"/>
      <c r="L166" s="4"/>
      <c r="M166" s="4"/>
      <c r="N166" s="4"/>
      <c r="O166" s="4"/>
      <c r="P166" s="4"/>
      <c r="Q166" s="4"/>
      <c r="R166" s="4"/>
      <c r="S166" s="4"/>
      <c r="T166" s="4"/>
      <c r="U166" s="4"/>
      <c r="V166" s="4"/>
      <c r="W166" s="4"/>
      <c r="X166" s="4"/>
      <c r="Y166" s="4"/>
      <c r="Z166" s="4"/>
      <c r="AA166" s="4"/>
      <c r="AB166" s="4"/>
      <c r="AC166" s="4"/>
      <c r="AD166" s="4"/>
      <c r="AE166" s="4"/>
      <c r="AF166" s="4"/>
      <c r="AG166" s="4"/>
      <c r="AH166" s="4"/>
      <c r="AI166" s="4"/>
      <c r="AJ166" s="4"/>
      <c r="AK166" s="4"/>
      <c r="AL166" s="4"/>
      <c r="AM166" s="4"/>
      <c r="AN166" s="4"/>
    </row>
    <row r="167" spans="1:40" s="16" customFormat="1" x14ac:dyDescent="0.25">
      <c r="A167" s="4"/>
      <c r="B167" s="140" t="s">
        <v>85</v>
      </c>
      <c r="C167" s="92" t="s">
        <v>140</v>
      </c>
      <c r="D167" s="80"/>
      <c r="E167" s="53"/>
      <c r="F167" s="28"/>
      <c r="G167" s="14"/>
      <c r="H167" s="14"/>
    </row>
    <row r="168" spans="1:40" x14ac:dyDescent="0.25">
      <c r="B168" s="87" t="s">
        <v>15</v>
      </c>
      <c r="C168" s="64" t="s">
        <v>141</v>
      </c>
      <c r="D168" s="39"/>
      <c r="E168" s="54" t="s">
        <v>9</v>
      </c>
      <c r="F168" s="26"/>
      <c r="G168" s="18"/>
      <c r="H168" s="20" t="b">
        <f>IF(D171="x",H$2,H$1)</f>
        <v>0</v>
      </c>
      <c r="I168" s="4"/>
      <c r="J168" s="4"/>
      <c r="K168" s="4"/>
      <c r="L168" s="4"/>
      <c r="M168" s="4"/>
      <c r="N168" s="4"/>
      <c r="O168" s="4"/>
      <c r="P168" s="4"/>
      <c r="Q168" s="4"/>
      <c r="R168" s="4"/>
      <c r="S168" s="4"/>
      <c r="T168" s="4"/>
      <c r="U168" s="4"/>
      <c r="V168" s="4"/>
      <c r="W168" s="4"/>
      <c r="X168" s="4"/>
      <c r="Y168" s="4"/>
      <c r="Z168" s="4"/>
      <c r="AA168" s="4"/>
      <c r="AB168" s="4"/>
      <c r="AC168" s="4"/>
      <c r="AD168" s="4"/>
      <c r="AE168" s="4"/>
      <c r="AF168" s="4"/>
      <c r="AG168" s="4"/>
      <c r="AH168" s="4"/>
      <c r="AI168" s="4"/>
      <c r="AJ168" s="4"/>
      <c r="AK168" s="4"/>
      <c r="AL168" s="4"/>
      <c r="AM168" s="4"/>
      <c r="AN168" s="4"/>
    </row>
    <row r="169" spans="1:40" x14ac:dyDescent="0.25">
      <c r="B169" s="87" t="s">
        <v>15</v>
      </c>
      <c r="C169" s="91" t="s">
        <v>142</v>
      </c>
      <c r="D169" s="39"/>
      <c r="E169" s="54" t="s">
        <v>10</v>
      </c>
      <c r="F169" s="21" t="str">
        <f>IF(H170=1,IF(H168=H$2,H168,""),"")</f>
        <v/>
      </c>
      <c r="G169" s="18"/>
      <c r="H169" s="20" t="str">
        <f>IF(E$197="comprobar",COUNTIF(D168:D172,"x"),"")</f>
        <v/>
      </c>
      <c r="I169" s="4"/>
      <c r="J169" s="4"/>
      <c r="K169" s="4"/>
      <c r="L169" s="4"/>
      <c r="M169" s="4"/>
      <c r="N169" s="4"/>
      <c r="O169" s="4"/>
      <c r="P169" s="4"/>
      <c r="Q169" s="4"/>
      <c r="R169" s="4"/>
      <c r="S169" s="4"/>
      <c r="T169" s="4"/>
      <c r="U169" s="4"/>
      <c r="V169" s="4"/>
      <c r="W169" s="4"/>
      <c r="X169" s="4"/>
      <c r="Y169" s="4"/>
      <c r="Z169" s="4"/>
      <c r="AA169" s="4"/>
      <c r="AB169" s="4"/>
      <c r="AC169" s="4"/>
      <c r="AD169" s="4"/>
      <c r="AE169" s="4"/>
      <c r="AF169" s="4"/>
      <c r="AG169" s="4"/>
      <c r="AH169" s="4"/>
      <c r="AI169" s="4"/>
      <c r="AJ169" s="4"/>
      <c r="AK169" s="4"/>
      <c r="AL169" s="4"/>
      <c r="AM169" s="4"/>
      <c r="AN169" s="4"/>
    </row>
    <row r="170" spans="1:40" x14ac:dyDescent="0.25">
      <c r="B170" s="87" t="s">
        <v>15</v>
      </c>
      <c r="C170" s="91" t="s">
        <v>143</v>
      </c>
      <c r="D170" s="39"/>
      <c r="E170" s="54" t="s">
        <v>11</v>
      </c>
      <c r="F170" s="22" t="str">
        <f>IF(H170=-0.33,IF(H168=H$1,H168,""),"")</f>
        <v/>
      </c>
      <c r="G170" s="18"/>
      <c r="H170" s="23">
        <f t="shared" si="10"/>
        <v>0</v>
      </c>
      <c r="I170" s="4"/>
      <c r="J170" s="4"/>
      <c r="K170" s="4"/>
      <c r="L170" s="4"/>
      <c r="M170" s="4"/>
      <c r="N170" s="4"/>
      <c r="O170" s="4"/>
      <c r="P170" s="4"/>
      <c r="Q170" s="4"/>
      <c r="R170" s="4"/>
      <c r="S170" s="4"/>
      <c r="T170" s="4"/>
      <c r="U170" s="4"/>
      <c r="V170" s="4"/>
      <c r="W170" s="4"/>
      <c r="X170" s="4"/>
      <c r="Y170" s="4"/>
      <c r="Z170" s="4"/>
      <c r="AA170" s="4"/>
      <c r="AB170" s="4"/>
      <c r="AC170" s="4"/>
      <c r="AD170" s="4"/>
      <c r="AE170" s="4"/>
      <c r="AF170" s="4"/>
      <c r="AG170" s="4"/>
      <c r="AH170" s="4"/>
      <c r="AI170" s="4"/>
      <c r="AJ170" s="4"/>
      <c r="AK170" s="4"/>
      <c r="AL170" s="4"/>
      <c r="AM170" s="4"/>
      <c r="AN170" s="4"/>
    </row>
    <row r="171" spans="1:40" x14ac:dyDescent="0.25">
      <c r="B171" s="87" t="s">
        <v>15</v>
      </c>
      <c r="C171" s="91" t="s">
        <v>144</v>
      </c>
      <c r="D171" s="39"/>
      <c r="E171" s="54" t="s">
        <v>12</v>
      </c>
      <c r="F171" s="26"/>
      <c r="G171" s="18"/>
      <c r="H171" s="23"/>
      <c r="I171" s="4"/>
      <c r="J171" s="4"/>
      <c r="K171" s="4"/>
      <c r="L171" s="4"/>
      <c r="M171" s="4"/>
      <c r="N171" s="4"/>
      <c r="O171" s="4"/>
      <c r="P171" s="4"/>
      <c r="Q171" s="4"/>
      <c r="R171" s="4"/>
      <c r="S171" s="4"/>
      <c r="T171" s="4"/>
      <c r="U171" s="4"/>
      <c r="V171" s="4"/>
      <c r="W171" s="4"/>
      <c r="X171" s="4"/>
      <c r="Y171" s="4"/>
      <c r="Z171" s="4"/>
      <c r="AA171" s="4"/>
      <c r="AB171" s="4"/>
      <c r="AC171" s="4"/>
      <c r="AD171" s="4"/>
      <c r="AE171" s="4"/>
      <c r="AF171" s="4"/>
      <c r="AG171" s="4"/>
      <c r="AH171" s="4"/>
      <c r="AI171" s="4"/>
      <c r="AJ171" s="4"/>
      <c r="AK171" s="4"/>
      <c r="AL171" s="4"/>
      <c r="AM171" s="4"/>
      <c r="AN171" s="4"/>
    </row>
    <row r="172" spans="1:40" x14ac:dyDescent="0.25">
      <c r="B172" s="65"/>
      <c r="C172" s="66"/>
      <c r="D172" s="39"/>
      <c r="E172" s="54" t="s">
        <v>13</v>
      </c>
      <c r="F172" s="19"/>
      <c r="G172" s="18"/>
      <c r="H172" s="23"/>
      <c r="I172" s="4"/>
      <c r="J172" s="4"/>
      <c r="K172" s="4"/>
      <c r="L172" s="4"/>
      <c r="M172" s="4"/>
      <c r="N172" s="4"/>
      <c r="O172" s="4"/>
      <c r="P172" s="4"/>
      <c r="Q172" s="4"/>
      <c r="R172" s="4"/>
      <c r="S172" s="4"/>
      <c r="T172" s="4"/>
      <c r="U172" s="4"/>
      <c r="V172" s="4"/>
      <c r="W172" s="4"/>
      <c r="X172" s="4"/>
      <c r="Y172" s="4"/>
      <c r="Z172" s="4"/>
      <c r="AA172" s="4"/>
      <c r="AB172" s="4"/>
      <c r="AC172" s="4"/>
      <c r="AD172" s="4"/>
      <c r="AE172" s="4"/>
      <c r="AF172" s="4"/>
      <c r="AG172" s="4"/>
      <c r="AH172" s="4"/>
      <c r="AI172" s="4"/>
      <c r="AJ172" s="4"/>
      <c r="AK172" s="4"/>
      <c r="AL172" s="4"/>
      <c r="AM172" s="4"/>
      <c r="AN172" s="4"/>
    </row>
    <row r="173" spans="1:40" s="16" customFormat="1" x14ac:dyDescent="0.25">
      <c r="A173" s="4"/>
      <c r="B173" s="140" t="s">
        <v>91</v>
      </c>
      <c r="C173" s="92" t="s">
        <v>145</v>
      </c>
      <c r="D173" s="80"/>
      <c r="E173" s="53"/>
      <c r="F173" s="28"/>
      <c r="G173" s="14"/>
      <c r="H173" s="14"/>
    </row>
    <row r="174" spans="1:40" s="35" customFormat="1" x14ac:dyDescent="0.25">
      <c r="A174" s="4"/>
      <c r="B174" s="87" t="s">
        <v>15</v>
      </c>
      <c r="C174" s="142" t="s">
        <v>146</v>
      </c>
      <c r="D174" s="39"/>
      <c r="E174" s="54" t="s">
        <v>9</v>
      </c>
      <c r="F174" s="26"/>
      <c r="G174" s="18"/>
      <c r="H174" s="20" t="b">
        <f>IF(D176="x",H$2,H$1)</f>
        <v>0</v>
      </c>
      <c r="I174" s="50"/>
      <c r="J174" s="50"/>
      <c r="K174" s="50"/>
      <c r="L174" s="50"/>
      <c r="M174" s="50"/>
      <c r="N174" s="50"/>
      <c r="O174" s="50"/>
      <c r="P174" s="50"/>
      <c r="Q174" s="50"/>
      <c r="R174" s="50"/>
      <c r="S174" s="50"/>
      <c r="T174" s="50"/>
      <c r="U174" s="50"/>
      <c r="V174" s="50"/>
      <c r="W174" s="50"/>
      <c r="X174" s="50"/>
      <c r="Y174" s="50"/>
      <c r="Z174" s="50"/>
      <c r="AA174" s="50"/>
      <c r="AB174" s="50"/>
      <c r="AC174" s="50"/>
      <c r="AD174" s="50"/>
      <c r="AE174" s="50"/>
      <c r="AF174" s="50"/>
      <c r="AG174" s="50"/>
      <c r="AH174" s="50"/>
      <c r="AI174" s="50"/>
      <c r="AJ174" s="50"/>
      <c r="AK174" s="50"/>
      <c r="AL174" s="50"/>
      <c r="AM174" s="50"/>
      <c r="AN174" s="50"/>
    </row>
    <row r="175" spans="1:40" x14ac:dyDescent="0.25">
      <c r="B175" s="87" t="s">
        <v>15</v>
      </c>
      <c r="C175" s="91" t="s">
        <v>147</v>
      </c>
      <c r="D175" s="39"/>
      <c r="E175" s="54" t="s">
        <v>10</v>
      </c>
      <c r="F175" s="21" t="str">
        <f>IF(H176=1,IF(H174=H$2,H174,""),"")</f>
        <v/>
      </c>
      <c r="G175" s="18"/>
      <c r="H175" s="20" t="str">
        <f>IF(E$197="comprobar",COUNTIF(D174:D178,"x"),"")</f>
        <v/>
      </c>
      <c r="I175" s="4"/>
      <c r="J175" s="4"/>
      <c r="K175" s="4"/>
      <c r="L175" s="4"/>
      <c r="M175" s="4"/>
      <c r="N175" s="4"/>
      <c r="O175" s="4"/>
      <c r="P175" s="4"/>
      <c r="Q175" s="4"/>
      <c r="R175" s="4"/>
      <c r="S175" s="4"/>
      <c r="T175" s="4"/>
      <c r="U175" s="4"/>
      <c r="V175" s="4"/>
      <c r="W175" s="4"/>
      <c r="X175" s="4"/>
      <c r="Y175" s="4"/>
      <c r="Z175" s="4"/>
      <c r="AA175" s="4"/>
      <c r="AB175" s="4"/>
      <c r="AC175" s="4"/>
      <c r="AD175" s="4"/>
      <c r="AE175" s="4"/>
      <c r="AF175" s="4"/>
      <c r="AG175" s="4"/>
      <c r="AH175" s="4"/>
      <c r="AI175" s="4"/>
      <c r="AJ175" s="4"/>
      <c r="AK175" s="4"/>
      <c r="AL175" s="4"/>
      <c r="AM175" s="4"/>
      <c r="AN175" s="4"/>
    </row>
    <row r="176" spans="1:40" x14ac:dyDescent="0.25">
      <c r="B176" s="87" t="s">
        <v>15</v>
      </c>
      <c r="C176" s="143" t="s">
        <v>148</v>
      </c>
      <c r="D176" s="39"/>
      <c r="E176" s="54" t="s">
        <v>11</v>
      </c>
      <c r="F176" s="22" t="str">
        <f>IF(H176=-0.33,IF(H174=H$1,H174,""),"")</f>
        <v/>
      </c>
      <c r="G176" s="18"/>
      <c r="H176" s="23">
        <f t="shared" si="10"/>
        <v>0</v>
      </c>
      <c r="I176" s="4"/>
      <c r="J176" s="4"/>
      <c r="K176" s="4"/>
      <c r="L176" s="4"/>
      <c r="M176" s="4"/>
      <c r="N176" s="4"/>
      <c r="O176" s="4"/>
      <c r="P176" s="4"/>
      <c r="Q176" s="4"/>
      <c r="R176" s="4"/>
      <c r="S176" s="4"/>
      <c r="T176" s="4"/>
      <c r="U176" s="4"/>
      <c r="V176" s="4"/>
      <c r="W176" s="4"/>
      <c r="X176" s="4"/>
      <c r="Y176" s="4"/>
      <c r="Z176" s="4"/>
      <c r="AA176" s="4"/>
      <c r="AB176" s="4"/>
      <c r="AC176" s="4"/>
      <c r="AD176" s="4"/>
      <c r="AE176" s="4"/>
      <c r="AF176" s="4"/>
      <c r="AG176" s="4"/>
      <c r="AH176" s="4"/>
      <c r="AI176" s="4"/>
      <c r="AJ176" s="4"/>
      <c r="AK176" s="4"/>
      <c r="AL176" s="4"/>
      <c r="AM176" s="4"/>
      <c r="AN176" s="4"/>
    </row>
    <row r="177" spans="1:40" x14ac:dyDescent="0.25">
      <c r="B177" s="87" t="s">
        <v>15</v>
      </c>
      <c r="C177" s="91" t="s">
        <v>149</v>
      </c>
      <c r="D177" s="39"/>
      <c r="E177" s="54" t="s">
        <v>12</v>
      </c>
      <c r="F177" s="26"/>
      <c r="G177" s="18"/>
      <c r="H177" s="23"/>
      <c r="I177" s="4"/>
      <c r="J177" s="4"/>
      <c r="K177" s="4"/>
      <c r="L177" s="4"/>
      <c r="M177" s="4"/>
      <c r="N177" s="4"/>
      <c r="O177" s="4"/>
      <c r="P177" s="4"/>
      <c r="Q177" s="4"/>
      <c r="R177" s="4"/>
      <c r="S177" s="4"/>
      <c r="T177" s="4"/>
      <c r="U177" s="4"/>
      <c r="V177" s="4"/>
      <c r="W177" s="4"/>
      <c r="X177" s="4"/>
      <c r="Y177" s="4"/>
      <c r="Z177" s="4"/>
      <c r="AA177" s="4"/>
      <c r="AB177" s="4"/>
      <c r="AC177" s="4"/>
      <c r="AD177" s="4"/>
      <c r="AE177" s="4"/>
      <c r="AF177" s="4"/>
      <c r="AG177" s="4"/>
      <c r="AH177" s="4"/>
      <c r="AI177" s="4"/>
      <c r="AJ177" s="4"/>
      <c r="AK177" s="4"/>
      <c r="AL177" s="4"/>
      <c r="AM177" s="4"/>
      <c r="AN177" s="4"/>
    </row>
    <row r="178" spans="1:40" x14ac:dyDescent="0.25">
      <c r="B178" s="65"/>
      <c r="C178" s="66"/>
      <c r="D178" s="39"/>
      <c r="E178" s="54" t="s">
        <v>13</v>
      </c>
      <c r="F178" s="19"/>
      <c r="G178" s="18"/>
      <c r="H178" s="23"/>
      <c r="I178" s="4"/>
      <c r="J178" s="4"/>
      <c r="K178" s="4"/>
      <c r="L178" s="4"/>
      <c r="M178" s="4"/>
      <c r="N178" s="4"/>
      <c r="O178" s="4"/>
      <c r="P178" s="4"/>
      <c r="Q178" s="4"/>
      <c r="R178" s="4"/>
      <c r="S178" s="4"/>
      <c r="T178" s="4"/>
      <c r="U178" s="4"/>
      <c r="V178" s="4"/>
      <c r="W178" s="4"/>
      <c r="X178" s="4"/>
      <c r="Y178" s="4"/>
      <c r="Z178" s="4"/>
      <c r="AA178" s="4"/>
      <c r="AB178" s="4"/>
      <c r="AC178" s="4"/>
      <c r="AD178" s="4"/>
      <c r="AE178" s="4"/>
      <c r="AF178" s="4"/>
      <c r="AG178" s="4"/>
      <c r="AH178" s="4"/>
      <c r="AI178" s="4"/>
      <c r="AJ178" s="4"/>
      <c r="AK178" s="4"/>
      <c r="AL178" s="4"/>
      <c r="AM178" s="4"/>
      <c r="AN178" s="4"/>
    </row>
    <row r="179" spans="1:40" s="16" customFormat="1" x14ac:dyDescent="0.25">
      <c r="A179" s="4"/>
      <c r="B179" s="140" t="s">
        <v>92</v>
      </c>
      <c r="C179" s="92" t="s">
        <v>150</v>
      </c>
      <c r="D179" s="40"/>
      <c r="E179" s="53"/>
      <c r="F179" s="28"/>
      <c r="G179" s="14"/>
      <c r="H179" s="14"/>
    </row>
    <row r="180" spans="1:40" x14ac:dyDescent="0.25">
      <c r="B180" s="87" t="s">
        <v>15</v>
      </c>
      <c r="C180" s="64" t="s">
        <v>151</v>
      </c>
      <c r="D180" s="39"/>
      <c r="E180" s="54" t="s">
        <v>9</v>
      </c>
      <c r="F180" s="26"/>
      <c r="G180" s="18"/>
      <c r="H180" s="20" t="b">
        <f>IF(D181="x",H$2,H$1)</f>
        <v>0</v>
      </c>
      <c r="I180" s="4"/>
      <c r="J180" s="4"/>
      <c r="K180" s="4"/>
      <c r="L180" s="4"/>
      <c r="M180" s="4"/>
      <c r="N180" s="4"/>
      <c r="O180" s="4"/>
      <c r="P180" s="4"/>
      <c r="Q180" s="4"/>
      <c r="R180" s="4"/>
      <c r="S180" s="4"/>
      <c r="T180" s="4"/>
      <c r="U180" s="4"/>
      <c r="V180" s="4"/>
      <c r="W180" s="4"/>
      <c r="X180" s="4"/>
      <c r="Y180" s="4"/>
      <c r="Z180" s="4"/>
      <c r="AA180" s="4"/>
      <c r="AB180" s="4"/>
      <c r="AC180" s="4"/>
      <c r="AD180" s="4"/>
      <c r="AE180" s="4"/>
      <c r="AF180" s="4"/>
      <c r="AG180" s="4"/>
      <c r="AH180" s="4"/>
      <c r="AI180" s="4"/>
      <c r="AJ180" s="4"/>
      <c r="AK180" s="4"/>
      <c r="AL180" s="4"/>
      <c r="AM180" s="4"/>
      <c r="AN180" s="4"/>
    </row>
    <row r="181" spans="1:40" x14ac:dyDescent="0.25">
      <c r="B181" s="87" t="s">
        <v>15</v>
      </c>
      <c r="C181" s="91" t="s">
        <v>152</v>
      </c>
      <c r="D181" s="39"/>
      <c r="E181" s="54" t="s">
        <v>10</v>
      </c>
      <c r="F181" s="21" t="str">
        <f>IF(H182=1,IF(H180=H$2,H180,""),"")</f>
        <v/>
      </c>
      <c r="G181" s="18"/>
      <c r="H181" s="20" t="str">
        <f>IF(E$197="comprobar",COUNTIF(D180:D184,"x"),"")</f>
        <v/>
      </c>
      <c r="I181" s="4"/>
      <c r="J181" s="4"/>
      <c r="K181" s="4"/>
      <c r="L181" s="4"/>
      <c r="M181" s="4"/>
      <c r="N181" s="4"/>
      <c r="O181" s="4"/>
      <c r="P181" s="4"/>
      <c r="Q181" s="4"/>
      <c r="R181" s="4"/>
      <c r="S181" s="4"/>
      <c r="T181" s="4"/>
      <c r="U181" s="4"/>
      <c r="V181" s="4"/>
      <c r="W181" s="4"/>
      <c r="X181" s="4"/>
      <c r="Y181" s="4"/>
      <c r="Z181" s="4"/>
      <c r="AA181" s="4"/>
      <c r="AB181" s="4"/>
      <c r="AC181" s="4"/>
      <c r="AD181" s="4"/>
      <c r="AE181" s="4"/>
      <c r="AF181" s="4"/>
      <c r="AG181" s="4"/>
      <c r="AH181" s="4"/>
      <c r="AI181" s="4"/>
      <c r="AJ181" s="4"/>
      <c r="AK181" s="4"/>
      <c r="AL181" s="4"/>
      <c r="AM181" s="4"/>
      <c r="AN181" s="4"/>
    </row>
    <row r="182" spans="1:40" x14ac:dyDescent="0.25">
      <c r="B182" s="87" t="s">
        <v>15</v>
      </c>
      <c r="C182" s="91" t="s">
        <v>153</v>
      </c>
      <c r="D182" s="39"/>
      <c r="E182" s="54" t="s">
        <v>11</v>
      </c>
      <c r="F182" s="22" t="str">
        <f>IF(H182=-0.33,IF(H180=H$1,H180,""),"")</f>
        <v/>
      </c>
      <c r="G182" s="18"/>
      <c r="H182" s="23">
        <f t="shared" si="10"/>
        <v>0</v>
      </c>
      <c r="I182" s="4"/>
      <c r="J182" s="4"/>
      <c r="K182" s="4"/>
      <c r="L182" s="4"/>
      <c r="M182" s="4"/>
      <c r="N182" s="4"/>
      <c r="O182" s="4"/>
      <c r="P182" s="4"/>
      <c r="Q182" s="4"/>
      <c r="R182" s="4"/>
      <c r="S182" s="4"/>
      <c r="T182" s="4"/>
      <c r="U182" s="4"/>
      <c r="V182" s="4"/>
      <c r="W182" s="4"/>
      <c r="X182" s="4"/>
      <c r="Y182" s="4"/>
      <c r="Z182" s="4"/>
      <c r="AA182" s="4"/>
      <c r="AB182" s="4"/>
      <c r="AC182" s="4"/>
      <c r="AD182" s="4"/>
      <c r="AE182" s="4"/>
      <c r="AF182" s="4"/>
      <c r="AG182" s="4"/>
      <c r="AH182" s="4"/>
      <c r="AI182" s="4"/>
      <c r="AJ182" s="4"/>
      <c r="AK182" s="4"/>
      <c r="AL182" s="4"/>
      <c r="AM182" s="4"/>
      <c r="AN182" s="4"/>
    </row>
    <row r="183" spans="1:40" x14ac:dyDescent="0.25">
      <c r="B183" s="87" t="s">
        <v>15</v>
      </c>
      <c r="C183" s="91" t="s">
        <v>154</v>
      </c>
      <c r="D183" s="39"/>
      <c r="E183" s="54" t="s">
        <v>12</v>
      </c>
      <c r="F183" s="26"/>
      <c r="G183" s="18"/>
      <c r="H183" s="23"/>
      <c r="I183" s="4"/>
      <c r="J183" s="4"/>
      <c r="K183" s="4"/>
      <c r="L183" s="4"/>
      <c r="M183" s="4"/>
      <c r="N183" s="4"/>
      <c r="O183" s="4"/>
      <c r="P183" s="4"/>
      <c r="Q183" s="4"/>
      <c r="R183" s="4"/>
      <c r="S183" s="4"/>
      <c r="T183" s="4"/>
      <c r="U183" s="4"/>
      <c r="V183" s="4"/>
      <c r="W183" s="4"/>
      <c r="X183" s="4"/>
      <c r="Y183" s="4"/>
      <c r="Z183" s="4"/>
      <c r="AA183" s="4"/>
      <c r="AB183" s="4"/>
      <c r="AC183" s="4"/>
      <c r="AD183" s="4"/>
      <c r="AE183" s="4"/>
      <c r="AF183" s="4"/>
      <c r="AG183" s="4"/>
      <c r="AH183" s="4"/>
      <c r="AI183" s="4"/>
      <c r="AJ183" s="4"/>
      <c r="AK183" s="4"/>
      <c r="AL183" s="4"/>
      <c r="AM183" s="4"/>
      <c r="AN183" s="4"/>
    </row>
    <row r="184" spans="1:40" x14ac:dyDescent="0.25">
      <c r="B184" s="65"/>
      <c r="C184" s="66"/>
      <c r="D184" s="39"/>
      <c r="E184" s="54" t="s">
        <v>13</v>
      </c>
      <c r="F184" s="19"/>
      <c r="G184" s="18"/>
      <c r="H184" s="23"/>
      <c r="I184" s="4"/>
      <c r="J184" s="4"/>
      <c r="K184" s="4"/>
      <c r="L184" s="4"/>
      <c r="M184" s="4"/>
      <c r="N184" s="4"/>
      <c r="O184" s="4"/>
      <c r="P184" s="4"/>
      <c r="Q184" s="4"/>
      <c r="R184" s="4"/>
      <c r="S184" s="4"/>
      <c r="T184" s="4"/>
      <c r="U184" s="4"/>
      <c r="V184" s="4"/>
      <c r="W184" s="4"/>
      <c r="X184" s="4"/>
      <c r="Y184" s="4"/>
      <c r="Z184" s="4"/>
      <c r="AA184" s="4"/>
      <c r="AB184" s="4"/>
      <c r="AC184" s="4"/>
      <c r="AD184" s="4"/>
      <c r="AE184" s="4"/>
      <c r="AF184" s="4"/>
      <c r="AG184" s="4"/>
      <c r="AH184" s="4"/>
      <c r="AI184" s="4"/>
      <c r="AJ184" s="4"/>
      <c r="AK184" s="4"/>
      <c r="AL184" s="4"/>
      <c r="AM184" s="4"/>
      <c r="AN184" s="4"/>
    </row>
    <row r="185" spans="1:40" s="16" customFormat="1" x14ac:dyDescent="0.25">
      <c r="A185" s="4"/>
      <c r="B185" s="140" t="s">
        <v>93</v>
      </c>
      <c r="C185" s="92" t="s">
        <v>155</v>
      </c>
      <c r="D185" s="40"/>
      <c r="E185" s="53"/>
      <c r="F185" s="28"/>
      <c r="G185" s="14"/>
      <c r="H185" s="14"/>
    </row>
    <row r="186" spans="1:40" x14ac:dyDescent="0.25">
      <c r="B186" s="87" t="s">
        <v>15</v>
      </c>
      <c r="C186" s="64" t="s">
        <v>156</v>
      </c>
      <c r="D186" s="39"/>
      <c r="E186" s="54" t="s">
        <v>9</v>
      </c>
      <c r="F186" s="26"/>
      <c r="G186" s="18"/>
      <c r="H186" s="20" t="b">
        <f>IF(D188="x",H$2,H$1)</f>
        <v>0</v>
      </c>
      <c r="I186" s="4"/>
      <c r="J186" s="4"/>
      <c r="K186" s="4"/>
      <c r="L186" s="4"/>
      <c r="M186" s="4"/>
      <c r="N186" s="4"/>
      <c r="O186" s="4"/>
      <c r="P186" s="4"/>
      <c r="Q186" s="4"/>
      <c r="R186" s="4"/>
      <c r="S186" s="4"/>
      <c r="T186" s="4"/>
      <c r="U186" s="4"/>
      <c r="V186" s="4"/>
      <c r="W186" s="4"/>
      <c r="X186" s="4"/>
      <c r="Y186" s="4"/>
      <c r="Z186" s="4"/>
      <c r="AA186" s="4"/>
      <c r="AB186" s="4"/>
      <c r="AC186" s="4"/>
      <c r="AD186" s="4"/>
      <c r="AE186" s="4"/>
      <c r="AF186" s="4"/>
      <c r="AG186" s="4"/>
      <c r="AH186" s="4"/>
      <c r="AI186" s="4"/>
      <c r="AJ186" s="4"/>
      <c r="AK186" s="4"/>
      <c r="AL186" s="4"/>
      <c r="AM186" s="4"/>
      <c r="AN186" s="4"/>
    </row>
    <row r="187" spans="1:40" ht="31.5" x14ac:dyDescent="0.25">
      <c r="B187" s="87" t="s">
        <v>15</v>
      </c>
      <c r="C187" s="143" t="s">
        <v>157</v>
      </c>
      <c r="D187" s="39"/>
      <c r="E187" s="54" t="s">
        <v>10</v>
      </c>
      <c r="F187" s="21" t="str">
        <f>IF(H188=1,IF(H186=H$2,H186,""),"")</f>
        <v/>
      </c>
      <c r="G187" s="18"/>
      <c r="H187" s="20" t="str">
        <f>IF(E$197="comprobar",COUNTIF(D186:D190,"x"),"")</f>
        <v/>
      </c>
      <c r="I187" s="4"/>
      <c r="J187" s="4"/>
      <c r="K187" s="4"/>
      <c r="L187" s="4"/>
      <c r="M187" s="4"/>
      <c r="N187" s="4"/>
      <c r="O187" s="4"/>
      <c r="P187" s="4"/>
      <c r="Q187" s="4"/>
      <c r="R187" s="4"/>
      <c r="S187" s="4"/>
      <c r="T187" s="4"/>
      <c r="U187" s="4"/>
      <c r="V187" s="4"/>
      <c r="W187" s="4"/>
      <c r="X187" s="4"/>
      <c r="Y187" s="4"/>
      <c r="Z187" s="4"/>
      <c r="AA187" s="4"/>
      <c r="AB187" s="4"/>
      <c r="AC187" s="4"/>
      <c r="AD187" s="4"/>
      <c r="AE187" s="4"/>
      <c r="AF187" s="4"/>
      <c r="AG187" s="4"/>
      <c r="AH187" s="4"/>
      <c r="AI187" s="4"/>
      <c r="AJ187" s="4"/>
      <c r="AK187" s="4"/>
      <c r="AL187" s="4"/>
      <c r="AM187" s="4"/>
      <c r="AN187" s="4"/>
    </row>
    <row r="188" spans="1:40" ht="36" customHeight="1" x14ac:dyDescent="0.25">
      <c r="B188" s="87" t="s">
        <v>15</v>
      </c>
      <c r="C188" s="162" t="s">
        <v>508</v>
      </c>
      <c r="D188" s="39"/>
      <c r="E188" s="54" t="s">
        <v>11</v>
      </c>
      <c r="F188" s="22" t="str">
        <f>IF(H188=-0.33,IF(H186=H$1,H186,""),"")</f>
        <v/>
      </c>
      <c r="G188" s="18"/>
      <c r="H188" s="23">
        <f t="shared" si="10"/>
        <v>0</v>
      </c>
      <c r="I188" s="4"/>
      <c r="J188" s="4"/>
      <c r="K188" s="4"/>
      <c r="L188" s="4"/>
      <c r="M188" s="4"/>
      <c r="N188" s="4"/>
      <c r="O188" s="4"/>
      <c r="P188" s="4"/>
      <c r="Q188" s="4"/>
      <c r="R188" s="4"/>
      <c r="S188" s="4"/>
      <c r="T188" s="4"/>
      <c r="U188" s="4"/>
      <c r="V188" s="4"/>
      <c r="W188" s="4"/>
      <c r="X188" s="4"/>
      <c r="Y188" s="4"/>
      <c r="Z188" s="4"/>
      <c r="AA188" s="4"/>
      <c r="AB188" s="4"/>
      <c r="AC188" s="4"/>
      <c r="AD188" s="4"/>
      <c r="AE188" s="4"/>
      <c r="AF188" s="4"/>
      <c r="AG188" s="4"/>
      <c r="AH188" s="4"/>
      <c r="AI188" s="4"/>
      <c r="AJ188" s="4"/>
      <c r="AK188" s="4"/>
      <c r="AL188" s="4"/>
      <c r="AM188" s="4"/>
      <c r="AN188" s="4"/>
    </row>
    <row r="189" spans="1:40" x14ac:dyDescent="0.25">
      <c r="B189" s="87" t="s">
        <v>15</v>
      </c>
      <c r="C189" s="91" t="s">
        <v>158</v>
      </c>
      <c r="D189" s="39"/>
      <c r="E189" s="54" t="s">
        <v>12</v>
      </c>
      <c r="F189" s="26"/>
      <c r="G189" s="18"/>
      <c r="H189" s="23"/>
      <c r="I189" s="4"/>
      <c r="J189" s="4"/>
      <c r="K189" s="4"/>
      <c r="L189" s="4"/>
      <c r="M189" s="4"/>
      <c r="N189" s="4"/>
      <c r="O189" s="4"/>
      <c r="P189" s="4"/>
      <c r="Q189" s="4"/>
      <c r="R189" s="4"/>
      <c r="S189" s="4"/>
      <c r="T189" s="4"/>
      <c r="U189" s="4"/>
      <c r="V189" s="4"/>
      <c r="W189" s="4"/>
      <c r="X189" s="4"/>
      <c r="Y189" s="4"/>
      <c r="Z189" s="4"/>
      <c r="AA189" s="4"/>
      <c r="AB189" s="4"/>
      <c r="AC189" s="4"/>
      <c r="AD189" s="4"/>
      <c r="AE189" s="4"/>
      <c r="AF189" s="4"/>
      <c r="AG189" s="4"/>
      <c r="AH189" s="4"/>
      <c r="AI189" s="4"/>
      <c r="AJ189" s="4"/>
      <c r="AK189" s="4"/>
      <c r="AL189" s="4"/>
      <c r="AM189" s="4"/>
      <c r="AN189" s="4"/>
    </row>
    <row r="190" spans="1:40" x14ac:dyDescent="0.25">
      <c r="B190" s="65"/>
      <c r="C190" s="66"/>
      <c r="D190" s="39"/>
      <c r="E190" s="54" t="s">
        <v>13</v>
      </c>
      <c r="F190" s="19"/>
      <c r="G190" s="18"/>
      <c r="H190" s="23"/>
      <c r="I190" s="4"/>
      <c r="J190" s="4"/>
      <c r="K190" s="4"/>
      <c r="L190" s="4"/>
      <c r="M190" s="4"/>
      <c r="N190" s="4"/>
      <c r="O190" s="4"/>
      <c r="P190" s="4"/>
      <c r="Q190" s="4"/>
      <c r="R190" s="4"/>
      <c r="S190" s="4"/>
      <c r="T190" s="4"/>
      <c r="U190" s="4"/>
      <c r="V190" s="4"/>
      <c r="W190" s="4"/>
      <c r="X190" s="4"/>
      <c r="Y190" s="4"/>
      <c r="Z190" s="4"/>
      <c r="AA190" s="4"/>
      <c r="AB190" s="4"/>
      <c r="AC190" s="4"/>
      <c r="AD190" s="4"/>
      <c r="AE190" s="4"/>
      <c r="AF190" s="4"/>
      <c r="AG190" s="4"/>
      <c r="AH190" s="4"/>
      <c r="AI190" s="4"/>
      <c r="AJ190" s="4"/>
      <c r="AK190" s="4"/>
      <c r="AL190" s="4"/>
      <c r="AM190" s="4"/>
      <c r="AN190" s="4"/>
    </row>
    <row r="191" spans="1:40" s="16" customFormat="1" x14ac:dyDescent="0.25">
      <c r="A191" s="4"/>
      <c r="B191" s="140" t="s">
        <v>159</v>
      </c>
      <c r="C191" s="92" t="s">
        <v>160</v>
      </c>
      <c r="D191" s="40"/>
      <c r="E191" s="53"/>
      <c r="F191" s="28"/>
      <c r="G191" s="27"/>
      <c r="H191" s="14"/>
    </row>
    <row r="192" spans="1:40" x14ac:dyDescent="0.25">
      <c r="B192" s="87" t="s">
        <v>15</v>
      </c>
      <c r="C192" s="141" t="s">
        <v>161</v>
      </c>
      <c r="D192" s="39"/>
      <c r="E192" s="54" t="s">
        <v>9</v>
      </c>
      <c r="F192" s="26"/>
      <c r="G192" s="25"/>
      <c r="H192" s="20" t="b">
        <f>IF(D194="x",H$2,H$1)</f>
        <v>0</v>
      </c>
      <c r="I192" s="4"/>
      <c r="J192" s="4"/>
      <c r="K192" s="4"/>
      <c r="L192" s="4"/>
      <c r="M192" s="4"/>
      <c r="N192" s="4"/>
      <c r="O192" s="4"/>
      <c r="P192" s="4"/>
      <c r="Q192" s="4"/>
      <c r="R192" s="4"/>
      <c r="S192" s="4"/>
      <c r="T192" s="4"/>
      <c r="U192" s="4"/>
      <c r="V192" s="4"/>
      <c r="W192" s="4"/>
      <c r="X192" s="4"/>
      <c r="Y192" s="4"/>
      <c r="Z192" s="4"/>
      <c r="AA192" s="4"/>
      <c r="AB192" s="4"/>
      <c r="AC192" s="4"/>
      <c r="AD192" s="4"/>
      <c r="AE192" s="4"/>
      <c r="AF192" s="4"/>
      <c r="AG192" s="4"/>
      <c r="AH192" s="4"/>
      <c r="AI192" s="4"/>
      <c r="AJ192" s="4"/>
      <c r="AK192" s="4"/>
      <c r="AL192" s="4"/>
      <c r="AM192" s="4"/>
      <c r="AN192" s="4"/>
    </row>
    <row r="193" spans="1:40" x14ac:dyDescent="0.25">
      <c r="B193" s="87" t="s">
        <v>15</v>
      </c>
      <c r="C193" s="91" t="s">
        <v>162</v>
      </c>
      <c r="D193" s="39"/>
      <c r="E193" s="54" t="s">
        <v>10</v>
      </c>
      <c r="F193" s="21" t="str">
        <f>IF(H194=1,IF(H192=H$2,H192,""),"")</f>
        <v/>
      </c>
      <c r="G193" s="25"/>
      <c r="H193" s="20" t="str">
        <f>IF(E$197="comprobar",COUNTIF(D192:D196,"x"),"")</f>
        <v/>
      </c>
      <c r="I193" s="4"/>
      <c r="J193" s="4"/>
      <c r="K193" s="4"/>
      <c r="L193" s="4"/>
      <c r="M193" s="4"/>
      <c r="N193" s="4"/>
      <c r="O193" s="4"/>
      <c r="P193" s="4"/>
      <c r="Q193" s="4"/>
      <c r="R193" s="4"/>
      <c r="S193" s="4"/>
      <c r="T193" s="4"/>
      <c r="U193" s="4"/>
      <c r="V193" s="4"/>
      <c r="W193" s="4"/>
      <c r="X193" s="4"/>
      <c r="Y193" s="4"/>
      <c r="Z193" s="4"/>
      <c r="AA193" s="4"/>
      <c r="AB193" s="4"/>
      <c r="AC193" s="4"/>
      <c r="AD193" s="4"/>
      <c r="AE193" s="4"/>
      <c r="AF193" s="4"/>
      <c r="AG193" s="4"/>
      <c r="AH193" s="4"/>
      <c r="AI193" s="4"/>
      <c r="AJ193" s="4"/>
      <c r="AK193" s="4"/>
      <c r="AL193" s="4"/>
      <c r="AM193" s="4"/>
      <c r="AN193" s="4"/>
    </row>
    <row r="194" spans="1:40" x14ac:dyDescent="0.25">
      <c r="B194" s="87" t="s">
        <v>15</v>
      </c>
      <c r="C194" t="s">
        <v>163</v>
      </c>
      <c r="D194" s="39"/>
      <c r="E194" s="54" t="s">
        <v>11</v>
      </c>
      <c r="F194" s="22" t="str">
        <f>IF(H194=-0.33,IF(H192=H$1,H192,""),"")</f>
        <v/>
      </c>
      <c r="G194" s="25"/>
      <c r="H194" s="23">
        <f t="shared" si="10"/>
        <v>0</v>
      </c>
      <c r="I194" s="4"/>
      <c r="J194" s="4"/>
      <c r="K194" s="4"/>
      <c r="L194" s="4"/>
      <c r="M194" s="4"/>
      <c r="N194" s="4"/>
      <c r="O194" s="4"/>
      <c r="P194" s="4"/>
      <c r="Q194" s="4"/>
      <c r="R194" s="4"/>
      <c r="S194" s="4"/>
      <c r="T194" s="4"/>
      <c r="U194" s="4"/>
      <c r="V194" s="4"/>
      <c r="W194" s="4"/>
      <c r="X194" s="4"/>
      <c r="Y194" s="4"/>
      <c r="Z194" s="4"/>
      <c r="AA194" s="4"/>
      <c r="AB194" s="4"/>
      <c r="AC194" s="4"/>
      <c r="AD194" s="4"/>
      <c r="AE194" s="4"/>
      <c r="AF194" s="4"/>
      <c r="AG194" s="4"/>
      <c r="AH194" s="4"/>
      <c r="AI194" s="4"/>
      <c r="AJ194" s="4"/>
      <c r="AK194" s="4"/>
      <c r="AL194" s="4"/>
      <c r="AM194" s="4"/>
      <c r="AN194" s="4"/>
    </row>
    <row r="195" spans="1:40" x14ac:dyDescent="0.25">
      <c r="B195" s="87" t="s">
        <v>15</v>
      </c>
      <c r="C195" s="91" t="s">
        <v>164</v>
      </c>
      <c r="D195" s="39"/>
      <c r="E195" s="54" t="s">
        <v>12</v>
      </c>
      <c r="F195" s="26"/>
      <c r="G195" s="25"/>
      <c r="H195" s="23"/>
      <c r="I195" s="4"/>
      <c r="J195" s="4"/>
      <c r="K195" s="4"/>
      <c r="L195" s="4"/>
      <c r="M195" s="4"/>
      <c r="N195" s="4"/>
      <c r="O195" s="4"/>
      <c r="P195" s="4"/>
      <c r="Q195" s="4"/>
      <c r="R195" s="4"/>
      <c r="S195" s="4"/>
      <c r="T195" s="4"/>
      <c r="U195" s="4"/>
      <c r="V195" s="4"/>
      <c r="W195" s="4"/>
      <c r="X195" s="4"/>
      <c r="Y195" s="4"/>
      <c r="Z195" s="4"/>
      <c r="AA195" s="4"/>
      <c r="AB195" s="4"/>
      <c r="AC195" s="4"/>
      <c r="AD195" s="4"/>
      <c r="AE195" s="4"/>
      <c r="AF195" s="4"/>
      <c r="AG195" s="4"/>
      <c r="AH195" s="4"/>
      <c r="AI195" s="4"/>
      <c r="AJ195" s="4"/>
      <c r="AK195" s="4"/>
      <c r="AL195" s="4"/>
      <c r="AM195" s="4"/>
      <c r="AN195" s="4"/>
    </row>
    <row r="196" spans="1:40" x14ac:dyDescent="0.25">
      <c r="B196" s="43"/>
      <c r="C196" s="8"/>
      <c r="D196" s="39"/>
      <c r="E196" s="54" t="s">
        <v>13</v>
      </c>
      <c r="F196" s="19"/>
      <c r="G196" s="25"/>
      <c r="H196" s="23"/>
      <c r="I196" s="4"/>
      <c r="J196" s="4"/>
      <c r="K196" s="4"/>
      <c r="L196" s="4"/>
      <c r="M196" s="4"/>
      <c r="N196" s="4"/>
      <c r="O196" s="4"/>
      <c r="P196" s="4"/>
      <c r="Q196" s="4"/>
      <c r="R196" s="4"/>
      <c r="S196" s="4"/>
      <c r="T196" s="4"/>
      <c r="U196" s="4"/>
      <c r="V196" s="4"/>
      <c r="W196" s="4"/>
      <c r="X196" s="4"/>
      <c r="Y196" s="4"/>
      <c r="Z196" s="4"/>
      <c r="AA196" s="4"/>
      <c r="AB196" s="4"/>
      <c r="AC196" s="4"/>
      <c r="AD196" s="4"/>
      <c r="AE196" s="4"/>
      <c r="AF196" s="4"/>
      <c r="AG196" s="4"/>
      <c r="AH196" s="4"/>
      <c r="AI196" s="4"/>
      <c r="AJ196" s="4"/>
      <c r="AK196" s="4"/>
      <c r="AL196" s="4"/>
      <c r="AM196" s="4"/>
      <c r="AN196" s="4"/>
    </row>
    <row r="197" spans="1:40" x14ac:dyDescent="0.25">
      <c r="B197" s="45"/>
      <c r="C197" s="42"/>
      <c r="D197" s="49"/>
      <c r="E197" s="55"/>
      <c r="F197" s="19"/>
      <c r="G197" s="18"/>
      <c r="H197" s="18"/>
      <c r="I197" s="4"/>
      <c r="J197" s="4"/>
      <c r="K197" s="4"/>
      <c r="L197" s="4"/>
      <c r="M197" s="4"/>
      <c r="N197" s="4"/>
      <c r="O197" s="4"/>
      <c r="P197" s="4"/>
      <c r="Q197" s="4"/>
      <c r="R197" s="4"/>
      <c r="S197" s="4"/>
      <c r="T197" s="4"/>
      <c r="U197" s="4"/>
      <c r="V197" s="4"/>
      <c r="W197" s="4"/>
      <c r="X197" s="4"/>
      <c r="Y197" s="4"/>
      <c r="Z197" s="4"/>
      <c r="AA197" s="4"/>
      <c r="AB197" s="4"/>
      <c r="AC197" s="4"/>
      <c r="AD197" s="4"/>
      <c r="AE197" s="4"/>
      <c r="AF197" s="4"/>
      <c r="AG197" s="4"/>
      <c r="AH197" s="4"/>
      <c r="AI197" s="4"/>
      <c r="AJ197" s="4"/>
      <c r="AK197" s="4"/>
      <c r="AL197" s="4"/>
      <c r="AM197" s="4"/>
      <c r="AN197" s="4"/>
    </row>
    <row r="198" spans="1:40" x14ac:dyDescent="0.25">
      <c r="B198" s="45"/>
      <c r="C198" s="17"/>
      <c r="D198" s="49"/>
      <c r="E198" s="58"/>
      <c r="F198" s="29" t="s">
        <v>8</v>
      </c>
      <c r="G198" s="18" t="s">
        <v>6</v>
      </c>
      <c r="H198" s="18" t="s">
        <v>7</v>
      </c>
      <c r="I198" s="4"/>
      <c r="J198" s="4"/>
      <c r="K198" s="4"/>
      <c r="L198" s="4"/>
      <c r="M198" s="4"/>
      <c r="N198" s="4"/>
      <c r="O198" s="4"/>
      <c r="P198" s="4"/>
      <c r="Q198" s="4"/>
      <c r="R198" s="4"/>
      <c r="S198" s="4"/>
      <c r="T198" s="4"/>
      <c r="U198" s="4"/>
      <c r="V198" s="4"/>
      <c r="W198" s="4"/>
      <c r="X198" s="4"/>
      <c r="Y198" s="4"/>
      <c r="Z198" s="4"/>
      <c r="AA198" s="4"/>
      <c r="AB198" s="4"/>
      <c r="AC198" s="4"/>
      <c r="AD198" s="4"/>
      <c r="AE198" s="4"/>
      <c r="AF198" s="4"/>
      <c r="AG198" s="4"/>
      <c r="AH198" s="4"/>
      <c r="AI198" s="4"/>
      <c r="AJ198" s="4"/>
      <c r="AK198" s="4"/>
      <c r="AL198" s="4"/>
      <c r="AM198" s="4"/>
      <c r="AN198" s="4"/>
    </row>
    <row r="199" spans="1:40" ht="19.5" x14ac:dyDescent="0.25">
      <c r="B199" s="45"/>
      <c r="C199" s="17"/>
      <c r="D199" s="69"/>
      <c r="E199" s="52"/>
      <c r="F199" s="30" t="str">
        <f>IF(E197="comprobar",H194+H188+H182+H176+H170+H164+H158+H152+H146+H140,"")</f>
        <v/>
      </c>
      <c r="G199" s="18">
        <f>10/2</f>
        <v>5</v>
      </c>
      <c r="H199" s="18"/>
      <c r="I199" s="4"/>
      <c r="J199" s="4"/>
      <c r="K199" s="4"/>
      <c r="L199" s="4"/>
      <c r="M199" s="4"/>
      <c r="N199" s="4"/>
      <c r="O199" s="4"/>
      <c r="P199" s="4"/>
      <c r="Q199" s="4"/>
      <c r="R199" s="4"/>
      <c r="S199" s="4"/>
      <c r="T199" s="4"/>
      <c r="U199" s="4"/>
      <c r="V199" s="4"/>
      <c r="W199" s="4"/>
      <c r="X199" s="4"/>
      <c r="Y199" s="4"/>
      <c r="Z199" s="4"/>
      <c r="AA199" s="4"/>
      <c r="AB199" s="4"/>
      <c r="AC199" s="4"/>
      <c r="AD199" s="4"/>
      <c r="AE199" s="4"/>
      <c r="AF199" s="4"/>
      <c r="AG199" s="4"/>
      <c r="AH199" s="4"/>
      <c r="AI199" s="4"/>
      <c r="AJ199" s="4"/>
      <c r="AK199" s="4"/>
      <c r="AL199" s="4"/>
      <c r="AM199" s="4"/>
      <c r="AN199" s="4"/>
    </row>
    <row r="200" spans="1:40" ht="16.5" thickBot="1" x14ac:dyDescent="0.3">
      <c r="B200" s="46"/>
      <c r="C200" s="31"/>
      <c r="D200" s="32"/>
      <c r="E200" s="56"/>
      <c r="F200" s="33" t="str">
        <f>IF(F199&gt;G199,G198,H198)</f>
        <v>APROBADO</v>
      </c>
      <c r="G200" s="18"/>
      <c r="H200" s="18"/>
      <c r="I200" s="4"/>
      <c r="J200" s="4"/>
      <c r="K200" s="4"/>
      <c r="L200" s="4"/>
      <c r="M200" s="4"/>
      <c r="N200" s="4"/>
      <c r="O200" s="4"/>
      <c r="P200" s="4"/>
      <c r="Q200" s="4"/>
      <c r="R200" s="4"/>
      <c r="S200" s="4"/>
      <c r="T200" s="4"/>
      <c r="U200" s="4"/>
      <c r="V200" s="4"/>
      <c r="W200" s="4"/>
      <c r="X200" s="4"/>
      <c r="Y200" s="4"/>
      <c r="Z200" s="4"/>
      <c r="AA200" s="4"/>
      <c r="AB200" s="4"/>
      <c r="AC200" s="4"/>
      <c r="AD200" s="4"/>
      <c r="AE200" s="4"/>
      <c r="AF200" s="4"/>
      <c r="AG200" s="4"/>
      <c r="AH200" s="4"/>
      <c r="AI200" s="4"/>
      <c r="AJ200" s="4"/>
      <c r="AK200" s="4"/>
      <c r="AL200" s="4"/>
      <c r="AM200" s="4"/>
      <c r="AN200" s="4"/>
    </row>
    <row r="201" spans="1:40" ht="28.5" x14ac:dyDescent="0.45">
      <c r="B201" s="62" t="s">
        <v>17</v>
      </c>
      <c r="C201" s="129" t="s">
        <v>165</v>
      </c>
      <c r="D201" s="70"/>
      <c r="E201" s="70"/>
      <c r="F201" s="71"/>
      <c r="I201" s="4"/>
      <c r="J201" s="4"/>
      <c r="K201" s="4"/>
      <c r="L201" s="4"/>
      <c r="M201" s="4"/>
      <c r="N201" s="4"/>
      <c r="O201" s="4"/>
      <c r="P201" s="4"/>
      <c r="Q201" s="4"/>
      <c r="R201" s="4"/>
      <c r="S201" s="4"/>
      <c r="T201" s="4"/>
      <c r="U201" s="4"/>
      <c r="V201" s="4"/>
      <c r="W201" s="4"/>
      <c r="X201" s="4"/>
      <c r="Y201" s="4"/>
      <c r="Z201" s="4"/>
      <c r="AA201" s="4"/>
      <c r="AB201" s="4"/>
      <c r="AC201" s="4"/>
      <c r="AD201" s="4"/>
      <c r="AE201" s="4"/>
      <c r="AF201" s="4"/>
      <c r="AG201" s="4"/>
      <c r="AH201" s="4"/>
      <c r="AI201" s="4"/>
      <c r="AJ201" s="4"/>
      <c r="AK201" s="4"/>
      <c r="AL201" s="4"/>
      <c r="AM201" s="4"/>
      <c r="AN201" s="4"/>
    </row>
    <row r="202" spans="1:40" s="16" customFormat="1" ht="18.95" customHeight="1" x14ac:dyDescent="0.25">
      <c r="A202" s="4"/>
      <c r="B202" s="140" t="s">
        <v>64</v>
      </c>
      <c r="C202" s="92" t="s">
        <v>619</v>
      </c>
      <c r="D202" s="40"/>
      <c r="E202" s="53"/>
      <c r="F202" s="28"/>
      <c r="G202" s="14"/>
      <c r="H202" s="14"/>
    </row>
    <row r="203" spans="1:40" x14ac:dyDescent="0.25">
      <c r="B203" s="87" t="s">
        <v>15</v>
      </c>
      <c r="C203" s="141" t="s">
        <v>166</v>
      </c>
      <c r="D203" s="39"/>
      <c r="E203" s="54" t="s">
        <v>9</v>
      </c>
      <c r="F203" s="26"/>
      <c r="G203" s="18"/>
      <c r="H203" s="20" t="b">
        <f>IF(D205="x",H$2,H$1)</f>
        <v>0</v>
      </c>
      <c r="I203" s="4"/>
      <c r="J203" s="4"/>
      <c r="K203" s="4"/>
      <c r="L203" s="4"/>
      <c r="M203" s="4"/>
      <c r="N203" s="4"/>
      <c r="O203" s="4"/>
      <c r="P203" s="4"/>
      <c r="Q203" s="4"/>
      <c r="R203" s="4"/>
      <c r="S203" s="4"/>
      <c r="T203" s="4"/>
      <c r="U203" s="4"/>
      <c r="V203" s="4"/>
      <c r="W203" s="4"/>
      <c r="X203" s="4"/>
      <c r="Y203" s="4"/>
      <c r="Z203" s="4"/>
      <c r="AA203" s="4"/>
      <c r="AB203" s="4"/>
      <c r="AC203" s="4"/>
      <c r="AD203" s="4"/>
      <c r="AE203" s="4"/>
      <c r="AF203" s="4"/>
      <c r="AG203" s="4"/>
      <c r="AH203" s="4"/>
      <c r="AI203" s="4"/>
      <c r="AJ203" s="4"/>
      <c r="AK203" s="4"/>
      <c r="AL203" s="4"/>
      <c r="AM203" s="4"/>
      <c r="AN203" s="4"/>
    </row>
    <row r="204" spans="1:40" x14ac:dyDescent="0.25">
      <c r="B204" s="87" t="s">
        <v>15</v>
      </c>
      <c r="C204" s="91" t="s">
        <v>167</v>
      </c>
      <c r="D204" s="39"/>
      <c r="E204" s="54" t="s">
        <v>10</v>
      </c>
      <c r="F204" s="21" t="str">
        <f>IF(H205=1,IF(H203=H$2,H203,""),"")</f>
        <v/>
      </c>
      <c r="G204" s="18"/>
      <c r="H204" s="20" t="str">
        <f>IF(E262="comprobar",COUNTIF(D203:D207,"x"),"")</f>
        <v/>
      </c>
      <c r="I204" s="4"/>
      <c r="J204" s="4"/>
      <c r="K204" s="4"/>
      <c r="L204" s="4"/>
      <c r="M204" s="4"/>
      <c r="N204" s="4"/>
      <c r="O204" s="4"/>
      <c r="P204" s="4"/>
      <c r="Q204" s="4"/>
      <c r="R204" s="4"/>
      <c r="S204" s="4"/>
      <c r="T204" s="4"/>
      <c r="U204" s="4"/>
      <c r="V204" s="4"/>
      <c r="W204" s="4"/>
      <c r="X204" s="4"/>
      <c r="Y204" s="4"/>
      <c r="Z204" s="4"/>
      <c r="AA204" s="4"/>
      <c r="AB204" s="4"/>
      <c r="AC204" s="4"/>
      <c r="AD204" s="4"/>
      <c r="AE204" s="4"/>
      <c r="AF204" s="4"/>
      <c r="AG204" s="4"/>
      <c r="AH204" s="4"/>
      <c r="AI204" s="4"/>
      <c r="AJ204" s="4"/>
      <c r="AK204" s="4"/>
      <c r="AL204" s="4"/>
      <c r="AM204" s="4"/>
      <c r="AN204" s="4"/>
    </row>
    <row r="205" spans="1:40" x14ac:dyDescent="0.25">
      <c r="B205" s="87" t="s">
        <v>15</v>
      </c>
      <c r="C205" t="s">
        <v>168</v>
      </c>
      <c r="D205" s="39"/>
      <c r="E205" s="54" t="s">
        <v>11</v>
      </c>
      <c r="F205" s="22" t="str">
        <f>IF(H205=-0.33,IF(H203=H$1,H203,""),"")</f>
        <v/>
      </c>
      <c r="G205" s="18"/>
      <c r="H205" s="23">
        <f>IF(H204=1,IF(H203=H$2,1,-0.33),0)</f>
        <v>0</v>
      </c>
      <c r="I205" s="4"/>
      <c r="J205" s="4"/>
      <c r="K205" s="4"/>
      <c r="L205" s="4"/>
      <c r="M205" s="4"/>
      <c r="N205" s="4"/>
      <c r="O205" s="4"/>
      <c r="P205" s="4"/>
      <c r="Q205" s="4"/>
      <c r="R205" s="4"/>
      <c r="S205" s="4"/>
      <c r="T205" s="4"/>
      <c r="U205" s="4"/>
      <c r="V205" s="4"/>
      <c r="W205" s="4"/>
      <c r="X205" s="4"/>
      <c r="Y205" s="4"/>
      <c r="Z205" s="4"/>
      <c r="AA205" s="4"/>
      <c r="AB205" s="4"/>
      <c r="AC205" s="4"/>
      <c r="AD205" s="4"/>
      <c r="AE205" s="4"/>
      <c r="AF205" s="4"/>
      <c r="AG205" s="4"/>
      <c r="AH205" s="4"/>
      <c r="AI205" s="4"/>
      <c r="AJ205" s="4"/>
      <c r="AK205" s="4"/>
      <c r="AL205" s="4"/>
      <c r="AM205" s="4"/>
      <c r="AN205" s="4"/>
    </row>
    <row r="206" spans="1:40" x14ac:dyDescent="0.25">
      <c r="B206" s="87" t="s">
        <v>15</v>
      </c>
      <c r="C206" s="91" t="s">
        <v>169</v>
      </c>
      <c r="D206" s="39"/>
      <c r="E206" s="54" t="s">
        <v>12</v>
      </c>
      <c r="F206" s="26"/>
      <c r="G206" s="18"/>
      <c r="H206" s="23"/>
      <c r="I206" s="4"/>
      <c r="J206" s="4"/>
      <c r="K206" s="4"/>
      <c r="L206" s="4"/>
      <c r="M206" s="4"/>
      <c r="N206" s="4"/>
      <c r="O206" s="4"/>
      <c r="P206" s="4"/>
      <c r="Q206" s="4"/>
      <c r="R206" s="4"/>
      <c r="S206" s="4"/>
      <c r="T206" s="4"/>
      <c r="U206" s="4"/>
      <c r="V206" s="4"/>
      <c r="W206" s="4"/>
      <c r="X206" s="4"/>
      <c r="Y206" s="4"/>
      <c r="Z206" s="4"/>
      <c r="AA206" s="4"/>
      <c r="AB206" s="4"/>
      <c r="AC206" s="4"/>
      <c r="AD206" s="4"/>
      <c r="AE206" s="4"/>
      <c r="AF206" s="4"/>
      <c r="AG206" s="4"/>
      <c r="AH206" s="4"/>
      <c r="AI206" s="4"/>
      <c r="AJ206" s="4"/>
      <c r="AK206" s="4"/>
      <c r="AL206" s="4"/>
      <c r="AM206" s="4"/>
      <c r="AN206" s="4"/>
    </row>
    <row r="207" spans="1:40" x14ac:dyDescent="0.25">
      <c r="B207" s="65"/>
      <c r="C207" s="66"/>
      <c r="D207" s="39"/>
      <c r="E207" s="54" t="s">
        <v>13</v>
      </c>
      <c r="F207" s="19"/>
      <c r="G207" s="18"/>
      <c r="H207" s="23"/>
      <c r="I207" s="4"/>
      <c r="J207" s="4"/>
      <c r="K207" s="4"/>
      <c r="L207" s="4"/>
      <c r="M207" s="4"/>
      <c r="N207" s="4"/>
      <c r="O207" s="4"/>
      <c r="P207" s="4"/>
      <c r="Q207" s="4"/>
      <c r="R207" s="4"/>
      <c r="S207" s="4"/>
      <c r="T207" s="4"/>
      <c r="U207" s="4"/>
      <c r="V207" s="4"/>
      <c r="W207" s="4"/>
      <c r="X207" s="4"/>
      <c r="Y207" s="4"/>
      <c r="Z207" s="4"/>
      <c r="AA207" s="4"/>
      <c r="AB207" s="4"/>
      <c r="AC207" s="4"/>
      <c r="AD207" s="4"/>
      <c r="AE207" s="4"/>
      <c r="AF207" s="4"/>
      <c r="AG207" s="4"/>
      <c r="AH207" s="4"/>
      <c r="AI207" s="4"/>
      <c r="AJ207" s="4"/>
      <c r="AK207" s="4"/>
      <c r="AL207" s="4"/>
      <c r="AM207" s="4"/>
      <c r="AN207" s="4"/>
    </row>
    <row r="208" spans="1:40" s="16" customFormat="1" x14ac:dyDescent="0.25">
      <c r="A208" s="4"/>
      <c r="B208" s="140" t="s">
        <v>170</v>
      </c>
      <c r="C208" s="92" t="s">
        <v>618</v>
      </c>
      <c r="D208" s="40"/>
      <c r="E208" s="53"/>
      <c r="F208" s="28"/>
      <c r="G208" s="14"/>
      <c r="H208" s="14"/>
    </row>
    <row r="209" spans="1:40" x14ac:dyDescent="0.25">
      <c r="B209" s="87" t="s">
        <v>15</v>
      </c>
      <c r="C209" s="141" t="s">
        <v>171</v>
      </c>
      <c r="D209" s="39"/>
      <c r="E209" s="54" t="s">
        <v>9</v>
      </c>
      <c r="F209" s="26"/>
      <c r="G209" s="18"/>
      <c r="H209" s="20" t="b">
        <f>IF(D212="x",H$2,H$1)</f>
        <v>0</v>
      </c>
      <c r="I209" s="4"/>
      <c r="J209" s="4"/>
      <c r="K209" s="4"/>
      <c r="L209" s="4"/>
      <c r="M209" s="4"/>
      <c r="N209" s="4"/>
      <c r="O209" s="4"/>
      <c r="P209" s="4"/>
      <c r="Q209" s="4"/>
      <c r="R209" s="4"/>
      <c r="S209" s="4"/>
      <c r="T209" s="4"/>
      <c r="U209" s="4"/>
      <c r="V209" s="4"/>
      <c r="W209" s="4"/>
      <c r="X209" s="4"/>
      <c r="Y209" s="4"/>
      <c r="Z209" s="4"/>
      <c r="AA209" s="4"/>
      <c r="AB209" s="4"/>
      <c r="AC209" s="4"/>
      <c r="AD209" s="4"/>
      <c r="AE209" s="4"/>
      <c r="AF209" s="4"/>
      <c r="AG209" s="4"/>
      <c r="AH209" s="4"/>
      <c r="AI209" s="4"/>
      <c r="AJ209" s="4"/>
      <c r="AK209" s="4"/>
      <c r="AL209" s="4"/>
      <c r="AM209" s="4"/>
      <c r="AN209" s="4"/>
    </row>
    <row r="210" spans="1:40" x14ac:dyDescent="0.25">
      <c r="B210" s="87" t="s">
        <v>15</v>
      </c>
      <c r="C210" s="91" t="s">
        <v>172</v>
      </c>
      <c r="D210" s="39"/>
      <c r="E210" s="54" t="s">
        <v>10</v>
      </c>
      <c r="F210" s="21" t="str">
        <f>IF(H211=1,IF(H209=H$2,H209,""),"")</f>
        <v/>
      </c>
      <c r="G210" s="18"/>
      <c r="H210" s="20" t="str">
        <f>IF(E$262="comprobar",COUNTIF(D209:D213,"x"),"")</f>
        <v/>
      </c>
      <c r="I210" s="4"/>
      <c r="J210" s="4"/>
      <c r="K210" s="4"/>
      <c r="L210" s="4"/>
      <c r="M210" s="4"/>
      <c r="N210" s="4"/>
      <c r="O210" s="4"/>
      <c r="P210" s="4"/>
      <c r="Q210" s="4"/>
      <c r="R210" s="4"/>
      <c r="S210" s="4"/>
      <c r="T210" s="4"/>
      <c r="U210" s="4"/>
      <c r="V210" s="4"/>
      <c r="W210" s="4"/>
      <c r="X210" s="4"/>
      <c r="Y210" s="4"/>
      <c r="Z210" s="4"/>
      <c r="AA210" s="4"/>
      <c r="AB210" s="4"/>
      <c r="AC210" s="4"/>
      <c r="AD210" s="4"/>
      <c r="AE210" s="4"/>
      <c r="AF210" s="4"/>
      <c r="AG210" s="4"/>
      <c r="AH210" s="4"/>
      <c r="AI210" s="4"/>
      <c r="AJ210" s="4"/>
      <c r="AK210" s="4"/>
      <c r="AL210" s="4"/>
      <c r="AM210" s="4"/>
      <c r="AN210" s="4"/>
    </row>
    <row r="211" spans="1:40" x14ac:dyDescent="0.25">
      <c r="B211" s="87" t="s">
        <v>15</v>
      </c>
      <c r="C211" s="82" t="s">
        <v>173</v>
      </c>
      <c r="D211" s="39"/>
      <c r="E211" s="54" t="s">
        <v>11</v>
      </c>
      <c r="F211" s="22" t="str">
        <f>IF(H211=-0.33,IF(H209=H$1,H209,""),"")</f>
        <v/>
      </c>
      <c r="G211" s="18"/>
      <c r="H211" s="23">
        <f t="shared" ref="H211" si="11">IF(H210=1,IF(H209=H$2,1,-0.33),0)</f>
        <v>0</v>
      </c>
      <c r="I211" s="4"/>
      <c r="J211" s="4"/>
      <c r="K211" s="4"/>
      <c r="L211" s="4"/>
      <c r="M211" s="4"/>
      <c r="N211" s="4"/>
      <c r="O211" s="4"/>
      <c r="P211" s="4"/>
      <c r="Q211" s="4"/>
      <c r="R211" s="4"/>
      <c r="S211" s="4"/>
      <c r="T211" s="4"/>
      <c r="U211" s="4"/>
      <c r="V211" s="4"/>
      <c r="W211" s="4"/>
      <c r="X211" s="4"/>
      <c r="Y211" s="4"/>
      <c r="Z211" s="4"/>
      <c r="AA211" s="4"/>
      <c r="AB211" s="4"/>
      <c r="AC211" s="4"/>
      <c r="AD211" s="4"/>
      <c r="AE211" s="4"/>
      <c r="AF211" s="4"/>
      <c r="AG211" s="4"/>
      <c r="AH211" s="4"/>
      <c r="AI211" s="4"/>
      <c r="AJ211" s="4"/>
      <c r="AK211" s="4"/>
      <c r="AL211" s="4"/>
      <c r="AM211" s="4"/>
      <c r="AN211" s="4"/>
    </row>
    <row r="212" spans="1:40" x14ac:dyDescent="0.25">
      <c r="B212" s="87" t="s">
        <v>15</v>
      </c>
      <c r="C212" s="91" t="s">
        <v>174</v>
      </c>
      <c r="D212" s="39"/>
      <c r="E212" s="54" t="s">
        <v>12</v>
      </c>
      <c r="F212" s="26"/>
      <c r="G212" s="18"/>
      <c r="H212" s="23"/>
      <c r="I212" s="4"/>
      <c r="J212" s="4"/>
      <c r="K212" s="4"/>
      <c r="L212" s="4"/>
      <c r="M212" s="4"/>
      <c r="N212" s="4"/>
      <c r="O212" s="4"/>
      <c r="P212" s="4"/>
      <c r="Q212" s="4"/>
      <c r="R212" s="4"/>
      <c r="S212" s="4"/>
      <c r="T212" s="4"/>
      <c r="U212" s="4"/>
      <c r="V212" s="4"/>
      <c r="W212" s="4"/>
      <c r="X212" s="4"/>
      <c r="Y212" s="4"/>
      <c r="Z212" s="4"/>
      <c r="AA212" s="4"/>
      <c r="AB212" s="4"/>
      <c r="AC212" s="4"/>
      <c r="AD212" s="4"/>
      <c r="AE212" s="4"/>
      <c r="AF212" s="4"/>
      <c r="AG212" s="4"/>
      <c r="AH212" s="4"/>
      <c r="AI212" s="4"/>
      <c r="AJ212" s="4"/>
      <c r="AK212" s="4"/>
      <c r="AL212" s="4"/>
      <c r="AM212" s="4"/>
      <c r="AN212" s="4"/>
    </row>
    <row r="213" spans="1:40" x14ac:dyDescent="0.25">
      <c r="B213" s="65"/>
      <c r="C213" s="66"/>
      <c r="D213" s="39"/>
      <c r="E213" s="54" t="s">
        <v>13</v>
      </c>
      <c r="F213" s="19"/>
      <c r="G213" s="18"/>
      <c r="H213" s="23"/>
      <c r="I213" s="4"/>
      <c r="J213" s="4"/>
      <c r="K213" s="4"/>
      <c r="L213" s="4"/>
      <c r="M213" s="4"/>
      <c r="N213" s="4"/>
      <c r="O213" s="4"/>
      <c r="P213" s="4"/>
      <c r="Q213" s="4"/>
      <c r="R213" s="4"/>
      <c r="S213" s="4"/>
      <c r="T213" s="4"/>
      <c r="U213" s="4"/>
      <c r="V213" s="4"/>
      <c r="W213" s="4"/>
      <c r="X213" s="4"/>
      <c r="Y213" s="4"/>
      <c r="Z213" s="4"/>
      <c r="AA213" s="4"/>
      <c r="AB213" s="4"/>
      <c r="AC213" s="4"/>
      <c r="AD213" s="4"/>
      <c r="AE213" s="4"/>
      <c r="AF213" s="4"/>
      <c r="AG213" s="4"/>
      <c r="AH213" s="4"/>
      <c r="AI213" s="4"/>
      <c r="AJ213" s="4"/>
      <c r="AK213" s="4"/>
      <c r="AL213" s="4"/>
      <c r="AM213" s="4"/>
      <c r="AN213" s="4"/>
    </row>
    <row r="214" spans="1:40" s="16" customFormat="1" x14ac:dyDescent="0.25">
      <c r="A214" s="4"/>
      <c r="B214" s="140" t="s">
        <v>69</v>
      </c>
      <c r="C214" s="92" t="s">
        <v>175</v>
      </c>
      <c r="D214" s="40"/>
      <c r="E214" s="53"/>
      <c r="F214" s="28"/>
      <c r="G214" s="14"/>
      <c r="H214" s="14"/>
    </row>
    <row r="215" spans="1:40" x14ac:dyDescent="0.25">
      <c r="B215" s="87" t="s">
        <v>15</v>
      </c>
      <c r="C215" s="141" t="s">
        <v>176</v>
      </c>
      <c r="D215" s="39"/>
      <c r="E215" s="54" t="s">
        <v>9</v>
      </c>
      <c r="F215" s="26"/>
      <c r="G215" s="18"/>
      <c r="H215" s="20" t="b">
        <f>IF(D217="x",H$2,H$1)</f>
        <v>0</v>
      </c>
      <c r="I215" s="4"/>
      <c r="J215" s="4"/>
      <c r="K215" s="4"/>
      <c r="L215" s="4"/>
      <c r="M215" s="4"/>
      <c r="N215" s="4"/>
      <c r="O215" s="4"/>
      <c r="P215" s="4"/>
      <c r="Q215" s="4"/>
      <c r="R215" s="4"/>
      <c r="S215" s="4"/>
      <c r="T215" s="4"/>
      <c r="U215" s="4"/>
      <c r="V215" s="4"/>
      <c r="W215" s="4"/>
      <c r="X215" s="4"/>
      <c r="Y215" s="4"/>
      <c r="Z215" s="4"/>
      <c r="AA215" s="4"/>
      <c r="AB215" s="4"/>
      <c r="AC215" s="4"/>
      <c r="AD215" s="4"/>
      <c r="AE215" s="4"/>
      <c r="AF215" s="4"/>
      <c r="AG215" s="4"/>
      <c r="AH215" s="4"/>
      <c r="AI215" s="4"/>
      <c r="AJ215" s="4"/>
      <c r="AK215" s="4"/>
      <c r="AL215" s="4"/>
      <c r="AM215" s="4"/>
      <c r="AN215" s="4"/>
    </row>
    <row r="216" spans="1:40" x14ac:dyDescent="0.25">
      <c r="B216" s="87" t="s">
        <v>15</v>
      </c>
      <c r="C216" s="91" t="s">
        <v>177</v>
      </c>
      <c r="D216" s="39"/>
      <c r="E216" s="54" t="s">
        <v>10</v>
      </c>
      <c r="F216" s="21" t="str">
        <f>IF(H217=1,IF(H215=H$2,H215,""),"")</f>
        <v/>
      </c>
      <c r="G216" s="18"/>
      <c r="H216" s="20" t="str">
        <f>IF(E$262="comprobar",COUNTIF(D215:D219,"x"),"")</f>
        <v/>
      </c>
      <c r="I216" s="4"/>
      <c r="J216" s="4"/>
      <c r="K216" s="4"/>
      <c r="L216" s="4"/>
      <c r="M216" s="4"/>
      <c r="N216" s="4"/>
      <c r="O216" s="4"/>
      <c r="P216" s="4"/>
      <c r="Q216" s="4"/>
      <c r="R216" s="4"/>
      <c r="S216" s="4"/>
      <c r="T216" s="4"/>
      <c r="U216" s="4"/>
      <c r="V216" s="4"/>
      <c r="W216" s="4"/>
      <c r="X216" s="4"/>
      <c r="Y216" s="4"/>
      <c r="Z216" s="4"/>
      <c r="AA216" s="4"/>
      <c r="AB216" s="4"/>
      <c r="AC216" s="4"/>
      <c r="AD216" s="4"/>
      <c r="AE216" s="4"/>
      <c r="AF216" s="4"/>
      <c r="AG216" s="4"/>
      <c r="AH216" s="4"/>
      <c r="AI216" s="4"/>
      <c r="AJ216" s="4"/>
      <c r="AK216" s="4"/>
      <c r="AL216" s="4"/>
      <c r="AM216" s="4"/>
      <c r="AN216" s="4"/>
    </row>
    <row r="217" spans="1:40" x14ac:dyDescent="0.25">
      <c r="B217" s="87" t="s">
        <v>15</v>
      </c>
      <c r="C217" s="82" t="s">
        <v>178</v>
      </c>
      <c r="D217" s="39"/>
      <c r="E217" s="54" t="s">
        <v>11</v>
      </c>
      <c r="F217" s="22" t="str">
        <f>IF(H217=-0.33,IF(H215=H$1,H215,""),"")</f>
        <v/>
      </c>
      <c r="G217" s="18"/>
      <c r="H217" s="23">
        <f t="shared" ref="H217" si="12">IF(H216=1,IF(H215=H$2,1,-0.33),0)</f>
        <v>0</v>
      </c>
      <c r="I217" s="4"/>
      <c r="J217" s="4"/>
      <c r="K217" s="4"/>
      <c r="L217" s="4"/>
      <c r="M217" s="4"/>
      <c r="N217" s="4"/>
      <c r="O217" s="4"/>
      <c r="P217" s="4"/>
      <c r="Q217" s="4"/>
      <c r="R217" s="4"/>
      <c r="S217" s="4"/>
      <c r="T217" s="4"/>
      <c r="U217" s="4"/>
      <c r="V217" s="4"/>
      <c r="W217" s="4"/>
      <c r="X217" s="4"/>
      <c r="Y217" s="4"/>
      <c r="Z217" s="4"/>
      <c r="AA217" s="4"/>
      <c r="AB217" s="4"/>
      <c r="AC217" s="4"/>
      <c r="AD217" s="4"/>
      <c r="AE217" s="4"/>
      <c r="AF217" s="4"/>
      <c r="AG217" s="4"/>
      <c r="AH217" s="4"/>
      <c r="AI217" s="4"/>
      <c r="AJ217" s="4"/>
      <c r="AK217" s="4"/>
      <c r="AL217" s="4"/>
      <c r="AM217" s="4"/>
      <c r="AN217" s="4"/>
    </row>
    <row r="218" spans="1:40" x14ac:dyDescent="0.25">
      <c r="B218" s="87" t="s">
        <v>15</v>
      </c>
      <c r="C218" s="91" t="s">
        <v>179</v>
      </c>
      <c r="D218" s="39"/>
      <c r="E218" s="54" t="s">
        <v>12</v>
      </c>
      <c r="F218" s="26"/>
      <c r="G218" s="18"/>
      <c r="H218" s="23"/>
      <c r="I218" s="4"/>
      <c r="J218" s="4"/>
      <c r="K218" s="4"/>
      <c r="L218" s="4"/>
      <c r="M218" s="4"/>
      <c r="N218" s="4"/>
      <c r="O218" s="4"/>
      <c r="P218" s="4"/>
      <c r="Q218" s="4"/>
      <c r="R218" s="4"/>
      <c r="S218" s="4"/>
      <c r="T218" s="4"/>
      <c r="U218" s="4"/>
      <c r="V218" s="4"/>
      <c r="W218" s="4"/>
      <c r="X218" s="4"/>
      <c r="Y218" s="4"/>
      <c r="Z218" s="4"/>
      <c r="AA218" s="4"/>
      <c r="AB218" s="4"/>
      <c r="AC218" s="4"/>
      <c r="AD218" s="4"/>
      <c r="AE218" s="4"/>
      <c r="AF218" s="4"/>
      <c r="AG218" s="4"/>
      <c r="AH218" s="4"/>
      <c r="AI218" s="4"/>
      <c r="AJ218" s="4"/>
      <c r="AK218" s="4"/>
      <c r="AL218" s="4"/>
      <c r="AM218" s="4"/>
      <c r="AN218" s="4"/>
    </row>
    <row r="219" spans="1:40" x14ac:dyDescent="0.25">
      <c r="B219" s="65"/>
      <c r="C219" s="66"/>
      <c r="D219" s="39"/>
      <c r="E219" s="54" t="s">
        <v>13</v>
      </c>
      <c r="F219" s="19"/>
      <c r="G219" s="18"/>
      <c r="H219" s="23"/>
      <c r="I219" s="4"/>
      <c r="J219" s="4"/>
      <c r="K219" s="4"/>
      <c r="L219" s="4"/>
      <c r="M219" s="4"/>
      <c r="N219" s="4"/>
      <c r="O219" s="4"/>
      <c r="P219" s="4"/>
      <c r="Q219" s="4"/>
      <c r="R219" s="4"/>
      <c r="S219" s="4"/>
      <c r="T219" s="4"/>
      <c r="U219" s="4"/>
      <c r="V219" s="4"/>
      <c r="W219" s="4"/>
      <c r="X219" s="4"/>
      <c r="Y219" s="4"/>
      <c r="Z219" s="4"/>
      <c r="AA219" s="4"/>
      <c r="AB219" s="4"/>
      <c r="AC219" s="4"/>
      <c r="AD219" s="4"/>
      <c r="AE219" s="4"/>
      <c r="AF219" s="4"/>
      <c r="AG219" s="4"/>
      <c r="AH219" s="4"/>
      <c r="AI219" s="4"/>
      <c r="AJ219" s="4"/>
      <c r="AK219" s="4"/>
      <c r="AL219" s="4"/>
      <c r="AM219" s="4"/>
      <c r="AN219" s="4"/>
    </row>
    <row r="220" spans="1:40" s="16" customFormat="1" x14ac:dyDescent="0.25">
      <c r="A220" s="4"/>
      <c r="B220" s="140" t="s">
        <v>75</v>
      </c>
      <c r="C220" s="92" t="s">
        <v>180</v>
      </c>
      <c r="D220" s="40"/>
      <c r="E220" s="53"/>
      <c r="F220" s="28"/>
      <c r="G220" s="14"/>
      <c r="H220" s="14"/>
    </row>
    <row r="221" spans="1:40" x14ac:dyDescent="0.25">
      <c r="B221" s="87" t="s">
        <v>15</v>
      </c>
      <c r="C221" s="141" t="s">
        <v>181</v>
      </c>
      <c r="D221" s="39"/>
      <c r="E221" s="54" t="s">
        <v>9</v>
      </c>
      <c r="F221" s="26"/>
      <c r="G221" s="18"/>
      <c r="H221" s="20" t="b">
        <f>IF(D224="x",H$2,H$1)</f>
        <v>0</v>
      </c>
      <c r="I221" s="4"/>
      <c r="J221" s="4"/>
      <c r="K221" s="4"/>
      <c r="L221" s="4"/>
      <c r="M221" s="4"/>
      <c r="N221" s="4"/>
      <c r="O221" s="4"/>
      <c r="P221" s="4"/>
      <c r="Q221" s="4"/>
      <c r="R221" s="4"/>
      <c r="S221" s="4"/>
      <c r="T221" s="4"/>
      <c r="U221" s="4"/>
      <c r="V221" s="4"/>
      <c r="W221" s="4"/>
      <c r="X221" s="4"/>
      <c r="Y221" s="4"/>
      <c r="Z221" s="4"/>
      <c r="AA221" s="4"/>
      <c r="AB221" s="4"/>
      <c r="AC221" s="4"/>
      <c r="AD221" s="4"/>
      <c r="AE221" s="4"/>
      <c r="AF221" s="4"/>
      <c r="AG221" s="4"/>
      <c r="AH221" s="4"/>
      <c r="AI221" s="4"/>
      <c r="AJ221" s="4"/>
      <c r="AK221" s="4"/>
      <c r="AL221" s="4"/>
      <c r="AM221" s="4"/>
      <c r="AN221" s="4"/>
    </row>
    <row r="222" spans="1:40" x14ac:dyDescent="0.25">
      <c r="B222" s="87" t="s">
        <v>15</v>
      </c>
      <c r="C222" s="91" t="s">
        <v>182</v>
      </c>
      <c r="D222" s="39"/>
      <c r="E222" s="54" t="s">
        <v>10</v>
      </c>
      <c r="F222" s="21" t="str">
        <f>IF(H223=1,IF(H221=H$2,H221,""),"")</f>
        <v/>
      </c>
      <c r="G222" s="18"/>
      <c r="H222" s="20" t="str">
        <f>IF(E$262="comprobar",COUNTIF(D221:D225,"x"),"")</f>
        <v/>
      </c>
      <c r="I222" s="4"/>
      <c r="J222" s="4"/>
      <c r="K222" s="4"/>
      <c r="L222" s="4"/>
      <c r="M222" s="4"/>
      <c r="N222" s="4"/>
      <c r="O222" s="4"/>
      <c r="P222" s="4"/>
      <c r="Q222" s="4"/>
      <c r="R222" s="4"/>
      <c r="S222" s="4"/>
      <c r="T222" s="4"/>
      <c r="U222" s="4"/>
      <c r="V222" s="4"/>
      <c r="W222" s="4"/>
      <c r="X222" s="4"/>
      <c r="Y222" s="4"/>
      <c r="Z222" s="4"/>
      <c r="AA222" s="4"/>
      <c r="AB222" s="4"/>
      <c r="AC222" s="4"/>
      <c r="AD222" s="4"/>
      <c r="AE222" s="4"/>
      <c r="AF222" s="4"/>
      <c r="AG222" s="4"/>
      <c r="AH222" s="4"/>
      <c r="AI222" s="4"/>
      <c r="AJ222" s="4"/>
      <c r="AK222" s="4"/>
      <c r="AL222" s="4"/>
      <c r="AM222" s="4"/>
      <c r="AN222" s="4"/>
    </row>
    <row r="223" spans="1:40" x14ac:dyDescent="0.25">
      <c r="B223" s="87" t="s">
        <v>15</v>
      </c>
      <c r="C223" s="82" t="s">
        <v>183</v>
      </c>
      <c r="D223" s="39"/>
      <c r="E223" s="54" t="s">
        <v>11</v>
      </c>
      <c r="F223" s="22" t="str">
        <f>IF(H223=-0.33,IF(H221=H$1,H221,""),"")</f>
        <v/>
      </c>
      <c r="G223" s="18"/>
      <c r="H223" s="23">
        <f t="shared" ref="H223" si="13">IF(H222=1,IF(H221=H$2,1,-0.33),0)</f>
        <v>0</v>
      </c>
      <c r="I223" s="4"/>
      <c r="J223" s="4"/>
      <c r="K223" s="4"/>
      <c r="L223" s="4"/>
      <c r="M223" s="4"/>
      <c r="N223" s="4"/>
      <c r="O223" s="4"/>
      <c r="P223" s="4"/>
      <c r="Q223" s="4"/>
      <c r="R223" s="4"/>
      <c r="S223" s="4"/>
      <c r="T223" s="4"/>
      <c r="U223" s="4"/>
      <c r="V223" s="4"/>
      <c r="W223" s="4"/>
      <c r="X223" s="4"/>
      <c r="Y223" s="4"/>
      <c r="Z223" s="4"/>
      <c r="AA223" s="4"/>
      <c r="AB223" s="4"/>
      <c r="AC223" s="4"/>
      <c r="AD223" s="4"/>
      <c r="AE223" s="4"/>
      <c r="AF223" s="4"/>
      <c r="AG223" s="4"/>
      <c r="AH223" s="4"/>
      <c r="AI223" s="4"/>
      <c r="AJ223" s="4"/>
      <c r="AK223" s="4"/>
      <c r="AL223" s="4"/>
      <c r="AM223" s="4"/>
      <c r="AN223" s="4"/>
    </row>
    <row r="224" spans="1:40" x14ac:dyDescent="0.25">
      <c r="B224" s="87" t="s">
        <v>15</v>
      </c>
      <c r="C224" s="143" t="s">
        <v>184</v>
      </c>
      <c r="D224" s="39"/>
      <c r="E224" s="54" t="s">
        <v>12</v>
      </c>
      <c r="F224" s="26"/>
      <c r="G224" s="18"/>
      <c r="H224" s="23"/>
      <c r="I224" s="4"/>
      <c r="J224" s="4"/>
      <c r="K224" s="4"/>
      <c r="L224" s="4"/>
      <c r="M224" s="4"/>
      <c r="N224" s="4"/>
      <c r="O224" s="4"/>
      <c r="P224" s="4"/>
      <c r="Q224" s="4"/>
      <c r="R224" s="4"/>
      <c r="S224" s="4"/>
      <c r="T224" s="4"/>
      <c r="U224" s="4"/>
      <c r="V224" s="4"/>
      <c r="W224" s="4"/>
      <c r="X224" s="4"/>
      <c r="Y224" s="4"/>
      <c r="Z224" s="4"/>
      <c r="AA224" s="4"/>
      <c r="AB224" s="4"/>
      <c r="AC224" s="4"/>
      <c r="AD224" s="4"/>
      <c r="AE224" s="4"/>
      <c r="AF224" s="4"/>
      <c r="AG224" s="4"/>
      <c r="AH224" s="4"/>
      <c r="AI224" s="4"/>
      <c r="AJ224" s="4"/>
      <c r="AK224" s="4"/>
      <c r="AL224" s="4"/>
      <c r="AM224" s="4"/>
      <c r="AN224" s="4"/>
    </row>
    <row r="225" spans="1:40" x14ac:dyDescent="0.25">
      <c r="B225" s="65"/>
      <c r="C225" s="66"/>
      <c r="D225" s="39"/>
      <c r="E225" s="54" t="s">
        <v>13</v>
      </c>
      <c r="F225" s="19"/>
      <c r="G225" s="18"/>
      <c r="H225" s="23"/>
      <c r="I225" s="4"/>
      <c r="J225" s="4"/>
      <c r="K225" s="4"/>
      <c r="L225" s="4"/>
      <c r="M225" s="4"/>
      <c r="N225" s="4"/>
      <c r="O225" s="4"/>
      <c r="P225" s="4"/>
      <c r="Q225" s="4"/>
      <c r="R225" s="4"/>
      <c r="S225" s="4"/>
      <c r="T225" s="4"/>
      <c r="U225" s="4"/>
      <c r="V225" s="4"/>
      <c r="W225" s="4"/>
      <c r="X225" s="4"/>
      <c r="Y225" s="4"/>
      <c r="Z225" s="4"/>
      <c r="AA225" s="4"/>
      <c r="AB225" s="4"/>
      <c r="AC225" s="4"/>
      <c r="AD225" s="4"/>
      <c r="AE225" s="4"/>
      <c r="AF225" s="4"/>
      <c r="AG225" s="4"/>
      <c r="AH225" s="4"/>
      <c r="AI225" s="4"/>
      <c r="AJ225" s="4"/>
      <c r="AK225" s="4"/>
      <c r="AL225" s="4"/>
      <c r="AM225" s="4"/>
      <c r="AN225" s="4"/>
    </row>
    <row r="226" spans="1:40" s="16" customFormat="1" x14ac:dyDescent="0.25">
      <c r="A226" s="4"/>
      <c r="B226" s="140" t="s">
        <v>80</v>
      </c>
      <c r="C226" s="92" t="s">
        <v>185</v>
      </c>
      <c r="D226" s="40"/>
      <c r="E226" s="53"/>
      <c r="F226" s="28"/>
      <c r="G226" s="14"/>
      <c r="H226" s="14"/>
    </row>
    <row r="227" spans="1:40" x14ac:dyDescent="0.25">
      <c r="B227" s="87" t="s">
        <v>15</v>
      </c>
      <c r="C227" s="141" t="s">
        <v>186</v>
      </c>
      <c r="D227" s="39"/>
      <c r="E227" s="54" t="s">
        <v>9</v>
      </c>
      <c r="F227" s="26"/>
      <c r="G227" s="18"/>
      <c r="H227" s="20" t="b">
        <f>IF(D228="x",H$2,H$1)</f>
        <v>0</v>
      </c>
      <c r="I227" s="4"/>
      <c r="J227" s="4"/>
      <c r="K227" s="4"/>
      <c r="L227" s="4"/>
      <c r="M227" s="4"/>
      <c r="N227" s="4"/>
      <c r="O227" s="4"/>
      <c r="P227" s="4"/>
      <c r="Q227" s="4"/>
      <c r="R227" s="4"/>
      <c r="S227" s="4"/>
      <c r="T227" s="4"/>
      <c r="U227" s="4"/>
      <c r="V227" s="4"/>
      <c r="W227" s="4"/>
      <c r="X227" s="4"/>
      <c r="Y227" s="4"/>
      <c r="Z227" s="4"/>
      <c r="AA227" s="4"/>
      <c r="AB227" s="4"/>
      <c r="AC227" s="4"/>
      <c r="AD227" s="4"/>
      <c r="AE227" s="4"/>
      <c r="AF227" s="4"/>
      <c r="AG227" s="4"/>
      <c r="AH227" s="4"/>
      <c r="AI227" s="4"/>
      <c r="AJ227" s="4"/>
      <c r="AK227" s="4"/>
      <c r="AL227" s="4"/>
      <c r="AM227" s="4"/>
      <c r="AN227" s="4"/>
    </row>
    <row r="228" spans="1:40" x14ac:dyDescent="0.25">
      <c r="B228" s="87" t="s">
        <v>15</v>
      </c>
      <c r="C228" s="91" t="s">
        <v>187</v>
      </c>
      <c r="D228" s="39"/>
      <c r="E228" s="54" t="s">
        <v>10</v>
      </c>
      <c r="F228" s="21" t="str">
        <f>IF(H229=1,IF(H227=H$2,H227,""),"")</f>
        <v/>
      </c>
      <c r="G228" s="18"/>
      <c r="H228" s="20" t="str">
        <f>IF(E$262="comprobar",COUNTIF(D227:D231,"x"),"")</f>
        <v/>
      </c>
      <c r="I228" s="4"/>
      <c r="J228" s="4"/>
      <c r="K228" s="4"/>
      <c r="L228" s="4"/>
      <c r="M228" s="4"/>
      <c r="N228" s="4"/>
      <c r="O228" s="4"/>
      <c r="P228" s="4"/>
      <c r="Q228" s="4"/>
      <c r="R228" s="4"/>
      <c r="S228" s="4"/>
      <c r="T228" s="4"/>
      <c r="U228" s="4"/>
      <c r="V228" s="4"/>
      <c r="W228" s="4"/>
      <c r="X228" s="4"/>
      <c r="Y228" s="4"/>
      <c r="Z228" s="4"/>
      <c r="AA228" s="4"/>
      <c r="AB228" s="4"/>
      <c r="AC228" s="4"/>
      <c r="AD228" s="4"/>
      <c r="AE228" s="4"/>
      <c r="AF228" s="4"/>
      <c r="AG228" s="4"/>
      <c r="AH228" s="4"/>
      <c r="AI228" s="4"/>
      <c r="AJ228" s="4"/>
      <c r="AK228" s="4"/>
      <c r="AL228" s="4"/>
      <c r="AM228" s="4"/>
      <c r="AN228" s="4"/>
    </row>
    <row r="229" spans="1:40" x14ac:dyDescent="0.25">
      <c r="B229" s="87" t="s">
        <v>15</v>
      </c>
      <c r="C229" s="82" t="s">
        <v>188</v>
      </c>
      <c r="D229" s="39"/>
      <c r="E229" s="54" t="s">
        <v>11</v>
      </c>
      <c r="F229" s="22" t="str">
        <f>IF(H229=-0.33,IF(H227=H$1,H227,""),"")</f>
        <v/>
      </c>
      <c r="G229" s="18"/>
      <c r="H229" s="23">
        <f t="shared" ref="H229" si="14">IF(H228=1,IF(H227=H$2,1,-0.33),0)</f>
        <v>0</v>
      </c>
      <c r="I229" s="4"/>
      <c r="J229" s="4"/>
      <c r="K229" s="4"/>
      <c r="L229" s="4"/>
      <c r="M229" s="4"/>
      <c r="N229" s="4"/>
      <c r="O229" s="4"/>
      <c r="P229" s="4"/>
      <c r="Q229" s="4"/>
      <c r="R229" s="4"/>
      <c r="S229" s="4"/>
      <c r="T229" s="4"/>
      <c r="U229" s="4"/>
      <c r="V229" s="4"/>
      <c r="W229" s="4"/>
      <c r="X229" s="4"/>
      <c r="Y229" s="4"/>
      <c r="Z229" s="4"/>
      <c r="AA229" s="4"/>
      <c r="AB229" s="4"/>
      <c r="AC229" s="4"/>
      <c r="AD229" s="4"/>
      <c r="AE229" s="4"/>
      <c r="AF229" s="4"/>
      <c r="AG229" s="4"/>
      <c r="AH229" s="4"/>
      <c r="AI229" s="4"/>
      <c r="AJ229" s="4"/>
      <c r="AK229" s="4"/>
      <c r="AL229" s="4"/>
      <c r="AM229" s="4"/>
      <c r="AN229" s="4"/>
    </row>
    <row r="230" spans="1:40" x14ac:dyDescent="0.25">
      <c r="B230" s="87" t="s">
        <v>15</v>
      </c>
      <c r="C230" s="91" t="s">
        <v>189</v>
      </c>
      <c r="D230" s="39"/>
      <c r="E230" s="54" t="s">
        <v>12</v>
      </c>
      <c r="F230" s="26"/>
      <c r="G230" s="18"/>
      <c r="H230" s="23"/>
      <c r="I230" s="4"/>
      <c r="J230" s="4"/>
      <c r="K230" s="4"/>
      <c r="L230" s="4"/>
      <c r="M230" s="4"/>
      <c r="N230" s="4"/>
      <c r="O230" s="4"/>
      <c r="P230" s="4"/>
      <c r="Q230" s="4"/>
      <c r="R230" s="4"/>
      <c r="S230" s="4"/>
      <c r="T230" s="4"/>
      <c r="U230" s="4"/>
      <c r="V230" s="4"/>
      <c r="W230" s="4"/>
      <c r="X230" s="4"/>
      <c r="Y230" s="4"/>
      <c r="Z230" s="4"/>
      <c r="AA230" s="4"/>
      <c r="AB230" s="4"/>
      <c r="AC230" s="4"/>
      <c r="AD230" s="4"/>
      <c r="AE230" s="4"/>
      <c r="AF230" s="4"/>
      <c r="AG230" s="4"/>
      <c r="AH230" s="4"/>
      <c r="AI230" s="4"/>
      <c r="AJ230" s="4"/>
      <c r="AK230" s="4"/>
      <c r="AL230" s="4"/>
      <c r="AM230" s="4"/>
      <c r="AN230" s="4"/>
    </row>
    <row r="231" spans="1:40" x14ac:dyDescent="0.25">
      <c r="B231" s="65"/>
      <c r="C231" s="66"/>
      <c r="D231" s="39"/>
      <c r="E231" s="54" t="s">
        <v>13</v>
      </c>
      <c r="F231" s="19"/>
      <c r="G231" s="18"/>
      <c r="H231" s="23"/>
      <c r="I231" s="4"/>
      <c r="J231" s="4"/>
      <c r="K231" s="4"/>
      <c r="L231" s="4"/>
      <c r="M231" s="4"/>
      <c r="N231" s="4"/>
      <c r="O231" s="4"/>
      <c r="P231" s="4"/>
      <c r="Q231" s="4"/>
      <c r="R231" s="4"/>
      <c r="S231" s="4"/>
      <c r="T231" s="4"/>
      <c r="U231" s="4"/>
      <c r="V231" s="4"/>
      <c r="W231" s="4"/>
      <c r="X231" s="4"/>
      <c r="Y231" s="4"/>
      <c r="Z231" s="4"/>
      <c r="AA231" s="4"/>
      <c r="AB231" s="4"/>
      <c r="AC231" s="4"/>
      <c r="AD231" s="4"/>
      <c r="AE231" s="4"/>
      <c r="AF231" s="4"/>
      <c r="AG231" s="4"/>
      <c r="AH231" s="4"/>
      <c r="AI231" s="4"/>
      <c r="AJ231" s="4"/>
      <c r="AK231" s="4"/>
      <c r="AL231" s="4"/>
      <c r="AM231" s="4"/>
      <c r="AN231" s="4"/>
    </row>
    <row r="232" spans="1:40" s="16" customFormat="1" x14ac:dyDescent="0.25">
      <c r="A232" s="4"/>
      <c r="B232" s="140" t="s">
        <v>85</v>
      </c>
      <c r="C232" s="92" t="s">
        <v>620</v>
      </c>
      <c r="D232" s="40"/>
      <c r="E232" s="53"/>
      <c r="F232" s="28"/>
      <c r="G232" s="14"/>
      <c r="H232" s="14"/>
    </row>
    <row r="233" spans="1:40" x14ac:dyDescent="0.25">
      <c r="B233" s="87" t="s">
        <v>15</v>
      </c>
      <c r="C233" s="141" t="s">
        <v>190</v>
      </c>
      <c r="D233" s="39"/>
      <c r="E233" s="54" t="s">
        <v>9</v>
      </c>
      <c r="F233" s="26"/>
      <c r="G233" s="18"/>
      <c r="H233" s="20" t="b">
        <f>IF(D234="x",H$2,H$1)</f>
        <v>0</v>
      </c>
      <c r="I233" s="4"/>
      <c r="J233" s="4"/>
      <c r="K233" s="4"/>
      <c r="L233" s="4"/>
      <c r="M233" s="4"/>
      <c r="N233" s="4"/>
      <c r="O233" s="4"/>
      <c r="P233" s="4"/>
      <c r="Q233" s="4"/>
      <c r="R233" s="4"/>
      <c r="S233" s="4"/>
      <c r="T233" s="4"/>
      <c r="U233" s="4"/>
      <c r="V233" s="4"/>
      <c r="W233" s="4"/>
      <c r="X233" s="4"/>
      <c r="Y233" s="4"/>
      <c r="Z233" s="4"/>
      <c r="AA233" s="4"/>
      <c r="AB233" s="4"/>
      <c r="AC233" s="4"/>
      <c r="AD233" s="4"/>
      <c r="AE233" s="4"/>
      <c r="AF233" s="4"/>
      <c r="AG233" s="4"/>
      <c r="AH233" s="4"/>
      <c r="AI233" s="4"/>
      <c r="AJ233" s="4"/>
      <c r="AK233" s="4"/>
      <c r="AL233" s="4"/>
      <c r="AM233" s="4"/>
      <c r="AN233" s="4"/>
    </row>
    <row r="234" spans="1:40" x14ac:dyDescent="0.25">
      <c r="B234" s="87" t="s">
        <v>15</v>
      </c>
      <c r="C234" s="91" t="s">
        <v>191</v>
      </c>
      <c r="D234" s="39"/>
      <c r="E234" s="54" t="s">
        <v>10</v>
      </c>
      <c r="F234" s="21" t="str">
        <f>IF(H235=1,IF(H233=H$2,H233,""),"")</f>
        <v/>
      </c>
      <c r="G234" s="18"/>
      <c r="H234" s="20" t="str">
        <f>IF(E$262="comprobar",COUNTIF(D233:D237,"x"),"")</f>
        <v/>
      </c>
      <c r="I234" s="4"/>
      <c r="J234" s="4"/>
      <c r="K234" s="4"/>
      <c r="L234" s="4"/>
      <c r="M234" s="4"/>
      <c r="N234" s="4"/>
      <c r="O234" s="4"/>
      <c r="P234" s="4"/>
      <c r="Q234" s="4"/>
      <c r="R234" s="4"/>
      <c r="S234" s="4"/>
      <c r="T234" s="4"/>
      <c r="U234" s="4"/>
      <c r="V234" s="4"/>
      <c r="W234" s="4"/>
      <c r="X234" s="4"/>
      <c r="Y234" s="4"/>
      <c r="Z234" s="4"/>
      <c r="AA234" s="4"/>
      <c r="AB234" s="4"/>
      <c r="AC234" s="4"/>
      <c r="AD234" s="4"/>
      <c r="AE234" s="4"/>
      <c r="AF234" s="4"/>
      <c r="AG234" s="4"/>
      <c r="AH234" s="4"/>
      <c r="AI234" s="4"/>
      <c r="AJ234" s="4"/>
      <c r="AK234" s="4"/>
      <c r="AL234" s="4"/>
      <c r="AM234" s="4"/>
      <c r="AN234" s="4"/>
    </row>
    <row r="235" spans="1:40" x14ac:dyDescent="0.25">
      <c r="B235" s="87" t="s">
        <v>15</v>
      </c>
      <c r="C235" s="82" t="s">
        <v>192</v>
      </c>
      <c r="D235" s="39"/>
      <c r="E235" s="54" t="s">
        <v>11</v>
      </c>
      <c r="F235" s="22" t="str">
        <f>IF(H235=-0.33,IF(H233=H$1,H233,""),"")</f>
        <v/>
      </c>
      <c r="G235" s="18"/>
      <c r="H235" s="23">
        <f t="shared" ref="H235" si="15">IF(H234=1,IF(H233=H$2,1,-0.33),0)</f>
        <v>0</v>
      </c>
      <c r="I235" s="4"/>
      <c r="J235" s="4"/>
      <c r="K235" s="4"/>
      <c r="L235" s="4"/>
      <c r="M235" s="4"/>
      <c r="N235" s="4"/>
      <c r="O235" s="4"/>
      <c r="P235" s="4"/>
      <c r="Q235" s="4"/>
      <c r="R235" s="4"/>
      <c r="S235" s="4"/>
      <c r="T235" s="4"/>
      <c r="U235" s="4"/>
      <c r="V235" s="4"/>
      <c r="W235" s="4"/>
      <c r="X235" s="4"/>
      <c r="Y235" s="4"/>
      <c r="Z235" s="4"/>
      <c r="AA235" s="4"/>
      <c r="AB235" s="4"/>
      <c r="AC235" s="4"/>
      <c r="AD235" s="4"/>
      <c r="AE235" s="4"/>
      <c r="AF235" s="4"/>
      <c r="AG235" s="4"/>
      <c r="AH235" s="4"/>
      <c r="AI235" s="4"/>
      <c r="AJ235" s="4"/>
      <c r="AK235" s="4"/>
      <c r="AL235" s="4"/>
      <c r="AM235" s="4"/>
      <c r="AN235" s="4"/>
    </row>
    <row r="236" spans="1:40" x14ac:dyDescent="0.25">
      <c r="B236" s="87" t="s">
        <v>15</v>
      </c>
      <c r="C236" s="91" t="s">
        <v>193</v>
      </c>
      <c r="D236" s="39"/>
      <c r="E236" s="54" t="s">
        <v>12</v>
      </c>
      <c r="F236" s="26"/>
      <c r="G236" s="18"/>
      <c r="H236" s="23"/>
      <c r="I236" s="4"/>
      <c r="J236" s="4"/>
      <c r="K236" s="4"/>
      <c r="L236" s="4"/>
      <c r="M236" s="4"/>
      <c r="N236" s="4"/>
      <c r="O236" s="4"/>
      <c r="P236" s="4"/>
      <c r="Q236" s="4"/>
      <c r="R236" s="4"/>
      <c r="S236" s="4"/>
      <c r="T236" s="4"/>
      <c r="U236" s="4"/>
      <c r="V236" s="4"/>
      <c r="W236" s="4"/>
      <c r="X236" s="4"/>
      <c r="Y236" s="4"/>
      <c r="Z236" s="4"/>
      <c r="AA236" s="4"/>
      <c r="AB236" s="4"/>
      <c r="AC236" s="4"/>
      <c r="AD236" s="4"/>
      <c r="AE236" s="4"/>
      <c r="AF236" s="4"/>
      <c r="AG236" s="4"/>
      <c r="AH236" s="4"/>
      <c r="AI236" s="4"/>
      <c r="AJ236" s="4"/>
      <c r="AK236" s="4"/>
      <c r="AL236" s="4"/>
      <c r="AM236" s="4"/>
      <c r="AN236" s="4"/>
    </row>
    <row r="237" spans="1:40" x14ac:dyDescent="0.25">
      <c r="B237" s="65"/>
      <c r="C237" s="66"/>
      <c r="D237" s="39"/>
      <c r="E237" s="54" t="s">
        <v>13</v>
      </c>
      <c r="F237" s="19"/>
      <c r="G237" s="18"/>
      <c r="H237" s="23"/>
      <c r="I237" s="4"/>
      <c r="J237" s="4"/>
      <c r="K237" s="4"/>
      <c r="L237" s="4"/>
      <c r="M237" s="4"/>
      <c r="N237" s="4"/>
      <c r="O237" s="4"/>
      <c r="P237" s="4"/>
      <c r="Q237" s="4"/>
      <c r="R237" s="4"/>
      <c r="S237" s="4"/>
      <c r="T237" s="4"/>
      <c r="U237" s="4"/>
      <c r="V237" s="4"/>
      <c r="W237" s="4"/>
      <c r="X237" s="4"/>
      <c r="Y237" s="4"/>
      <c r="Z237" s="4"/>
      <c r="AA237" s="4"/>
      <c r="AB237" s="4"/>
      <c r="AC237" s="4"/>
      <c r="AD237" s="4"/>
      <c r="AE237" s="4"/>
      <c r="AF237" s="4"/>
      <c r="AG237" s="4"/>
      <c r="AH237" s="4"/>
      <c r="AI237" s="4"/>
      <c r="AJ237" s="4"/>
      <c r="AK237" s="4"/>
      <c r="AL237" s="4"/>
      <c r="AM237" s="4"/>
      <c r="AN237" s="4"/>
    </row>
    <row r="238" spans="1:40" s="16" customFormat="1" x14ac:dyDescent="0.25">
      <c r="A238" s="4"/>
      <c r="B238" s="140" t="s">
        <v>91</v>
      </c>
      <c r="C238" s="92" t="s">
        <v>194</v>
      </c>
      <c r="D238" s="40"/>
      <c r="E238" s="53"/>
      <c r="F238" s="28"/>
      <c r="G238" s="14"/>
      <c r="H238" s="14"/>
    </row>
    <row r="239" spans="1:40" x14ac:dyDescent="0.25">
      <c r="B239" s="87" t="s">
        <v>15</v>
      </c>
      <c r="C239" s="141" t="s">
        <v>195</v>
      </c>
      <c r="D239" s="39"/>
      <c r="E239" s="54" t="s">
        <v>9</v>
      </c>
      <c r="F239" s="26"/>
      <c r="G239" s="18"/>
      <c r="H239" s="20" t="b">
        <f>IF(D241="x",H$2,H$1)</f>
        <v>0</v>
      </c>
      <c r="I239" s="4"/>
      <c r="J239" s="4"/>
      <c r="K239" s="4"/>
      <c r="L239" s="4"/>
      <c r="M239" s="4"/>
      <c r="N239" s="4"/>
      <c r="O239" s="4"/>
      <c r="P239" s="4"/>
      <c r="Q239" s="4"/>
      <c r="R239" s="4"/>
      <c r="S239" s="4"/>
      <c r="T239" s="4"/>
      <c r="U239" s="4"/>
      <c r="V239" s="4"/>
      <c r="W239" s="4"/>
      <c r="X239" s="4"/>
      <c r="Y239" s="4"/>
      <c r="Z239" s="4"/>
      <c r="AA239" s="4"/>
      <c r="AB239" s="4"/>
      <c r="AC239" s="4"/>
      <c r="AD239" s="4"/>
      <c r="AE239" s="4"/>
      <c r="AF239" s="4"/>
      <c r="AG239" s="4"/>
      <c r="AH239" s="4"/>
      <c r="AI239" s="4"/>
      <c r="AJ239" s="4"/>
      <c r="AK239" s="4"/>
      <c r="AL239" s="4"/>
      <c r="AM239" s="4"/>
      <c r="AN239" s="4"/>
    </row>
    <row r="240" spans="1:40" x14ac:dyDescent="0.25">
      <c r="B240" s="87" t="s">
        <v>15</v>
      </c>
      <c r="C240" s="91" t="s">
        <v>196</v>
      </c>
      <c r="D240" s="39"/>
      <c r="E240" s="54" t="s">
        <v>10</v>
      </c>
      <c r="F240" s="21" t="str">
        <f>IF(H241=1,IF(H239=H$2,H239,""),"")</f>
        <v/>
      </c>
      <c r="G240" s="18"/>
      <c r="H240" s="20" t="str">
        <f>IF(E$262="comprobar",COUNTIF(D239:D243,"x"),"")</f>
        <v/>
      </c>
      <c r="I240" s="4"/>
      <c r="J240" s="4"/>
      <c r="K240" s="4"/>
      <c r="L240" s="4"/>
      <c r="M240" s="4"/>
      <c r="N240" s="4"/>
      <c r="O240" s="4"/>
      <c r="P240" s="4"/>
      <c r="Q240" s="4"/>
      <c r="R240" s="4"/>
      <c r="S240" s="4"/>
      <c r="T240" s="4"/>
      <c r="U240" s="4"/>
      <c r="V240" s="4"/>
      <c r="W240" s="4"/>
      <c r="X240" s="4"/>
      <c r="Y240" s="4"/>
      <c r="Z240" s="4"/>
      <c r="AA240" s="4"/>
      <c r="AB240" s="4"/>
      <c r="AC240" s="4"/>
      <c r="AD240" s="4"/>
      <c r="AE240" s="4"/>
      <c r="AF240" s="4"/>
      <c r="AG240" s="4"/>
      <c r="AH240" s="4"/>
      <c r="AI240" s="4"/>
      <c r="AJ240" s="4"/>
      <c r="AK240" s="4"/>
      <c r="AL240" s="4"/>
      <c r="AM240" s="4"/>
      <c r="AN240" s="4"/>
    </row>
    <row r="241" spans="1:40" x14ac:dyDescent="0.25">
      <c r="B241" s="87" t="s">
        <v>15</v>
      </c>
      <c r="C241" s="82" t="s">
        <v>197</v>
      </c>
      <c r="D241" s="39"/>
      <c r="E241" s="54" t="s">
        <v>11</v>
      </c>
      <c r="F241" s="22" t="str">
        <f>IF(H241=-0.33,IF(H239=H$1,H239,""),"")</f>
        <v/>
      </c>
      <c r="G241" s="18"/>
      <c r="H241" s="23">
        <f t="shared" ref="H241" si="16">IF(H240=1,IF(H239=H$2,1,-0.33),0)</f>
        <v>0</v>
      </c>
      <c r="I241" s="4"/>
      <c r="J241" s="4"/>
      <c r="K241" s="4"/>
      <c r="L241" s="4"/>
      <c r="M241" s="4"/>
      <c r="N241" s="4"/>
      <c r="O241" s="4"/>
      <c r="P241" s="4"/>
      <c r="Q241" s="4"/>
      <c r="R241" s="4"/>
      <c r="S241" s="4"/>
      <c r="T241" s="4"/>
      <c r="U241" s="4"/>
      <c r="V241" s="4"/>
      <c r="W241" s="4"/>
      <c r="X241" s="4"/>
      <c r="Y241" s="4"/>
      <c r="Z241" s="4"/>
      <c r="AA241" s="4"/>
      <c r="AB241" s="4"/>
      <c r="AC241" s="4"/>
      <c r="AD241" s="4"/>
      <c r="AE241" s="4"/>
      <c r="AF241" s="4"/>
      <c r="AG241" s="4"/>
      <c r="AH241" s="4"/>
      <c r="AI241" s="4"/>
      <c r="AJ241" s="4"/>
      <c r="AK241" s="4"/>
      <c r="AL241" s="4"/>
      <c r="AM241" s="4"/>
      <c r="AN241" s="4"/>
    </row>
    <row r="242" spans="1:40" x14ac:dyDescent="0.25">
      <c r="B242" s="87" t="s">
        <v>15</v>
      </c>
      <c r="C242" s="91" t="s">
        <v>198</v>
      </c>
      <c r="D242" s="39"/>
      <c r="E242" s="54" t="s">
        <v>12</v>
      </c>
      <c r="F242" s="26"/>
      <c r="G242" s="18"/>
      <c r="H242" s="23"/>
      <c r="I242" s="4"/>
      <c r="J242" s="4"/>
      <c r="K242" s="4"/>
      <c r="L242" s="4"/>
      <c r="M242" s="4"/>
      <c r="N242" s="4"/>
      <c r="O242" s="4"/>
      <c r="P242" s="4"/>
      <c r="Q242" s="4"/>
      <c r="R242" s="4"/>
      <c r="S242" s="4"/>
      <c r="T242" s="4"/>
      <c r="U242" s="4"/>
      <c r="V242" s="4"/>
      <c r="W242" s="4"/>
      <c r="X242" s="4"/>
      <c r="Y242" s="4"/>
      <c r="Z242" s="4"/>
      <c r="AA242" s="4"/>
      <c r="AB242" s="4"/>
      <c r="AC242" s="4"/>
      <c r="AD242" s="4"/>
      <c r="AE242" s="4"/>
      <c r="AF242" s="4"/>
      <c r="AG242" s="4"/>
      <c r="AH242" s="4"/>
      <c r="AI242" s="4"/>
      <c r="AJ242" s="4"/>
      <c r="AK242" s="4"/>
      <c r="AL242" s="4"/>
      <c r="AM242" s="4"/>
      <c r="AN242" s="4"/>
    </row>
    <row r="243" spans="1:40" x14ac:dyDescent="0.25">
      <c r="B243" s="65"/>
      <c r="C243" s="66"/>
      <c r="D243" s="39"/>
      <c r="E243" s="54" t="s">
        <v>13</v>
      </c>
      <c r="F243" s="19"/>
      <c r="G243" s="18"/>
      <c r="H243" s="23"/>
      <c r="I243" s="4"/>
      <c r="J243" s="4"/>
      <c r="K243" s="4"/>
      <c r="L243" s="4"/>
      <c r="M243" s="4"/>
      <c r="N243" s="4"/>
      <c r="O243" s="4"/>
      <c r="P243" s="4"/>
      <c r="Q243" s="4"/>
      <c r="R243" s="4"/>
      <c r="S243" s="4"/>
      <c r="T243" s="4"/>
      <c r="U243" s="4"/>
      <c r="V243" s="4"/>
      <c r="W243" s="4"/>
      <c r="X243" s="4"/>
      <c r="Y243" s="4"/>
      <c r="Z243" s="4"/>
      <c r="AA243" s="4"/>
      <c r="AB243" s="4"/>
      <c r="AC243" s="4"/>
      <c r="AD243" s="4"/>
      <c r="AE243" s="4"/>
      <c r="AF243" s="4"/>
      <c r="AG243" s="4"/>
      <c r="AH243" s="4"/>
      <c r="AI243" s="4"/>
      <c r="AJ243" s="4"/>
      <c r="AK243" s="4"/>
      <c r="AL243" s="4"/>
      <c r="AM243" s="4"/>
      <c r="AN243" s="4"/>
    </row>
    <row r="244" spans="1:40" s="16" customFormat="1" x14ac:dyDescent="0.25">
      <c r="A244" s="4"/>
      <c r="B244" s="140" t="s">
        <v>92</v>
      </c>
      <c r="C244" s="92" t="s">
        <v>621</v>
      </c>
      <c r="D244" s="40"/>
      <c r="E244" s="53"/>
      <c r="F244" s="28"/>
      <c r="G244" s="14"/>
      <c r="H244" s="14"/>
    </row>
    <row r="245" spans="1:40" x14ac:dyDescent="0.25">
      <c r="B245" s="87" t="s">
        <v>15</v>
      </c>
      <c r="C245" s="64" t="s">
        <v>200</v>
      </c>
      <c r="D245" s="39"/>
      <c r="E245" s="54" t="s">
        <v>9</v>
      </c>
      <c r="F245" s="26"/>
      <c r="G245" s="18"/>
      <c r="H245" s="20" t="b">
        <f>IF(D246="x",H$2,H$1)</f>
        <v>0</v>
      </c>
      <c r="I245" s="4"/>
      <c r="J245" s="4"/>
      <c r="K245" s="4"/>
      <c r="L245" s="4"/>
      <c r="M245" s="4"/>
      <c r="N245" s="4"/>
      <c r="O245" s="4"/>
      <c r="P245" s="4"/>
      <c r="Q245" s="4"/>
      <c r="R245" s="4"/>
      <c r="S245" s="4"/>
      <c r="T245" s="4"/>
      <c r="U245" s="4"/>
      <c r="V245" s="4"/>
      <c r="W245" s="4"/>
      <c r="X245" s="4"/>
      <c r="Y245" s="4"/>
      <c r="Z245" s="4"/>
      <c r="AA245" s="4"/>
      <c r="AB245" s="4"/>
      <c r="AC245" s="4"/>
      <c r="AD245" s="4"/>
      <c r="AE245" s="4"/>
      <c r="AF245" s="4"/>
      <c r="AG245" s="4"/>
      <c r="AH245" s="4"/>
      <c r="AI245" s="4"/>
      <c r="AJ245" s="4"/>
      <c r="AK245" s="4"/>
      <c r="AL245" s="4"/>
      <c r="AM245" s="4"/>
      <c r="AN245" s="4"/>
    </row>
    <row r="246" spans="1:40" x14ac:dyDescent="0.25">
      <c r="B246" s="87" t="s">
        <v>15</v>
      </c>
      <c r="C246" s="91" t="s">
        <v>201</v>
      </c>
      <c r="D246" s="39"/>
      <c r="E246" s="54" t="s">
        <v>10</v>
      </c>
      <c r="F246" s="21" t="str">
        <f>IF(H247=1,IF(H245=H$2,H245,""),"")</f>
        <v/>
      </c>
      <c r="G246" s="18"/>
      <c r="H246" s="20" t="str">
        <f>IF(E$262="comprobar",COUNTIF(D245:D249,"x"),"")</f>
        <v/>
      </c>
      <c r="I246" s="4"/>
      <c r="J246" s="4"/>
      <c r="K246" s="4"/>
      <c r="L246" s="4"/>
      <c r="M246" s="4"/>
      <c r="N246" s="4"/>
      <c r="O246" s="4"/>
      <c r="P246" s="4"/>
      <c r="Q246" s="4"/>
      <c r="R246" s="4"/>
      <c r="S246" s="4"/>
      <c r="T246" s="4"/>
      <c r="U246" s="4"/>
      <c r="V246" s="4"/>
      <c r="W246" s="4"/>
      <c r="X246" s="4"/>
      <c r="Y246" s="4"/>
      <c r="Z246" s="4"/>
      <c r="AA246" s="4"/>
      <c r="AB246" s="4"/>
      <c r="AC246" s="4"/>
      <c r="AD246" s="4"/>
      <c r="AE246" s="4"/>
      <c r="AF246" s="4"/>
      <c r="AG246" s="4"/>
      <c r="AH246" s="4"/>
      <c r="AI246" s="4"/>
      <c r="AJ246" s="4"/>
      <c r="AK246" s="4"/>
      <c r="AL246" s="4"/>
      <c r="AM246" s="4"/>
      <c r="AN246" s="4"/>
    </row>
    <row r="247" spans="1:40" x14ac:dyDescent="0.25">
      <c r="B247" s="87" t="s">
        <v>15</v>
      </c>
      <c r="C247" s="91" t="s">
        <v>202</v>
      </c>
      <c r="D247" s="39"/>
      <c r="E247" s="54" t="s">
        <v>11</v>
      </c>
      <c r="F247" s="22" t="str">
        <f>IF(H247=-0.33,IF(H245=H$1,H245,""),"")</f>
        <v/>
      </c>
      <c r="G247" s="18"/>
      <c r="H247" s="23">
        <f t="shared" ref="H247" si="17">IF(H246=1,IF(H245=H$2,1,-0.33),0)</f>
        <v>0</v>
      </c>
      <c r="I247" s="4"/>
      <c r="J247" s="4"/>
      <c r="K247" s="4"/>
      <c r="L247" s="4"/>
      <c r="M247" s="4"/>
      <c r="N247" s="4"/>
      <c r="O247" s="4"/>
      <c r="P247" s="4"/>
      <c r="Q247" s="4"/>
      <c r="R247" s="4"/>
      <c r="S247" s="4"/>
      <c r="T247" s="4"/>
      <c r="U247" s="4"/>
      <c r="V247" s="4"/>
      <c r="W247" s="4"/>
      <c r="X247" s="4"/>
      <c r="Y247" s="4"/>
      <c r="Z247" s="4"/>
      <c r="AA247" s="4"/>
      <c r="AB247" s="4"/>
      <c r="AC247" s="4"/>
      <c r="AD247" s="4"/>
      <c r="AE247" s="4"/>
      <c r="AF247" s="4"/>
      <c r="AG247" s="4"/>
      <c r="AH247" s="4"/>
      <c r="AI247" s="4"/>
      <c r="AJ247" s="4"/>
      <c r="AK247" s="4"/>
      <c r="AL247" s="4"/>
      <c r="AM247" s="4"/>
      <c r="AN247" s="4"/>
    </row>
    <row r="248" spans="1:40" x14ac:dyDescent="0.25">
      <c r="B248" s="87" t="s">
        <v>15</v>
      </c>
      <c r="C248" s="91" t="s">
        <v>203</v>
      </c>
      <c r="D248" s="39"/>
      <c r="E248" s="54" t="s">
        <v>12</v>
      </c>
      <c r="F248" s="26"/>
      <c r="G248" s="18"/>
      <c r="H248" s="23"/>
      <c r="I248" s="4"/>
      <c r="J248" s="4"/>
      <c r="K248" s="4"/>
      <c r="L248" s="4"/>
      <c r="M248" s="4"/>
      <c r="N248" s="4"/>
      <c r="O248" s="4"/>
      <c r="P248" s="4"/>
      <c r="Q248" s="4"/>
      <c r="R248" s="4"/>
      <c r="S248" s="4"/>
      <c r="T248" s="4"/>
      <c r="U248" s="4"/>
      <c r="V248" s="4"/>
      <c r="W248" s="4"/>
      <c r="X248" s="4"/>
      <c r="Y248" s="4"/>
      <c r="Z248" s="4"/>
      <c r="AA248" s="4"/>
      <c r="AB248" s="4"/>
      <c r="AC248" s="4"/>
      <c r="AD248" s="4"/>
      <c r="AE248" s="4"/>
      <c r="AF248" s="4"/>
      <c r="AG248" s="4"/>
      <c r="AH248" s="4"/>
      <c r="AI248" s="4"/>
      <c r="AJ248" s="4"/>
      <c r="AK248" s="4"/>
      <c r="AL248" s="4"/>
      <c r="AM248" s="4"/>
      <c r="AN248" s="4"/>
    </row>
    <row r="249" spans="1:40" x14ac:dyDescent="0.25">
      <c r="B249" s="65"/>
      <c r="C249" s="66"/>
      <c r="D249" s="39"/>
      <c r="E249" s="54" t="s">
        <v>13</v>
      </c>
      <c r="F249" s="19"/>
      <c r="G249" s="18"/>
      <c r="H249" s="23"/>
      <c r="I249" s="4"/>
      <c r="J249" s="4"/>
      <c r="K249" s="4"/>
      <c r="L249" s="4"/>
      <c r="M249" s="4"/>
      <c r="N249" s="4"/>
      <c r="O249" s="4"/>
      <c r="P249" s="4"/>
      <c r="Q249" s="4"/>
      <c r="R249" s="4"/>
      <c r="S249" s="4"/>
      <c r="T249" s="4"/>
      <c r="U249" s="4"/>
      <c r="V249" s="4"/>
      <c r="W249" s="4"/>
      <c r="X249" s="4"/>
      <c r="Y249" s="4"/>
      <c r="Z249" s="4"/>
      <c r="AA249" s="4"/>
      <c r="AB249" s="4"/>
      <c r="AC249" s="4"/>
      <c r="AD249" s="4"/>
      <c r="AE249" s="4"/>
      <c r="AF249" s="4"/>
      <c r="AG249" s="4"/>
      <c r="AH249" s="4"/>
      <c r="AI249" s="4"/>
      <c r="AJ249" s="4"/>
      <c r="AK249" s="4"/>
      <c r="AL249" s="4"/>
      <c r="AM249" s="4"/>
      <c r="AN249" s="4"/>
    </row>
    <row r="250" spans="1:40" s="16" customFormat="1" x14ac:dyDescent="0.25">
      <c r="A250" s="4"/>
      <c r="B250" s="140" t="s">
        <v>199</v>
      </c>
      <c r="C250" s="146" t="s">
        <v>204</v>
      </c>
      <c r="D250" s="40"/>
      <c r="E250" s="53"/>
      <c r="F250" s="28"/>
      <c r="G250" s="14"/>
      <c r="H250" s="14"/>
    </row>
    <row r="251" spans="1:40" x14ac:dyDescent="0.25">
      <c r="B251" s="87" t="s">
        <v>15</v>
      </c>
      <c r="C251" s="64" t="s">
        <v>205</v>
      </c>
      <c r="D251" s="39"/>
      <c r="E251" s="54" t="s">
        <v>9</v>
      </c>
      <c r="F251" s="26"/>
      <c r="G251" s="18"/>
      <c r="H251" s="20" t="b">
        <f>IF(D254="x",H$2,H$1)</f>
        <v>0</v>
      </c>
      <c r="I251" s="4"/>
      <c r="J251" s="4"/>
      <c r="K251" s="4"/>
      <c r="L251" s="4"/>
      <c r="M251" s="4"/>
      <c r="N251" s="4"/>
      <c r="O251" s="4"/>
      <c r="P251" s="4"/>
      <c r="Q251" s="4"/>
      <c r="R251" s="4"/>
      <c r="S251" s="4"/>
      <c r="T251" s="4"/>
      <c r="U251" s="4"/>
      <c r="V251" s="4"/>
      <c r="W251" s="4"/>
      <c r="X251" s="4"/>
      <c r="Y251" s="4"/>
      <c r="Z251" s="4"/>
      <c r="AA251" s="4"/>
      <c r="AB251" s="4"/>
      <c r="AC251" s="4"/>
      <c r="AD251" s="4"/>
      <c r="AE251" s="4"/>
      <c r="AF251" s="4"/>
      <c r="AG251" s="4"/>
      <c r="AH251" s="4"/>
      <c r="AI251" s="4"/>
      <c r="AJ251" s="4"/>
      <c r="AK251" s="4"/>
      <c r="AL251" s="4"/>
      <c r="AM251" s="4"/>
      <c r="AN251" s="4"/>
    </row>
    <row r="252" spans="1:40" x14ac:dyDescent="0.25">
      <c r="B252" s="87" t="s">
        <v>15</v>
      </c>
      <c r="C252" s="91" t="s">
        <v>206</v>
      </c>
      <c r="D252" s="39"/>
      <c r="E252" s="54" t="s">
        <v>10</v>
      </c>
      <c r="F252" s="21" t="str">
        <f>IF(H253=1,IF(H251=H$2,H251,""),"")</f>
        <v/>
      </c>
      <c r="G252" s="18"/>
      <c r="H252" s="20" t="str">
        <f>IF(E$262="comprobar",COUNTIF(D251:D255,"x"),"")</f>
        <v/>
      </c>
      <c r="I252" s="4"/>
      <c r="J252" s="4"/>
      <c r="K252" s="4"/>
      <c r="L252" s="4"/>
      <c r="M252" s="4"/>
      <c r="N252" s="4"/>
      <c r="O252" s="4"/>
      <c r="P252" s="4"/>
      <c r="Q252" s="4"/>
      <c r="R252" s="4"/>
      <c r="S252" s="4"/>
      <c r="T252" s="4"/>
      <c r="U252" s="4"/>
      <c r="V252" s="4"/>
      <c r="W252" s="4"/>
      <c r="X252" s="4"/>
      <c r="Y252" s="4"/>
      <c r="Z252" s="4"/>
      <c r="AA252" s="4"/>
      <c r="AB252" s="4"/>
      <c r="AC252" s="4"/>
      <c r="AD252" s="4"/>
      <c r="AE252" s="4"/>
      <c r="AF252" s="4"/>
      <c r="AG252" s="4"/>
      <c r="AH252" s="4"/>
      <c r="AI252" s="4"/>
      <c r="AJ252" s="4"/>
      <c r="AK252" s="4"/>
      <c r="AL252" s="4"/>
      <c r="AM252" s="4"/>
      <c r="AN252" s="4"/>
    </row>
    <row r="253" spans="1:40" x14ac:dyDescent="0.25">
      <c r="B253" s="87" t="s">
        <v>15</v>
      </c>
      <c r="C253" s="91" t="s">
        <v>207</v>
      </c>
      <c r="D253" s="39"/>
      <c r="E253" s="54" t="s">
        <v>11</v>
      </c>
      <c r="F253" s="22" t="str">
        <f>IF(H253=-0.33,IF(H251=H$1,H251,""),"")</f>
        <v/>
      </c>
      <c r="G253" s="18"/>
      <c r="H253" s="23">
        <f t="shared" ref="H253" si="18">IF(H252=1,IF(H251=H$2,1,-0.33),0)</f>
        <v>0</v>
      </c>
      <c r="I253" s="4"/>
      <c r="J253" s="4"/>
      <c r="K253" s="4"/>
      <c r="L253" s="4"/>
      <c r="M253" s="4"/>
      <c r="N253" s="4"/>
      <c r="O253" s="4"/>
      <c r="P253" s="4"/>
      <c r="Q253" s="4"/>
      <c r="R253" s="4"/>
      <c r="S253" s="4"/>
      <c r="T253" s="4"/>
      <c r="U253" s="4"/>
      <c r="V253" s="4"/>
      <c r="W253" s="4"/>
      <c r="X253" s="4"/>
      <c r="Y253" s="4"/>
      <c r="Z253" s="4"/>
      <c r="AA253" s="4"/>
      <c r="AB253" s="4"/>
      <c r="AC253" s="4"/>
      <c r="AD253" s="4"/>
      <c r="AE253" s="4"/>
      <c r="AF253" s="4"/>
      <c r="AG253" s="4"/>
      <c r="AH253" s="4"/>
      <c r="AI253" s="4"/>
      <c r="AJ253" s="4"/>
      <c r="AK253" s="4"/>
      <c r="AL253" s="4"/>
      <c r="AM253" s="4"/>
      <c r="AN253" s="4"/>
    </row>
    <row r="254" spans="1:40" x14ac:dyDescent="0.25">
      <c r="B254" s="87" t="s">
        <v>15</v>
      </c>
      <c r="C254" s="91" t="s">
        <v>208</v>
      </c>
      <c r="D254" s="39"/>
      <c r="E254" s="54" t="s">
        <v>12</v>
      </c>
      <c r="F254" s="26"/>
      <c r="G254" s="18"/>
      <c r="H254" s="23"/>
      <c r="I254" s="4"/>
      <c r="J254" s="4"/>
      <c r="K254" s="4"/>
      <c r="L254" s="4"/>
      <c r="M254" s="4"/>
      <c r="N254" s="4"/>
      <c r="O254" s="4"/>
      <c r="P254" s="4"/>
      <c r="Q254" s="4"/>
      <c r="R254" s="4"/>
      <c r="S254" s="4"/>
      <c r="T254" s="4"/>
      <c r="U254" s="4"/>
      <c r="V254" s="4"/>
      <c r="W254" s="4"/>
      <c r="X254" s="4"/>
      <c r="Y254" s="4"/>
      <c r="Z254" s="4"/>
      <c r="AA254" s="4"/>
      <c r="AB254" s="4"/>
      <c r="AC254" s="4"/>
      <c r="AD254" s="4"/>
      <c r="AE254" s="4"/>
      <c r="AF254" s="4"/>
      <c r="AG254" s="4"/>
      <c r="AH254" s="4"/>
      <c r="AI254" s="4"/>
      <c r="AJ254" s="4"/>
      <c r="AK254" s="4"/>
      <c r="AL254" s="4"/>
      <c r="AM254" s="4"/>
      <c r="AN254" s="4"/>
    </row>
    <row r="255" spans="1:40" x14ac:dyDescent="0.25">
      <c r="B255" s="65"/>
      <c r="C255" s="66"/>
      <c r="D255" s="39"/>
      <c r="E255" s="54" t="s">
        <v>13</v>
      </c>
      <c r="F255" s="19"/>
      <c r="G255" s="18"/>
      <c r="H255" s="23"/>
      <c r="I255" s="4"/>
      <c r="J255" s="4"/>
      <c r="K255" s="4"/>
      <c r="L255" s="4"/>
      <c r="M255" s="4"/>
      <c r="N255" s="4"/>
      <c r="O255" s="4"/>
      <c r="P255" s="4"/>
      <c r="Q255" s="4"/>
      <c r="R255" s="4"/>
      <c r="S255" s="4"/>
      <c r="T255" s="4"/>
      <c r="U255" s="4"/>
      <c r="V255" s="4"/>
      <c r="W255" s="4"/>
      <c r="X255" s="4"/>
      <c r="Y255" s="4"/>
      <c r="Z255" s="4"/>
      <c r="AA255" s="4"/>
      <c r="AB255" s="4"/>
      <c r="AC255" s="4"/>
      <c r="AD255" s="4"/>
      <c r="AE255" s="4"/>
      <c r="AF255" s="4"/>
      <c r="AG255" s="4"/>
      <c r="AH255" s="4"/>
      <c r="AI255" s="4"/>
      <c r="AJ255" s="4"/>
      <c r="AK255" s="4"/>
      <c r="AL255" s="4"/>
      <c r="AM255" s="4"/>
      <c r="AN255" s="4"/>
    </row>
    <row r="256" spans="1:40" s="16" customFormat="1" ht="39" customHeight="1" x14ac:dyDescent="0.25">
      <c r="A256" s="4"/>
      <c r="B256" s="140" t="s">
        <v>159</v>
      </c>
      <c r="C256" s="92" t="s">
        <v>509</v>
      </c>
      <c r="D256" s="40"/>
      <c r="E256" s="53"/>
      <c r="F256" s="28"/>
      <c r="G256" s="27"/>
      <c r="H256" s="14"/>
    </row>
    <row r="257" spans="1:40" x14ac:dyDescent="0.25">
      <c r="B257" s="87" t="s">
        <v>15</v>
      </c>
      <c r="C257" s="64" t="s">
        <v>209</v>
      </c>
      <c r="D257" s="39"/>
      <c r="E257" s="54" t="s">
        <v>9</v>
      </c>
      <c r="F257" s="26"/>
      <c r="G257" s="25"/>
      <c r="H257" s="20" t="b">
        <f>IF(D257="x",H$2,H$1)</f>
        <v>0</v>
      </c>
      <c r="I257" s="4"/>
      <c r="J257" s="4"/>
      <c r="K257" s="4"/>
      <c r="L257" s="4"/>
      <c r="M257" s="4"/>
      <c r="N257" s="4"/>
      <c r="O257" s="4"/>
      <c r="P257" s="4"/>
      <c r="Q257" s="4"/>
      <c r="R257" s="4"/>
      <c r="S257" s="4"/>
      <c r="T257" s="4"/>
      <c r="U257" s="4"/>
      <c r="V257" s="4"/>
      <c r="W257" s="4"/>
      <c r="X257" s="4"/>
      <c r="Y257" s="4"/>
      <c r="Z257" s="4"/>
      <c r="AA257" s="4"/>
      <c r="AB257" s="4"/>
      <c r="AC257" s="4"/>
      <c r="AD257" s="4"/>
      <c r="AE257" s="4"/>
      <c r="AF257" s="4"/>
      <c r="AG257" s="4"/>
      <c r="AH257" s="4"/>
      <c r="AI257" s="4"/>
      <c r="AJ257" s="4"/>
      <c r="AK257" s="4"/>
      <c r="AL257" s="4"/>
      <c r="AM257" s="4"/>
      <c r="AN257" s="4"/>
    </row>
    <row r="258" spans="1:40" x14ac:dyDescent="0.25">
      <c r="B258" s="87" t="s">
        <v>15</v>
      </c>
      <c r="C258" s="91" t="s">
        <v>210</v>
      </c>
      <c r="D258" s="39"/>
      <c r="E258" s="54" t="s">
        <v>10</v>
      </c>
      <c r="F258" s="21" t="str">
        <f>IF(H259=1,IF(H257=H$2,H257,""),"")</f>
        <v/>
      </c>
      <c r="G258" s="25"/>
      <c r="H258" s="20" t="str">
        <f>IF(E$262="comprobar",COUNTIF(D257:D261,"x"),"")</f>
        <v/>
      </c>
      <c r="I258" s="4"/>
      <c r="J258" s="4"/>
      <c r="K258" s="4"/>
      <c r="L258" s="4"/>
      <c r="M258" s="4"/>
      <c r="N258" s="4"/>
      <c r="O258" s="4"/>
      <c r="P258" s="4"/>
      <c r="Q258" s="4"/>
      <c r="R258" s="4"/>
      <c r="S258" s="4"/>
      <c r="T258" s="4"/>
      <c r="U258" s="4"/>
      <c r="V258" s="4"/>
      <c r="W258" s="4"/>
      <c r="X258" s="4"/>
      <c r="Y258" s="4"/>
      <c r="Z258" s="4"/>
      <c r="AA258" s="4"/>
      <c r="AB258" s="4"/>
      <c r="AC258" s="4"/>
      <c r="AD258" s="4"/>
      <c r="AE258" s="4"/>
      <c r="AF258" s="4"/>
      <c r="AG258" s="4"/>
      <c r="AH258" s="4"/>
      <c r="AI258" s="4"/>
      <c r="AJ258" s="4"/>
      <c r="AK258" s="4"/>
      <c r="AL258" s="4"/>
      <c r="AM258" s="4"/>
      <c r="AN258" s="4"/>
    </row>
    <row r="259" spans="1:40" x14ac:dyDescent="0.25">
      <c r="B259" s="87" t="s">
        <v>15</v>
      </c>
      <c r="C259" s="91" t="s">
        <v>211</v>
      </c>
      <c r="D259" s="39"/>
      <c r="E259" s="54" t="s">
        <v>11</v>
      </c>
      <c r="F259" s="22" t="str">
        <f>IF(H259=-0.33,IF(H257=H$1,H257,""),"")</f>
        <v/>
      </c>
      <c r="G259" s="25"/>
      <c r="H259" s="23">
        <f t="shared" ref="H259" si="19">IF(H258=1,IF(H257=H$2,1,-0.33),0)</f>
        <v>0</v>
      </c>
      <c r="I259" s="4"/>
      <c r="J259" s="4"/>
      <c r="K259" s="4"/>
      <c r="L259" s="4"/>
      <c r="M259" s="4"/>
      <c r="N259" s="4"/>
      <c r="O259" s="4"/>
      <c r="P259" s="4"/>
      <c r="Q259" s="4"/>
      <c r="R259" s="4"/>
      <c r="S259" s="4"/>
      <c r="T259" s="4"/>
      <c r="U259" s="4"/>
      <c r="V259" s="4"/>
      <c r="W259" s="4"/>
      <c r="X259" s="4"/>
      <c r="Y259" s="4"/>
      <c r="Z259" s="4"/>
      <c r="AA259" s="4"/>
      <c r="AB259" s="4"/>
      <c r="AC259" s="4"/>
      <c r="AD259" s="4"/>
      <c r="AE259" s="4"/>
      <c r="AF259" s="4"/>
      <c r="AG259" s="4"/>
      <c r="AH259" s="4"/>
      <c r="AI259" s="4"/>
      <c r="AJ259" s="4"/>
      <c r="AK259" s="4"/>
      <c r="AL259" s="4"/>
      <c r="AM259" s="4"/>
      <c r="AN259" s="4"/>
    </row>
    <row r="260" spans="1:40" x14ac:dyDescent="0.25">
      <c r="B260" s="87" t="s">
        <v>15</v>
      </c>
      <c r="C260" s="91" t="s">
        <v>212</v>
      </c>
      <c r="D260" s="39"/>
      <c r="E260" s="54" t="s">
        <v>12</v>
      </c>
      <c r="F260" s="26"/>
      <c r="G260" s="25"/>
      <c r="H260" s="23"/>
      <c r="I260" s="4"/>
      <c r="J260" s="4"/>
      <c r="K260" s="4"/>
      <c r="L260" s="4"/>
      <c r="M260" s="4"/>
      <c r="N260" s="4"/>
      <c r="O260" s="4"/>
      <c r="P260" s="4"/>
      <c r="Q260" s="4"/>
      <c r="R260" s="4"/>
      <c r="S260" s="4"/>
      <c r="T260" s="4"/>
      <c r="U260" s="4"/>
      <c r="V260" s="4"/>
      <c r="W260" s="4"/>
      <c r="X260" s="4"/>
      <c r="Y260" s="4"/>
      <c r="Z260" s="4"/>
      <c r="AA260" s="4"/>
      <c r="AB260" s="4"/>
      <c r="AC260" s="4"/>
      <c r="AD260" s="4"/>
      <c r="AE260" s="4"/>
      <c r="AF260" s="4"/>
      <c r="AG260" s="4"/>
      <c r="AH260" s="4"/>
      <c r="AI260" s="4"/>
      <c r="AJ260" s="4"/>
      <c r="AK260" s="4"/>
      <c r="AL260" s="4"/>
      <c r="AM260" s="4"/>
      <c r="AN260" s="4"/>
    </row>
    <row r="261" spans="1:40" x14ac:dyDescent="0.25">
      <c r="B261" s="65"/>
      <c r="C261" s="66"/>
      <c r="D261" s="39"/>
      <c r="E261" s="54" t="s">
        <v>13</v>
      </c>
      <c r="F261" s="19"/>
      <c r="G261" s="25"/>
      <c r="H261" s="23"/>
      <c r="I261" s="4"/>
      <c r="J261" s="4"/>
      <c r="K261" s="4"/>
      <c r="L261" s="4"/>
      <c r="M261" s="4"/>
      <c r="N261" s="4"/>
      <c r="O261" s="4"/>
      <c r="P261" s="4"/>
      <c r="Q261" s="4"/>
      <c r="R261" s="4"/>
      <c r="S261" s="4"/>
      <c r="T261" s="4"/>
      <c r="U261" s="4"/>
      <c r="V261" s="4"/>
      <c r="W261" s="4"/>
      <c r="X261" s="4"/>
      <c r="Y261" s="4"/>
      <c r="Z261" s="4"/>
      <c r="AA261" s="4"/>
      <c r="AB261" s="4"/>
      <c r="AC261" s="4"/>
      <c r="AD261" s="4"/>
      <c r="AE261" s="4"/>
      <c r="AF261" s="4"/>
      <c r="AG261" s="4"/>
      <c r="AH261" s="4"/>
      <c r="AI261" s="4"/>
      <c r="AJ261" s="4"/>
      <c r="AK261" s="4"/>
      <c r="AL261" s="4"/>
      <c r="AM261" s="4"/>
      <c r="AN261" s="4"/>
    </row>
    <row r="262" spans="1:40" x14ac:dyDescent="0.25">
      <c r="B262" s="45"/>
      <c r="C262" s="42"/>
      <c r="D262" s="49"/>
      <c r="E262" s="55"/>
      <c r="F262" s="19"/>
      <c r="G262" s="18"/>
      <c r="H262" s="18"/>
      <c r="I262" s="4"/>
      <c r="J262" s="4"/>
      <c r="K262" s="4"/>
      <c r="L262" s="4"/>
      <c r="M262" s="4"/>
      <c r="N262" s="4"/>
      <c r="O262" s="4"/>
      <c r="P262" s="4"/>
      <c r="Q262" s="4"/>
      <c r="R262" s="4"/>
      <c r="S262" s="4"/>
      <c r="T262" s="4"/>
      <c r="U262" s="4"/>
      <c r="V262" s="4"/>
      <c r="W262" s="4"/>
      <c r="X262" s="4"/>
      <c r="Y262" s="4"/>
      <c r="Z262" s="4"/>
      <c r="AA262" s="4"/>
      <c r="AB262" s="4"/>
      <c r="AC262" s="4"/>
      <c r="AD262" s="4"/>
      <c r="AE262" s="4"/>
      <c r="AF262" s="4"/>
      <c r="AG262" s="4"/>
      <c r="AH262" s="4"/>
      <c r="AI262" s="4"/>
      <c r="AJ262" s="4"/>
      <c r="AK262" s="4"/>
      <c r="AL262" s="4"/>
      <c r="AM262" s="4"/>
      <c r="AN262" s="4"/>
    </row>
    <row r="263" spans="1:40" x14ac:dyDescent="0.25">
      <c r="B263" s="45"/>
      <c r="C263" s="17"/>
      <c r="D263" s="49"/>
      <c r="E263" s="58"/>
      <c r="F263" s="29" t="s">
        <v>8</v>
      </c>
      <c r="G263" s="18" t="s">
        <v>6</v>
      </c>
      <c r="H263" s="18" t="s">
        <v>7</v>
      </c>
      <c r="I263" s="4"/>
      <c r="J263" s="4"/>
      <c r="K263" s="4"/>
      <c r="L263" s="4"/>
      <c r="M263" s="4"/>
      <c r="N263" s="4"/>
      <c r="O263" s="4"/>
      <c r="P263" s="4"/>
      <c r="Q263" s="4"/>
      <c r="R263" s="4"/>
      <c r="S263" s="4"/>
      <c r="T263" s="4"/>
      <c r="U263" s="4"/>
      <c r="V263" s="4"/>
      <c r="W263" s="4"/>
      <c r="X263" s="4"/>
      <c r="Y263" s="4"/>
      <c r="Z263" s="4"/>
      <c r="AA263" s="4"/>
      <c r="AB263" s="4"/>
      <c r="AC263" s="4"/>
      <c r="AD263" s="4"/>
      <c r="AE263" s="4"/>
      <c r="AF263" s="4"/>
      <c r="AG263" s="4"/>
      <c r="AH263" s="4"/>
      <c r="AI263" s="4"/>
      <c r="AJ263" s="4"/>
      <c r="AK263" s="4"/>
      <c r="AL263" s="4"/>
      <c r="AM263" s="4"/>
      <c r="AN263" s="4"/>
    </row>
    <row r="264" spans="1:40" ht="19.5" x14ac:dyDescent="0.25">
      <c r="B264" s="45"/>
      <c r="C264" s="17"/>
      <c r="D264" s="69"/>
      <c r="E264" s="52"/>
      <c r="F264" s="30" t="str">
        <f>IF(E262="comprobar",H259+H253+H247+H241+H235+H229+H223+H217+H211+H205,"")</f>
        <v/>
      </c>
      <c r="G264" s="18">
        <f>10/2</f>
        <v>5</v>
      </c>
      <c r="H264" s="18"/>
      <c r="I264" s="4"/>
      <c r="J264" s="4"/>
      <c r="K264" s="4"/>
      <c r="L264" s="4"/>
      <c r="M264" s="4"/>
      <c r="N264" s="4"/>
      <c r="O264" s="4"/>
      <c r="P264" s="4"/>
      <c r="Q264" s="4"/>
      <c r="R264" s="4"/>
      <c r="S264" s="4"/>
      <c r="T264" s="4"/>
      <c r="U264" s="4"/>
      <c r="V264" s="4"/>
      <c r="W264" s="4"/>
      <c r="X264" s="4"/>
      <c r="Y264" s="4"/>
      <c r="Z264" s="4"/>
      <c r="AA264" s="4"/>
      <c r="AB264" s="4"/>
      <c r="AC264" s="4"/>
      <c r="AD264" s="4"/>
      <c r="AE264" s="4"/>
      <c r="AF264" s="4"/>
      <c r="AG264" s="4"/>
      <c r="AH264" s="4"/>
      <c r="AI264" s="4"/>
      <c r="AJ264" s="4"/>
      <c r="AK264" s="4"/>
      <c r="AL264" s="4"/>
      <c r="AM264" s="4"/>
      <c r="AN264" s="4"/>
    </row>
    <row r="265" spans="1:40" ht="16.5" thickBot="1" x14ac:dyDescent="0.3">
      <c r="B265" s="46"/>
      <c r="C265" s="31"/>
      <c r="D265" s="32"/>
      <c r="E265" s="56"/>
      <c r="F265" s="33" t="str">
        <f>IF(F264&gt;G264,G263,H263)</f>
        <v>APROBADO</v>
      </c>
      <c r="G265" s="18"/>
      <c r="H265" s="18"/>
      <c r="I265" s="4"/>
      <c r="J265" s="4"/>
      <c r="K265" s="4"/>
      <c r="L265" s="4"/>
      <c r="M265" s="4"/>
      <c r="N265" s="4"/>
      <c r="O265" s="4"/>
      <c r="P265" s="4"/>
      <c r="Q265" s="4"/>
      <c r="R265" s="4"/>
      <c r="S265" s="4"/>
      <c r="T265" s="4"/>
      <c r="U265" s="4"/>
      <c r="V265" s="4"/>
      <c r="W265" s="4"/>
      <c r="X265" s="4"/>
      <c r="Y265" s="4"/>
      <c r="Z265" s="4"/>
      <c r="AA265" s="4"/>
      <c r="AB265" s="4"/>
      <c r="AC265" s="4"/>
      <c r="AD265" s="4"/>
      <c r="AE265" s="4"/>
      <c r="AF265" s="4"/>
      <c r="AG265" s="4"/>
      <c r="AH265" s="4"/>
      <c r="AI265" s="4"/>
      <c r="AJ265" s="4"/>
      <c r="AK265" s="4"/>
      <c r="AL265" s="4"/>
      <c r="AM265" s="4"/>
      <c r="AN265" s="4"/>
    </row>
    <row r="266" spans="1:40" s="4" customFormat="1" ht="28.5" hidden="1" x14ac:dyDescent="0.45">
      <c r="B266" s="97"/>
      <c r="C266" s="94"/>
      <c r="D266" s="95"/>
      <c r="E266" s="95"/>
      <c r="F266" s="95"/>
    </row>
    <row r="267" spans="1:40" s="4" customFormat="1" hidden="1" x14ac:dyDescent="0.25">
      <c r="B267" s="18"/>
      <c r="C267" s="18"/>
      <c r="D267" s="49"/>
      <c r="E267" s="54"/>
      <c r="F267" s="98"/>
      <c r="G267" s="18"/>
      <c r="H267" s="18"/>
    </row>
    <row r="268" spans="1:40" s="4" customFormat="1" hidden="1" x14ac:dyDescent="0.25">
      <c r="B268" s="99"/>
      <c r="C268" s="17"/>
      <c r="D268" s="49"/>
      <c r="E268" s="54"/>
      <c r="F268" s="98"/>
      <c r="G268" s="18"/>
      <c r="H268" s="96"/>
    </row>
    <row r="269" spans="1:40" s="76" customFormat="1" ht="14.1" hidden="1" customHeight="1" thickBot="1" x14ac:dyDescent="0.3">
      <c r="B269" s="100"/>
      <c r="C269" s="100"/>
      <c r="D269" s="101"/>
      <c r="E269" s="102"/>
      <c r="F269" s="103"/>
      <c r="G269" s="75"/>
      <c r="H269" s="96"/>
    </row>
    <row r="270" spans="1:40" s="16" customFormat="1" ht="29.1" customHeight="1" x14ac:dyDescent="0.45">
      <c r="A270" s="4"/>
      <c r="B270" s="62" t="s">
        <v>17</v>
      </c>
      <c r="C270" s="129" t="s">
        <v>213</v>
      </c>
      <c r="D270" s="63"/>
      <c r="E270" s="63"/>
      <c r="F270" s="93"/>
      <c r="G270" s="18"/>
      <c r="H270" s="106"/>
      <c r="I270" s="4"/>
      <c r="J270" s="4"/>
      <c r="K270" s="4"/>
      <c r="L270" s="4"/>
      <c r="M270" s="4"/>
      <c r="N270" s="4"/>
      <c r="O270" s="4"/>
      <c r="P270" s="4"/>
      <c r="Q270" s="4"/>
      <c r="R270" s="4"/>
      <c r="S270" s="4"/>
      <c r="T270" s="4"/>
      <c r="U270" s="4"/>
      <c r="V270" s="4"/>
      <c r="W270" s="4"/>
      <c r="X270" s="4"/>
    </row>
    <row r="271" spans="1:40" s="16" customFormat="1" x14ac:dyDescent="0.25">
      <c r="A271" s="4"/>
      <c r="B271" s="140" t="s">
        <v>64</v>
      </c>
      <c r="C271" s="146" t="s">
        <v>214</v>
      </c>
      <c r="D271" s="40"/>
      <c r="E271" s="53"/>
      <c r="F271" s="28"/>
      <c r="G271" s="18"/>
      <c r="H271" s="96" t="b">
        <f>IF(D274="x",H$2,H$1)</f>
        <v>0</v>
      </c>
      <c r="I271" s="4"/>
      <c r="J271" s="4"/>
      <c r="K271" s="4"/>
      <c r="L271" s="4"/>
      <c r="M271" s="4"/>
      <c r="N271" s="4"/>
      <c r="O271" s="4"/>
      <c r="P271" s="4"/>
      <c r="Q271" s="4"/>
      <c r="R271" s="4"/>
      <c r="S271" s="4"/>
      <c r="T271" s="4"/>
      <c r="U271" s="4"/>
      <c r="V271" s="4"/>
      <c r="W271" s="4"/>
      <c r="X271" s="4"/>
    </row>
    <row r="272" spans="1:40" s="16" customFormat="1" x14ac:dyDescent="0.25">
      <c r="A272" s="4"/>
      <c r="B272" s="87" t="s">
        <v>15</v>
      </c>
      <c r="C272" s="91" t="s">
        <v>215</v>
      </c>
      <c r="D272" s="110"/>
      <c r="E272" s="113" t="s">
        <v>9</v>
      </c>
      <c r="F272" s="115"/>
      <c r="G272" s="18"/>
      <c r="H272" s="96" t="str">
        <f>IF(E$331="comprobar",COUNTIF(D272:D276,"x"),"")</f>
        <v/>
      </c>
      <c r="I272" s="4"/>
      <c r="J272" s="4"/>
      <c r="K272" s="4"/>
      <c r="L272" s="4"/>
      <c r="M272" s="4"/>
      <c r="N272" s="4"/>
      <c r="O272" s="4"/>
      <c r="P272" s="4"/>
      <c r="Q272" s="4"/>
      <c r="R272" s="4"/>
      <c r="S272" s="4"/>
      <c r="T272" s="4"/>
      <c r="U272" s="4"/>
      <c r="V272" s="4"/>
      <c r="W272" s="4"/>
      <c r="X272" s="4"/>
    </row>
    <row r="273" spans="1:40" x14ac:dyDescent="0.25">
      <c r="B273" s="87" t="s">
        <v>15</v>
      </c>
      <c r="C273" s="91" t="s">
        <v>216</v>
      </c>
      <c r="D273" s="110"/>
      <c r="E273" s="113" t="s">
        <v>10</v>
      </c>
      <c r="F273" s="112" t="str">
        <f>IF(H273=1,IF(H271=H$2,H271,""),"")</f>
        <v/>
      </c>
      <c r="G273" s="18"/>
      <c r="H273" s="23">
        <f t="shared" ref="H273" si="20">IF(H272=1,IF(H271=H$2,1,-0.33),0)</f>
        <v>0</v>
      </c>
      <c r="I273" s="4"/>
      <c r="J273" s="4"/>
      <c r="K273" s="4"/>
      <c r="L273" s="4"/>
      <c r="M273" s="4"/>
      <c r="N273" s="4"/>
      <c r="O273" s="4"/>
      <c r="P273" s="4"/>
      <c r="Q273" s="4"/>
      <c r="R273" s="4"/>
      <c r="S273" s="4"/>
      <c r="T273" s="4"/>
      <c r="U273" s="4"/>
      <c r="V273" s="4"/>
      <c r="W273" s="4"/>
      <c r="X273" s="4"/>
      <c r="Y273" s="4"/>
      <c r="Z273" s="4"/>
      <c r="AA273" s="4"/>
      <c r="AB273" s="4"/>
      <c r="AC273" s="4"/>
      <c r="AD273" s="4"/>
      <c r="AE273" s="4"/>
      <c r="AF273" s="4"/>
      <c r="AG273" s="4"/>
      <c r="AH273" s="4"/>
      <c r="AI273" s="4"/>
      <c r="AJ273" s="4"/>
      <c r="AK273" s="4"/>
      <c r="AL273" s="4"/>
      <c r="AM273" s="4"/>
      <c r="AN273" s="4"/>
    </row>
    <row r="274" spans="1:40" x14ac:dyDescent="0.25">
      <c r="B274" s="87" t="s">
        <v>15</v>
      </c>
      <c r="C274" s="91" t="s">
        <v>217</v>
      </c>
      <c r="D274" s="110"/>
      <c r="E274" s="113" t="s">
        <v>11</v>
      </c>
      <c r="F274" s="114" t="str">
        <f>IF(H273=-0.33,IF(H271=H$1,H271,""),"")</f>
        <v/>
      </c>
      <c r="G274" s="18"/>
      <c r="H274" s="23"/>
      <c r="I274" s="4"/>
      <c r="J274" s="4"/>
      <c r="K274" s="4"/>
      <c r="L274" s="4"/>
      <c r="M274" s="4"/>
      <c r="N274" s="4"/>
      <c r="O274" s="4"/>
      <c r="P274" s="4"/>
      <c r="Q274" s="4"/>
      <c r="R274" s="4"/>
      <c r="S274" s="4"/>
      <c r="T274" s="4"/>
      <c r="U274" s="4"/>
      <c r="V274" s="4"/>
      <c r="W274" s="4"/>
      <c r="X274" s="4"/>
      <c r="Y274" s="4"/>
      <c r="Z274" s="4"/>
      <c r="AA274" s="4"/>
      <c r="AB274" s="4"/>
      <c r="AC274" s="4"/>
      <c r="AD274" s="4"/>
      <c r="AE274" s="4"/>
      <c r="AF274" s="4"/>
      <c r="AG274" s="4"/>
      <c r="AH274" s="4"/>
      <c r="AI274" s="4"/>
      <c r="AJ274" s="4"/>
      <c r="AK274" s="4"/>
      <c r="AL274" s="4"/>
      <c r="AM274" s="4"/>
      <c r="AN274" s="4"/>
    </row>
    <row r="275" spans="1:40" x14ac:dyDescent="0.25">
      <c r="B275" s="87" t="s">
        <v>15</v>
      </c>
      <c r="C275" s="91" t="s">
        <v>218</v>
      </c>
      <c r="D275" s="110"/>
      <c r="E275" s="113" t="s">
        <v>12</v>
      </c>
      <c r="F275" s="115"/>
      <c r="G275" s="18"/>
      <c r="H275" s="23"/>
      <c r="I275" s="4"/>
      <c r="J275" s="4"/>
      <c r="K275" s="4"/>
      <c r="L275" s="4"/>
      <c r="M275" s="4"/>
      <c r="N275" s="4"/>
      <c r="O275" s="4"/>
      <c r="P275" s="4"/>
      <c r="Q275" s="4"/>
      <c r="R275" s="4"/>
      <c r="S275" s="4"/>
      <c r="T275" s="4"/>
      <c r="U275" s="4"/>
      <c r="V275" s="4"/>
      <c r="W275" s="4"/>
      <c r="X275" s="4"/>
      <c r="Y275" s="4"/>
      <c r="Z275" s="4"/>
      <c r="AA275" s="4"/>
      <c r="AB275" s="4"/>
      <c r="AC275" s="4"/>
      <c r="AD275" s="4"/>
      <c r="AE275" s="4"/>
      <c r="AF275" s="4"/>
      <c r="AG275" s="4"/>
      <c r="AH275" s="4"/>
      <c r="AI275" s="4"/>
      <c r="AJ275" s="4"/>
      <c r="AK275" s="4"/>
      <c r="AL275" s="4"/>
      <c r="AM275" s="4"/>
      <c r="AN275" s="4"/>
    </row>
    <row r="276" spans="1:40" x14ac:dyDescent="0.25">
      <c r="B276" s="87"/>
      <c r="C276" s="91"/>
      <c r="D276" s="110"/>
      <c r="E276" s="113" t="s">
        <v>13</v>
      </c>
      <c r="F276" s="115"/>
      <c r="G276" s="18"/>
      <c r="H276" s="23"/>
      <c r="I276" s="4"/>
      <c r="J276" s="4"/>
      <c r="K276" s="4"/>
      <c r="L276" s="4"/>
      <c r="M276" s="4"/>
      <c r="N276" s="4"/>
      <c r="O276" s="4"/>
      <c r="P276" s="4"/>
      <c r="Q276" s="4"/>
      <c r="R276" s="4"/>
      <c r="S276" s="4"/>
      <c r="T276" s="4"/>
      <c r="U276" s="4"/>
      <c r="V276" s="4"/>
      <c r="W276" s="4"/>
      <c r="X276" s="4"/>
      <c r="Y276" s="4"/>
      <c r="Z276" s="4"/>
      <c r="AA276" s="4"/>
      <c r="AB276" s="4"/>
      <c r="AC276" s="4"/>
      <c r="AD276" s="4"/>
      <c r="AE276" s="4"/>
      <c r="AF276" s="4"/>
      <c r="AG276" s="4"/>
      <c r="AH276" s="4"/>
      <c r="AI276" s="4"/>
      <c r="AJ276" s="4"/>
      <c r="AK276" s="4"/>
      <c r="AL276" s="4"/>
      <c r="AM276" s="4"/>
      <c r="AN276" s="4"/>
    </row>
    <row r="277" spans="1:40" s="16" customFormat="1" x14ac:dyDescent="0.25">
      <c r="A277" s="4"/>
      <c r="B277" s="140" t="s">
        <v>62</v>
      </c>
      <c r="C277" s="146" t="s">
        <v>219</v>
      </c>
      <c r="D277" s="40"/>
      <c r="E277" s="53"/>
      <c r="F277" s="28"/>
      <c r="G277" s="14"/>
      <c r="H277" s="14"/>
    </row>
    <row r="278" spans="1:40" x14ac:dyDescent="0.25">
      <c r="B278" s="87" t="s">
        <v>15</v>
      </c>
      <c r="C278" s="91" t="s">
        <v>220</v>
      </c>
      <c r="D278" s="110"/>
      <c r="E278" s="113" t="s">
        <v>9</v>
      </c>
      <c r="F278" s="26"/>
      <c r="G278" s="18"/>
      <c r="H278" s="96" t="b">
        <f>IF(D281="x",H$2,H$1)</f>
        <v>0</v>
      </c>
      <c r="I278" s="4"/>
      <c r="J278" s="4"/>
      <c r="K278" s="4"/>
      <c r="L278" s="4"/>
      <c r="M278" s="4"/>
      <c r="N278" s="4"/>
      <c r="O278" s="4"/>
      <c r="P278" s="4"/>
      <c r="Q278" s="4"/>
      <c r="R278" s="4"/>
      <c r="S278" s="4"/>
      <c r="T278" s="4"/>
      <c r="U278" s="4"/>
      <c r="V278" s="4"/>
      <c r="W278" s="4"/>
      <c r="X278" s="4"/>
      <c r="Y278" s="4"/>
      <c r="Z278" s="4"/>
      <c r="AA278" s="4"/>
      <c r="AB278" s="4"/>
      <c r="AC278" s="4"/>
      <c r="AD278" s="4"/>
      <c r="AE278" s="4"/>
      <c r="AF278" s="4"/>
      <c r="AG278" s="4"/>
      <c r="AH278" s="4"/>
      <c r="AI278" s="4"/>
      <c r="AJ278" s="4"/>
      <c r="AK278" s="4"/>
      <c r="AL278" s="4"/>
      <c r="AM278" s="4"/>
      <c r="AN278" s="4"/>
    </row>
    <row r="279" spans="1:40" s="16" customFormat="1" x14ac:dyDescent="0.25">
      <c r="A279" s="4"/>
      <c r="B279" s="87" t="s">
        <v>15</v>
      </c>
      <c r="C279" s="91" t="s">
        <v>221</v>
      </c>
      <c r="D279" s="110"/>
      <c r="E279" s="113" t="s">
        <v>10</v>
      </c>
      <c r="F279" s="112" t="str">
        <f>IF(H280=1,IF(H278=H$2,H278,""),"")</f>
        <v/>
      </c>
      <c r="G279" s="18"/>
      <c r="H279" s="20" t="str">
        <f>IF(E$331="comprobar",COUNTIF(D278:D282,"x"),"")</f>
        <v/>
      </c>
      <c r="I279" s="4"/>
      <c r="J279" s="4"/>
      <c r="K279" s="4"/>
      <c r="L279" s="4"/>
      <c r="M279" s="4"/>
      <c r="N279" s="4"/>
      <c r="O279" s="4"/>
    </row>
    <row r="280" spans="1:40" x14ac:dyDescent="0.25">
      <c r="B280" s="87" t="s">
        <v>15</v>
      </c>
      <c r="C280" s="91" t="s">
        <v>222</v>
      </c>
      <c r="D280" s="110"/>
      <c r="E280" s="113" t="s">
        <v>11</v>
      </c>
      <c r="F280" s="114" t="str">
        <f>IF(H280=-0.33,IF(H278=H$1,H278,""),"")</f>
        <v/>
      </c>
      <c r="G280" s="18"/>
      <c r="H280" s="23">
        <f t="shared" ref="H280" si="21">IF(H279=1,IF(H278=H$2,1,-0.33),0)</f>
        <v>0</v>
      </c>
      <c r="I280" s="4"/>
      <c r="J280" s="4"/>
      <c r="K280" s="4"/>
      <c r="L280" s="4"/>
      <c r="M280" s="4"/>
      <c r="N280" s="4"/>
      <c r="O280" s="4"/>
      <c r="P280" s="4"/>
      <c r="Q280" s="4"/>
      <c r="R280" s="4"/>
      <c r="S280" s="4"/>
      <c r="T280" s="4"/>
      <c r="U280" s="4"/>
      <c r="V280" s="4"/>
      <c r="W280" s="4"/>
      <c r="X280" s="4"/>
      <c r="Y280" s="4"/>
      <c r="Z280" s="4"/>
      <c r="AA280" s="4"/>
      <c r="AB280" s="4"/>
      <c r="AC280" s="4"/>
      <c r="AD280" s="4"/>
      <c r="AE280" s="4"/>
      <c r="AF280" s="4"/>
      <c r="AG280" s="4"/>
      <c r="AH280" s="4"/>
      <c r="AI280" s="4"/>
      <c r="AJ280" s="4"/>
      <c r="AK280" s="4"/>
      <c r="AL280" s="4"/>
      <c r="AM280" s="4"/>
      <c r="AN280" s="4"/>
    </row>
    <row r="281" spans="1:40" s="4" customFormat="1" x14ac:dyDescent="0.25">
      <c r="B281" s="87" t="s">
        <v>15</v>
      </c>
      <c r="C281" s="91" t="s">
        <v>223</v>
      </c>
      <c r="D281" s="110"/>
      <c r="E281" s="113" t="s">
        <v>12</v>
      </c>
      <c r="F281" s="26"/>
      <c r="G281" s="18"/>
      <c r="H281" s="106"/>
    </row>
    <row r="282" spans="1:40" s="4" customFormat="1" x14ac:dyDescent="0.25">
      <c r="B282" s="87"/>
      <c r="C282" s="66"/>
      <c r="D282" s="110"/>
      <c r="E282" s="113" t="s">
        <v>13</v>
      </c>
      <c r="F282" s="26"/>
      <c r="G282" s="18"/>
      <c r="H282" s="106"/>
    </row>
    <row r="283" spans="1:40" s="16" customFormat="1" x14ac:dyDescent="0.25">
      <c r="A283" s="4"/>
      <c r="B283" s="140" t="s">
        <v>69</v>
      </c>
      <c r="C283" s="146" t="s">
        <v>224</v>
      </c>
      <c r="D283" s="40"/>
      <c r="E283" s="53"/>
      <c r="F283" s="28"/>
      <c r="G283" s="14"/>
      <c r="H283" s="14"/>
    </row>
    <row r="284" spans="1:40" x14ac:dyDescent="0.25">
      <c r="B284" s="87" t="s">
        <v>15</v>
      </c>
      <c r="C284" s="64" t="s">
        <v>225</v>
      </c>
      <c r="D284" s="110"/>
      <c r="E284" s="113" t="s">
        <v>9</v>
      </c>
      <c r="F284" s="26"/>
      <c r="G284" s="18"/>
      <c r="H284" s="96" t="b">
        <f>IF(D287="x",H$2,H$1)</f>
        <v>0</v>
      </c>
      <c r="I284" s="4"/>
      <c r="J284" s="4"/>
      <c r="K284" s="4"/>
      <c r="L284" s="4"/>
      <c r="M284" s="4"/>
      <c r="N284" s="4"/>
      <c r="O284" s="4"/>
      <c r="P284" s="4"/>
      <c r="Q284" s="4"/>
      <c r="R284" s="4"/>
      <c r="S284" s="4"/>
      <c r="T284" s="4"/>
      <c r="U284" s="4"/>
      <c r="V284" s="4"/>
      <c r="W284" s="4"/>
      <c r="X284" s="4"/>
      <c r="Y284" s="4"/>
      <c r="Z284" s="4"/>
      <c r="AA284" s="4"/>
      <c r="AB284" s="4"/>
      <c r="AC284" s="4"/>
      <c r="AD284" s="4"/>
      <c r="AE284" s="4"/>
      <c r="AF284" s="4"/>
      <c r="AG284" s="4"/>
      <c r="AH284" s="4"/>
      <c r="AI284" s="4"/>
      <c r="AJ284" s="4"/>
      <c r="AK284" s="4"/>
      <c r="AL284" s="4"/>
      <c r="AM284" s="4"/>
      <c r="AN284" s="4"/>
    </row>
    <row r="285" spans="1:40" s="16" customFormat="1" x14ac:dyDescent="0.25">
      <c r="A285" s="4"/>
      <c r="B285" s="87" t="s">
        <v>15</v>
      </c>
      <c r="C285" s="91" t="s">
        <v>226</v>
      </c>
      <c r="D285" s="110"/>
      <c r="E285" s="113" t="s">
        <v>10</v>
      </c>
      <c r="F285" s="112" t="str">
        <f>IF(H286=1,IF(H284=H$2,H284,""),"")</f>
        <v/>
      </c>
      <c r="G285" s="18"/>
      <c r="H285" s="20" t="str">
        <f>IF(E$331="comprobar",COUNTIF(D284:D288,"x"),"")</f>
        <v/>
      </c>
    </row>
    <row r="286" spans="1:40" x14ac:dyDescent="0.25">
      <c r="B286" s="87" t="s">
        <v>15</v>
      </c>
      <c r="C286" s="91" t="s">
        <v>227</v>
      </c>
      <c r="D286" s="110"/>
      <c r="E286" s="113" t="s">
        <v>11</v>
      </c>
      <c r="F286" s="114" t="str">
        <f>IF(H286=-0.33,IF(H284=H$1,H284,""),"")</f>
        <v/>
      </c>
      <c r="G286" s="18"/>
      <c r="H286" s="23">
        <f t="shared" ref="H286" si="22">IF(H285=1,IF(H284=H$2,1,-0.33),0)</f>
        <v>0</v>
      </c>
      <c r="I286" s="4"/>
      <c r="J286" s="4"/>
      <c r="K286" s="4"/>
      <c r="L286" s="4"/>
      <c r="M286" s="4"/>
      <c r="N286" s="4"/>
      <c r="O286" s="4"/>
      <c r="P286" s="4"/>
      <c r="Q286" s="4"/>
      <c r="R286" s="4"/>
      <c r="S286" s="4"/>
      <c r="T286" s="4"/>
      <c r="U286" s="4"/>
      <c r="V286" s="4"/>
      <c r="W286" s="4"/>
      <c r="X286" s="4"/>
      <c r="Y286" s="4"/>
      <c r="Z286" s="4"/>
      <c r="AA286" s="4"/>
      <c r="AB286" s="4"/>
      <c r="AC286" s="4"/>
      <c r="AD286" s="4"/>
      <c r="AE286" s="4"/>
      <c r="AF286" s="4"/>
      <c r="AG286" s="4"/>
      <c r="AH286" s="4"/>
      <c r="AI286" s="4"/>
      <c r="AJ286" s="4"/>
      <c r="AK286" s="4"/>
      <c r="AL286" s="4"/>
      <c r="AM286" s="4"/>
      <c r="AN286" s="4"/>
    </row>
    <row r="287" spans="1:40" s="4" customFormat="1" x14ac:dyDescent="0.25">
      <c r="B287" s="87" t="s">
        <v>15</v>
      </c>
      <c r="C287" s="91" t="s">
        <v>228</v>
      </c>
      <c r="D287" s="110"/>
      <c r="E287" s="113" t="s">
        <v>12</v>
      </c>
      <c r="F287" s="26"/>
      <c r="G287" s="18"/>
      <c r="H287" s="106"/>
    </row>
    <row r="288" spans="1:40" s="4" customFormat="1" x14ac:dyDescent="0.25">
      <c r="B288" s="87"/>
      <c r="C288" s="91"/>
      <c r="D288" s="110"/>
      <c r="E288" s="113" t="s">
        <v>13</v>
      </c>
      <c r="F288" s="26"/>
      <c r="G288" s="18"/>
      <c r="H288" s="106"/>
    </row>
    <row r="289" spans="1:40" s="16" customFormat="1" x14ac:dyDescent="0.25">
      <c r="A289" s="4"/>
      <c r="B289" s="140" t="s">
        <v>75</v>
      </c>
      <c r="C289" s="146" t="s">
        <v>229</v>
      </c>
      <c r="D289" s="40"/>
      <c r="E289" s="53"/>
      <c r="F289" s="28"/>
      <c r="G289" s="14"/>
      <c r="H289" s="14"/>
    </row>
    <row r="290" spans="1:40" x14ac:dyDescent="0.25">
      <c r="B290" s="87" t="s">
        <v>15</v>
      </c>
      <c r="C290" s="91" t="s">
        <v>230</v>
      </c>
      <c r="D290" s="110"/>
      <c r="E290" s="113" t="s">
        <v>9</v>
      </c>
      <c r="F290" s="26"/>
      <c r="G290" s="18"/>
      <c r="H290" s="20" t="b">
        <f>IF(D290="x",H$2,H$1)</f>
        <v>0</v>
      </c>
      <c r="I290" s="4"/>
      <c r="J290" s="4"/>
      <c r="K290" s="4"/>
      <c r="L290" s="4"/>
      <c r="M290" s="4"/>
      <c r="N290" s="4"/>
      <c r="O290" s="4"/>
      <c r="P290" s="4"/>
      <c r="Q290" s="4"/>
      <c r="R290" s="4"/>
      <c r="S290" s="4"/>
      <c r="T290" s="4"/>
      <c r="U290" s="4"/>
      <c r="V290" s="4"/>
      <c r="W290" s="4"/>
      <c r="X290" s="4"/>
      <c r="Y290" s="4"/>
      <c r="Z290" s="4"/>
      <c r="AA290" s="4"/>
      <c r="AB290" s="4"/>
      <c r="AC290" s="4"/>
      <c r="AD290" s="4"/>
      <c r="AE290" s="4"/>
      <c r="AF290" s="4"/>
      <c r="AG290" s="4"/>
      <c r="AH290" s="4"/>
      <c r="AI290" s="4"/>
      <c r="AJ290" s="4"/>
      <c r="AK290" s="4"/>
      <c r="AL290" s="4"/>
      <c r="AM290" s="4"/>
      <c r="AN290" s="4"/>
    </row>
    <row r="291" spans="1:40" s="16" customFormat="1" x14ac:dyDescent="0.25">
      <c r="A291" s="4"/>
      <c r="B291" s="87" t="s">
        <v>15</v>
      </c>
      <c r="C291" s="91" t="s">
        <v>231</v>
      </c>
      <c r="D291" s="110"/>
      <c r="E291" s="113" t="s">
        <v>10</v>
      </c>
      <c r="F291" s="112" t="str">
        <f>IF(H292=1,IF(H290=H$2,H290,""),"")</f>
        <v/>
      </c>
      <c r="G291" s="18"/>
      <c r="H291" s="20" t="str">
        <f>IF(E$331="comprobar",COUNTIF(D290:D294,"x"),"")</f>
        <v/>
      </c>
    </row>
    <row r="292" spans="1:40" x14ac:dyDescent="0.25">
      <c r="B292" s="87" t="s">
        <v>15</v>
      </c>
      <c r="C292" s="91" t="s">
        <v>232</v>
      </c>
      <c r="D292" s="110"/>
      <c r="E292" s="113" t="s">
        <v>11</v>
      </c>
      <c r="F292" s="114" t="str">
        <f>IF(H292=-0.33,IF(H290=H$1,H290,""),"")</f>
        <v/>
      </c>
      <c r="G292" s="18"/>
      <c r="H292" s="23">
        <f t="shared" ref="H292" si="23">IF(H291=1,IF(H290=H$2,1,-0.33),0)</f>
        <v>0</v>
      </c>
      <c r="I292" s="4"/>
      <c r="J292" s="4"/>
      <c r="K292" s="4"/>
      <c r="L292" s="4"/>
      <c r="M292" s="4"/>
      <c r="N292" s="4"/>
      <c r="O292" s="4"/>
      <c r="P292" s="4"/>
      <c r="Q292" s="4"/>
      <c r="R292" s="4"/>
      <c r="S292" s="4"/>
      <c r="T292" s="4"/>
      <c r="U292" s="4"/>
      <c r="V292" s="4"/>
      <c r="W292" s="4"/>
      <c r="X292" s="4"/>
      <c r="Y292" s="4"/>
      <c r="Z292" s="4"/>
      <c r="AA292" s="4"/>
      <c r="AB292" s="4"/>
      <c r="AC292" s="4"/>
      <c r="AD292" s="4"/>
      <c r="AE292" s="4"/>
      <c r="AF292" s="4"/>
      <c r="AG292" s="4"/>
      <c r="AH292" s="4"/>
      <c r="AI292" s="4"/>
      <c r="AJ292" s="4"/>
      <c r="AK292" s="4"/>
      <c r="AL292" s="4"/>
      <c r="AM292" s="4"/>
      <c r="AN292" s="4"/>
    </row>
    <row r="293" spans="1:40" x14ac:dyDescent="0.25">
      <c r="B293" s="87" t="s">
        <v>15</v>
      </c>
      <c r="C293" s="91" t="s">
        <v>233</v>
      </c>
      <c r="D293" s="110"/>
      <c r="E293" s="113" t="s">
        <v>12</v>
      </c>
      <c r="F293" s="26"/>
      <c r="G293" s="18"/>
      <c r="H293" s="23"/>
      <c r="I293" s="4"/>
      <c r="J293" s="4"/>
      <c r="K293" s="4"/>
      <c r="L293" s="4"/>
      <c r="M293" s="4"/>
      <c r="N293" s="4"/>
      <c r="O293" s="4"/>
      <c r="P293" s="4"/>
      <c r="Q293" s="4"/>
      <c r="R293" s="4"/>
      <c r="S293" s="4"/>
      <c r="T293" s="4"/>
      <c r="U293" s="4"/>
      <c r="V293" s="4"/>
      <c r="W293" s="4"/>
      <c r="X293" s="4"/>
      <c r="Y293" s="4"/>
      <c r="Z293" s="4"/>
      <c r="AA293" s="4"/>
      <c r="AB293" s="4"/>
      <c r="AC293" s="4"/>
      <c r="AD293" s="4"/>
      <c r="AE293" s="4"/>
      <c r="AF293" s="4"/>
      <c r="AG293" s="4"/>
      <c r="AH293" s="4"/>
      <c r="AI293" s="4"/>
      <c r="AJ293" s="4"/>
      <c r="AK293" s="4"/>
      <c r="AL293" s="4"/>
      <c r="AM293" s="4"/>
      <c r="AN293" s="4"/>
    </row>
    <row r="294" spans="1:40" x14ac:dyDescent="0.25">
      <c r="B294" s="87"/>
      <c r="C294" s="66"/>
      <c r="D294" s="110"/>
      <c r="E294" s="113" t="s">
        <v>13</v>
      </c>
      <c r="F294" s="26"/>
      <c r="G294" s="18"/>
      <c r="H294" s="23"/>
      <c r="I294" s="4"/>
      <c r="J294" s="4"/>
      <c r="K294" s="4"/>
      <c r="L294" s="4"/>
      <c r="M294" s="4"/>
      <c r="N294" s="4"/>
      <c r="O294" s="4"/>
      <c r="P294" s="4"/>
      <c r="Q294" s="4"/>
      <c r="R294" s="4"/>
      <c r="S294" s="4"/>
      <c r="T294" s="4"/>
      <c r="U294" s="4"/>
      <c r="V294" s="4"/>
      <c r="W294" s="4"/>
      <c r="X294" s="4"/>
      <c r="Y294" s="4"/>
      <c r="Z294" s="4"/>
      <c r="AA294" s="4"/>
      <c r="AB294" s="4"/>
      <c r="AC294" s="4"/>
      <c r="AD294" s="4"/>
      <c r="AE294" s="4"/>
      <c r="AF294" s="4"/>
      <c r="AG294" s="4"/>
      <c r="AH294" s="4"/>
      <c r="AI294" s="4"/>
      <c r="AJ294" s="4"/>
      <c r="AK294" s="4"/>
      <c r="AL294" s="4"/>
      <c r="AM294" s="4"/>
      <c r="AN294" s="4"/>
    </row>
    <row r="295" spans="1:40" s="16" customFormat="1" ht="16.5" customHeight="1" x14ac:dyDescent="0.25">
      <c r="A295" s="4"/>
      <c r="B295" s="140" t="s">
        <v>80</v>
      </c>
      <c r="C295" s="165" t="s">
        <v>622</v>
      </c>
      <c r="D295" s="116"/>
      <c r="E295" s="111"/>
      <c r="F295" s="28"/>
      <c r="G295" s="14"/>
      <c r="H295" s="14"/>
    </row>
    <row r="296" spans="1:40" x14ac:dyDescent="0.25">
      <c r="B296" s="87" t="s">
        <v>15</v>
      </c>
      <c r="C296" s="91" t="s">
        <v>234</v>
      </c>
      <c r="D296" s="110"/>
      <c r="E296" s="113" t="s">
        <v>9</v>
      </c>
      <c r="F296" s="26"/>
      <c r="G296" s="18"/>
      <c r="H296" s="20" t="b">
        <f>IF(D296="x",H$2,H$1)</f>
        <v>0</v>
      </c>
      <c r="I296" s="4"/>
      <c r="J296" s="4"/>
      <c r="K296" s="4"/>
      <c r="L296" s="4"/>
      <c r="M296" s="4"/>
      <c r="N296" s="4"/>
      <c r="O296" s="4"/>
      <c r="P296" s="4"/>
      <c r="Q296" s="4"/>
      <c r="R296" s="4"/>
      <c r="S296" s="4"/>
      <c r="T296" s="4"/>
      <c r="U296" s="4"/>
      <c r="V296" s="4"/>
      <c r="W296" s="4"/>
      <c r="X296" s="4"/>
      <c r="Y296" s="4"/>
      <c r="Z296" s="4"/>
      <c r="AA296" s="4"/>
      <c r="AB296" s="4"/>
      <c r="AC296" s="4"/>
      <c r="AD296" s="4"/>
      <c r="AE296" s="4"/>
      <c r="AF296" s="4"/>
      <c r="AG296" s="4"/>
      <c r="AH296" s="4"/>
      <c r="AI296" s="4"/>
      <c r="AJ296" s="4"/>
      <c r="AK296" s="4"/>
      <c r="AL296" s="4"/>
      <c r="AM296" s="4"/>
      <c r="AN296" s="4"/>
    </row>
    <row r="297" spans="1:40" s="16" customFormat="1" x14ac:dyDescent="0.25">
      <c r="A297" s="4"/>
      <c r="B297" s="87" t="s">
        <v>15</v>
      </c>
      <c r="C297" s="91" t="s">
        <v>235</v>
      </c>
      <c r="D297" s="110"/>
      <c r="E297" s="113" t="s">
        <v>10</v>
      </c>
      <c r="F297" s="112" t="str">
        <f>IF(H298=1,IF(H296=H$2,H296,""),"")</f>
        <v/>
      </c>
      <c r="G297" s="18"/>
      <c r="H297" s="20" t="str">
        <f>IF(E$331="comprobar",COUNTIF(D296:D300,"x"),"")</f>
        <v/>
      </c>
    </row>
    <row r="298" spans="1:40" x14ac:dyDescent="0.25">
      <c r="B298" s="87" t="s">
        <v>15</v>
      </c>
      <c r="C298" s="91" t="s">
        <v>236</v>
      </c>
      <c r="D298" s="110"/>
      <c r="E298" s="113" t="s">
        <v>11</v>
      </c>
      <c r="F298" s="114" t="str">
        <f>IF(H298=-0.33,IF(H296=H$1,H296,""),"")</f>
        <v/>
      </c>
      <c r="G298" s="18"/>
      <c r="H298" s="23">
        <f t="shared" ref="H298" si="24">IF(H297=1,IF(H296=H$2,1,-0.33),0)</f>
        <v>0</v>
      </c>
      <c r="I298" s="4"/>
      <c r="J298" s="4"/>
      <c r="K298" s="4"/>
      <c r="L298" s="4"/>
      <c r="M298" s="4"/>
      <c r="N298" s="4"/>
      <c r="O298" s="4"/>
      <c r="P298" s="4"/>
      <c r="Q298" s="4"/>
      <c r="R298" s="4"/>
      <c r="S298" s="4"/>
      <c r="T298" s="4"/>
      <c r="U298" s="4"/>
      <c r="V298" s="4"/>
      <c r="W298" s="4"/>
      <c r="X298" s="4"/>
      <c r="Y298" s="4"/>
      <c r="Z298" s="4"/>
      <c r="AA298" s="4"/>
      <c r="AB298" s="4"/>
      <c r="AC298" s="4"/>
      <c r="AD298" s="4"/>
      <c r="AE298" s="4"/>
      <c r="AF298" s="4"/>
      <c r="AG298" s="4"/>
      <c r="AH298" s="4"/>
      <c r="AI298" s="4"/>
      <c r="AJ298" s="4"/>
      <c r="AK298" s="4"/>
      <c r="AL298" s="4"/>
      <c r="AM298" s="4"/>
      <c r="AN298" s="4"/>
    </row>
    <row r="299" spans="1:40" x14ac:dyDescent="0.25">
      <c r="B299" s="87" t="s">
        <v>15</v>
      </c>
      <c r="C299" s="91" t="s">
        <v>237</v>
      </c>
      <c r="D299" s="110"/>
      <c r="E299" s="113" t="s">
        <v>12</v>
      </c>
      <c r="F299" s="26"/>
      <c r="G299" s="18"/>
      <c r="H299" s="23"/>
      <c r="I299" s="4"/>
      <c r="J299" s="4"/>
      <c r="K299" s="4"/>
      <c r="L299" s="4"/>
      <c r="M299" s="4"/>
      <c r="N299" s="4"/>
      <c r="O299" s="4"/>
      <c r="P299" s="4"/>
      <c r="Q299" s="4"/>
      <c r="R299" s="4"/>
      <c r="S299" s="4"/>
      <c r="T299" s="4"/>
      <c r="U299" s="4"/>
      <c r="V299" s="4"/>
      <c r="W299" s="4"/>
      <c r="X299" s="4"/>
      <c r="Y299" s="4"/>
      <c r="Z299" s="4"/>
      <c r="AA299" s="4"/>
      <c r="AB299" s="4"/>
      <c r="AC299" s="4"/>
      <c r="AD299" s="4"/>
      <c r="AE299" s="4"/>
      <c r="AF299" s="4"/>
      <c r="AG299" s="4"/>
      <c r="AH299" s="4"/>
      <c r="AI299" s="4"/>
      <c r="AJ299" s="4"/>
      <c r="AK299" s="4"/>
      <c r="AL299" s="4"/>
      <c r="AM299" s="4"/>
      <c r="AN299" s="4"/>
    </row>
    <row r="300" spans="1:40" x14ac:dyDescent="0.25">
      <c r="B300" s="109"/>
      <c r="C300" s="66"/>
      <c r="D300" s="110"/>
      <c r="E300" s="113" t="s">
        <v>13</v>
      </c>
      <c r="F300" s="115"/>
      <c r="G300" s="18"/>
      <c r="H300" s="23"/>
      <c r="I300" s="4"/>
      <c r="J300" s="4"/>
      <c r="K300" s="4"/>
      <c r="L300" s="4"/>
      <c r="M300" s="4"/>
      <c r="N300" s="4"/>
      <c r="O300" s="4"/>
      <c r="P300" s="4"/>
      <c r="Q300" s="4"/>
      <c r="R300" s="4"/>
      <c r="S300" s="4"/>
      <c r="T300" s="4"/>
      <c r="U300" s="4"/>
      <c r="V300" s="4"/>
      <c r="W300" s="4"/>
      <c r="X300" s="4"/>
      <c r="Y300" s="4"/>
      <c r="Z300" s="4"/>
      <c r="AA300" s="4"/>
      <c r="AB300" s="4"/>
      <c r="AC300" s="4"/>
      <c r="AD300" s="4"/>
      <c r="AE300" s="4"/>
      <c r="AF300" s="4"/>
      <c r="AG300" s="4"/>
      <c r="AH300" s="4"/>
      <c r="AI300" s="4"/>
      <c r="AJ300" s="4"/>
      <c r="AK300" s="4"/>
      <c r="AL300" s="4"/>
      <c r="AM300" s="4"/>
      <c r="AN300" s="4"/>
    </row>
    <row r="301" spans="1:40" s="16" customFormat="1" x14ac:dyDescent="0.25">
      <c r="A301" s="4"/>
      <c r="B301" s="140" t="s">
        <v>85</v>
      </c>
      <c r="C301" s="148" t="s">
        <v>238</v>
      </c>
      <c r="D301" s="116"/>
      <c r="E301" s="111"/>
      <c r="F301" s="28"/>
      <c r="G301" s="14"/>
      <c r="H301" s="14"/>
    </row>
    <row r="302" spans="1:40" x14ac:dyDescent="0.25">
      <c r="B302" s="87" t="s">
        <v>15</v>
      </c>
      <c r="C302" s="64" t="s">
        <v>239</v>
      </c>
      <c r="D302" s="110"/>
      <c r="E302" s="113" t="s">
        <v>9</v>
      </c>
      <c r="F302" s="26"/>
      <c r="G302" s="18"/>
      <c r="H302" s="20" t="b">
        <f>IF(D304="x",H$2,H$1)</f>
        <v>0</v>
      </c>
      <c r="I302" s="4"/>
      <c r="J302" s="4"/>
      <c r="K302" s="4"/>
      <c r="L302" s="4"/>
      <c r="M302" s="4"/>
      <c r="N302" s="4"/>
      <c r="O302" s="4"/>
      <c r="P302" s="4"/>
      <c r="Q302" s="4"/>
      <c r="R302" s="4"/>
      <c r="S302" s="4"/>
      <c r="T302" s="4"/>
      <c r="U302" s="4"/>
      <c r="V302" s="4"/>
      <c r="W302" s="4"/>
      <c r="X302" s="4"/>
      <c r="Y302" s="4"/>
      <c r="Z302" s="4"/>
      <c r="AA302" s="4"/>
      <c r="AB302" s="4"/>
      <c r="AC302" s="4"/>
      <c r="AD302" s="4"/>
      <c r="AE302" s="4"/>
      <c r="AF302" s="4"/>
      <c r="AG302" s="4"/>
      <c r="AH302" s="4"/>
      <c r="AI302" s="4"/>
      <c r="AJ302" s="4"/>
      <c r="AK302" s="4"/>
      <c r="AL302" s="4"/>
      <c r="AM302" s="4"/>
      <c r="AN302" s="4"/>
    </row>
    <row r="303" spans="1:40" s="16" customFormat="1" x14ac:dyDescent="0.25">
      <c r="A303" s="4"/>
      <c r="B303" s="87" t="s">
        <v>15</v>
      </c>
      <c r="C303" s="91" t="s">
        <v>240</v>
      </c>
      <c r="D303" s="110"/>
      <c r="E303" s="113" t="s">
        <v>10</v>
      </c>
      <c r="F303" s="112" t="str">
        <f>IF(H304=1,IF(H302=H$2,H302,""),"")</f>
        <v/>
      </c>
      <c r="G303" s="18"/>
      <c r="H303" s="20" t="str">
        <f>IF(E$331="comprobar",COUNTIF(D302:D306,"x"),"")</f>
        <v/>
      </c>
    </row>
    <row r="304" spans="1:40" x14ac:dyDescent="0.25">
      <c r="B304" s="87" t="s">
        <v>15</v>
      </c>
      <c r="C304" s="91" t="s">
        <v>241</v>
      </c>
      <c r="D304" s="110"/>
      <c r="E304" s="113" t="s">
        <v>11</v>
      </c>
      <c r="F304" s="114" t="str">
        <f>IF(H304=-0.33,IF(H302=H$1,H302,""),"")</f>
        <v/>
      </c>
      <c r="G304" s="18"/>
      <c r="H304" s="23">
        <f t="shared" ref="H304" si="25">IF(H303=1,IF(H302=H$2,1,-0.33),0)</f>
        <v>0</v>
      </c>
      <c r="I304" s="4"/>
      <c r="J304" s="4"/>
      <c r="K304" s="4"/>
      <c r="L304" s="4"/>
      <c r="M304" s="4"/>
      <c r="N304" s="4"/>
      <c r="O304" s="4"/>
      <c r="P304" s="4"/>
      <c r="Q304" s="4"/>
      <c r="R304" s="4"/>
      <c r="S304" s="4"/>
      <c r="T304" s="4"/>
      <c r="U304" s="4"/>
      <c r="V304" s="4"/>
      <c r="W304" s="4"/>
      <c r="X304" s="4"/>
      <c r="Y304" s="4"/>
      <c r="Z304" s="4"/>
      <c r="AA304" s="4"/>
      <c r="AB304" s="4"/>
      <c r="AC304" s="4"/>
      <c r="AD304" s="4"/>
      <c r="AE304" s="4"/>
      <c r="AF304" s="4"/>
      <c r="AG304" s="4"/>
      <c r="AH304" s="4"/>
      <c r="AI304" s="4"/>
      <c r="AJ304" s="4"/>
      <c r="AK304" s="4"/>
      <c r="AL304" s="4"/>
      <c r="AM304" s="4"/>
      <c r="AN304" s="4"/>
    </row>
    <row r="305" spans="1:40" x14ac:dyDescent="0.25">
      <c r="B305" s="87" t="s">
        <v>15</v>
      </c>
      <c r="C305" s="91" t="s">
        <v>242</v>
      </c>
      <c r="D305" s="110"/>
      <c r="E305" s="113" t="s">
        <v>12</v>
      </c>
      <c r="F305" s="26"/>
      <c r="G305" s="18"/>
      <c r="H305" s="23"/>
      <c r="I305" s="4"/>
      <c r="J305" s="4"/>
      <c r="K305" s="4"/>
      <c r="L305" s="4"/>
      <c r="M305" s="4"/>
      <c r="N305" s="4"/>
      <c r="O305" s="4"/>
      <c r="P305" s="4"/>
      <c r="Q305" s="4"/>
      <c r="R305" s="4"/>
      <c r="S305" s="4"/>
      <c r="T305" s="4"/>
      <c r="U305" s="4"/>
      <c r="V305" s="4"/>
      <c r="W305" s="4"/>
      <c r="X305" s="4"/>
      <c r="Y305" s="4"/>
      <c r="Z305" s="4"/>
      <c r="AA305" s="4"/>
      <c r="AB305" s="4"/>
      <c r="AC305" s="4"/>
      <c r="AD305" s="4"/>
      <c r="AE305" s="4"/>
      <c r="AF305" s="4"/>
      <c r="AG305" s="4"/>
      <c r="AH305" s="4"/>
      <c r="AI305" s="4"/>
      <c r="AJ305" s="4"/>
      <c r="AK305" s="4"/>
      <c r="AL305" s="4"/>
      <c r="AM305" s="4"/>
      <c r="AN305" s="4"/>
    </row>
    <row r="306" spans="1:40" x14ac:dyDescent="0.25">
      <c r="B306" s="65"/>
      <c r="C306" s="66"/>
      <c r="D306" s="110"/>
      <c r="E306" s="113" t="s">
        <v>13</v>
      </c>
      <c r="F306" s="115"/>
      <c r="G306" s="18"/>
      <c r="H306" s="23"/>
      <c r="I306" s="4"/>
      <c r="J306" s="4"/>
      <c r="K306" s="4"/>
      <c r="L306" s="4"/>
      <c r="M306" s="4"/>
      <c r="N306" s="4"/>
      <c r="O306" s="4"/>
      <c r="P306" s="4"/>
      <c r="Q306" s="4"/>
      <c r="R306" s="4"/>
      <c r="S306" s="4"/>
      <c r="T306" s="4"/>
      <c r="U306" s="4"/>
      <c r="V306" s="4"/>
      <c r="W306" s="4"/>
      <c r="X306" s="4"/>
      <c r="Y306" s="4"/>
      <c r="Z306" s="4"/>
      <c r="AA306" s="4"/>
      <c r="AB306" s="4"/>
      <c r="AC306" s="4"/>
      <c r="AD306" s="4"/>
      <c r="AE306" s="4"/>
      <c r="AF306" s="4"/>
      <c r="AG306" s="4"/>
      <c r="AH306" s="4"/>
      <c r="AI306" s="4"/>
      <c r="AJ306" s="4"/>
      <c r="AK306" s="4"/>
      <c r="AL306" s="4"/>
      <c r="AM306" s="4"/>
      <c r="AN306" s="4"/>
    </row>
    <row r="307" spans="1:40" s="16" customFormat="1" x14ac:dyDescent="0.25">
      <c r="A307" s="4"/>
      <c r="B307" s="140" t="s">
        <v>91</v>
      </c>
      <c r="C307" s="148" t="s">
        <v>243</v>
      </c>
      <c r="D307" s="116"/>
      <c r="E307" s="111"/>
      <c r="F307" s="28"/>
      <c r="G307" s="14"/>
      <c r="H307" s="14"/>
    </row>
    <row r="308" spans="1:40" x14ac:dyDescent="0.25">
      <c r="B308" s="87" t="s">
        <v>15</v>
      </c>
      <c r="C308" s="91" t="s">
        <v>244</v>
      </c>
      <c r="D308" s="110"/>
      <c r="E308" s="113" t="s">
        <v>9</v>
      </c>
      <c r="F308" s="26"/>
      <c r="G308" s="18"/>
      <c r="H308" s="20" t="b">
        <f>IF(D311="x",H$2,H$1)</f>
        <v>0</v>
      </c>
      <c r="I308" s="4"/>
      <c r="J308" s="4"/>
      <c r="K308" s="4"/>
      <c r="L308" s="4"/>
      <c r="M308" s="4"/>
      <c r="N308" s="4"/>
      <c r="O308" s="4"/>
      <c r="P308" s="4"/>
      <c r="Q308" s="4"/>
      <c r="R308" s="4"/>
      <c r="S308" s="4"/>
      <c r="T308" s="4"/>
      <c r="U308" s="4"/>
      <c r="V308" s="4"/>
      <c r="W308" s="4"/>
      <c r="X308" s="4"/>
      <c r="Y308" s="4"/>
      <c r="Z308" s="4"/>
      <c r="AA308" s="4"/>
      <c r="AB308" s="4"/>
      <c r="AC308" s="4"/>
      <c r="AD308" s="4"/>
      <c r="AE308" s="4"/>
      <c r="AF308" s="4"/>
      <c r="AG308" s="4"/>
      <c r="AH308" s="4"/>
      <c r="AI308" s="4"/>
      <c r="AJ308" s="4"/>
      <c r="AK308" s="4"/>
      <c r="AL308" s="4"/>
      <c r="AM308" s="4"/>
      <c r="AN308" s="4"/>
    </row>
    <row r="309" spans="1:40" s="16" customFormat="1" x14ac:dyDescent="0.25">
      <c r="A309" s="4"/>
      <c r="B309" s="87" t="s">
        <v>15</v>
      </c>
      <c r="C309" s="91" t="s">
        <v>245</v>
      </c>
      <c r="D309" s="110"/>
      <c r="E309" s="113" t="s">
        <v>10</v>
      </c>
      <c r="F309" s="112" t="str">
        <f>IF(H310=1,IF(H308=H$2,H308,""),"")</f>
        <v/>
      </c>
      <c r="G309" s="18"/>
      <c r="H309" s="20" t="str">
        <f>IF(E$331="comprobar",COUNTIF(D308:D312,"x"),"")</f>
        <v/>
      </c>
    </row>
    <row r="310" spans="1:40" x14ac:dyDescent="0.25">
      <c r="B310" s="87" t="s">
        <v>15</v>
      </c>
      <c r="C310" s="91" t="s">
        <v>246</v>
      </c>
      <c r="D310" s="110"/>
      <c r="E310" s="113" t="s">
        <v>11</v>
      </c>
      <c r="F310" s="114" t="str">
        <f>IF(H310=-0.33,IF(H308=H$1,H308,""),"")</f>
        <v/>
      </c>
      <c r="G310" s="18"/>
      <c r="H310" s="23">
        <f t="shared" ref="H310" si="26">IF(H309=1,IF(H308=H$2,1,-0.33),0)</f>
        <v>0</v>
      </c>
      <c r="I310" s="4"/>
      <c r="J310" s="4"/>
      <c r="K310" s="4"/>
      <c r="L310" s="4"/>
      <c r="M310" s="4"/>
      <c r="N310" s="4"/>
      <c r="O310" s="4"/>
      <c r="P310" s="4"/>
      <c r="Q310" s="4"/>
      <c r="R310" s="4"/>
      <c r="S310" s="4"/>
      <c r="T310" s="4"/>
      <c r="U310" s="4"/>
      <c r="V310" s="4"/>
      <c r="W310" s="4"/>
      <c r="X310" s="4"/>
      <c r="Y310" s="4"/>
      <c r="Z310" s="4"/>
      <c r="AA310" s="4"/>
      <c r="AB310" s="4"/>
      <c r="AC310" s="4"/>
      <c r="AD310" s="4"/>
      <c r="AE310" s="4"/>
      <c r="AF310" s="4"/>
      <c r="AG310" s="4"/>
      <c r="AH310" s="4"/>
      <c r="AI310" s="4"/>
      <c r="AJ310" s="4"/>
      <c r="AK310" s="4"/>
      <c r="AL310" s="4"/>
      <c r="AM310" s="4"/>
      <c r="AN310" s="4"/>
    </row>
    <row r="311" spans="1:40" x14ac:dyDescent="0.25">
      <c r="B311" s="87" t="s">
        <v>15</v>
      </c>
      <c r="C311" s="91" t="s">
        <v>247</v>
      </c>
      <c r="D311" s="110"/>
      <c r="E311" s="113" t="s">
        <v>12</v>
      </c>
      <c r="F311" s="26"/>
      <c r="G311" s="18"/>
      <c r="H311" s="23"/>
      <c r="I311" s="4"/>
      <c r="J311" s="4"/>
      <c r="K311" s="4"/>
      <c r="L311" s="4"/>
      <c r="M311" s="4"/>
      <c r="N311" s="4"/>
      <c r="O311" s="4"/>
      <c r="P311" s="4"/>
      <c r="Q311" s="4"/>
      <c r="R311" s="4"/>
      <c r="S311" s="4"/>
      <c r="T311" s="4"/>
      <c r="U311" s="4"/>
      <c r="V311" s="4"/>
      <c r="W311" s="4"/>
      <c r="X311" s="4"/>
      <c r="Y311" s="4"/>
      <c r="Z311" s="4"/>
      <c r="AA311" s="4"/>
      <c r="AB311" s="4"/>
      <c r="AC311" s="4"/>
      <c r="AD311" s="4"/>
      <c r="AE311" s="4"/>
      <c r="AF311" s="4"/>
      <c r="AG311" s="4"/>
      <c r="AH311" s="4"/>
      <c r="AI311" s="4"/>
      <c r="AJ311" s="4"/>
      <c r="AK311" s="4"/>
      <c r="AL311" s="4"/>
      <c r="AM311" s="4"/>
      <c r="AN311" s="4"/>
    </row>
    <row r="312" spans="1:40" x14ac:dyDescent="0.25">
      <c r="B312" s="65"/>
      <c r="C312" s="66"/>
      <c r="D312" s="110"/>
      <c r="E312" s="113" t="s">
        <v>13</v>
      </c>
      <c r="F312" s="115"/>
      <c r="G312" s="18"/>
      <c r="H312" s="23"/>
      <c r="I312" s="4"/>
      <c r="J312" s="4"/>
      <c r="K312" s="4"/>
      <c r="L312" s="4"/>
      <c r="M312" s="4"/>
      <c r="N312" s="4"/>
      <c r="O312" s="4"/>
      <c r="P312" s="4"/>
      <c r="Q312" s="4"/>
      <c r="R312" s="4"/>
      <c r="S312" s="4"/>
      <c r="T312" s="4"/>
      <c r="U312" s="4"/>
      <c r="V312" s="4"/>
      <c r="W312" s="4"/>
      <c r="X312" s="4"/>
      <c r="Y312" s="4"/>
      <c r="Z312" s="4"/>
      <c r="AA312" s="4"/>
      <c r="AB312" s="4"/>
      <c r="AC312" s="4"/>
      <c r="AD312" s="4"/>
      <c r="AE312" s="4"/>
      <c r="AF312" s="4"/>
      <c r="AG312" s="4"/>
      <c r="AH312" s="4"/>
      <c r="AI312" s="4"/>
      <c r="AJ312" s="4"/>
      <c r="AK312" s="4"/>
      <c r="AL312" s="4"/>
      <c r="AM312" s="4"/>
      <c r="AN312" s="4"/>
    </row>
    <row r="313" spans="1:40" s="16" customFormat="1" x14ac:dyDescent="0.25">
      <c r="A313" s="4"/>
      <c r="B313" s="140" t="s">
        <v>92</v>
      </c>
      <c r="C313" s="147" t="s">
        <v>623</v>
      </c>
      <c r="D313" s="116"/>
      <c r="E313" s="111"/>
      <c r="F313" s="28"/>
      <c r="G313" s="14"/>
      <c r="H313" s="14"/>
    </row>
    <row r="314" spans="1:40" x14ac:dyDescent="0.25">
      <c r="B314" s="87" t="s">
        <v>15</v>
      </c>
      <c r="C314" s="64" t="s">
        <v>250</v>
      </c>
      <c r="D314" s="110"/>
      <c r="E314" s="113" t="s">
        <v>9</v>
      </c>
      <c r="F314" s="26"/>
      <c r="G314" s="18"/>
      <c r="H314" s="20" t="b">
        <f>IF(D315="x",H$2,H$1)</f>
        <v>0</v>
      </c>
      <c r="I314" s="4"/>
      <c r="J314" s="4"/>
      <c r="K314" s="4"/>
      <c r="L314" s="4"/>
      <c r="M314" s="4"/>
      <c r="N314" s="4"/>
      <c r="O314" s="4"/>
      <c r="P314" s="4"/>
      <c r="Q314" s="4"/>
      <c r="R314" s="4"/>
      <c r="S314" s="4"/>
      <c r="T314" s="4"/>
      <c r="U314" s="4"/>
      <c r="V314" s="4"/>
      <c r="W314" s="4"/>
      <c r="X314" s="4"/>
      <c r="Y314" s="4"/>
      <c r="Z314" s="4"/>
      <c r="AA314" s="4"/>
      <c r="AB314" s="4"/>
      <c r="AC314" s="4"/>
      <c r="AD314" s="4"/>
      <c r="AE314" s="4"/>
      <c r="AF314" s="4"/>
      <c r="AG314" s="4"/>
      <c r="AH314" s="4"/>
      <c r="AI314" s="4"/>
      <c r="AJ314" s="4"/>
      <c r="AK314" s="4"/>
      <c r="AL314" s="4"/>
      <c r="AM314" s="4"/>
      <c r="AN314" s="4"/>
    </row>
    <row r="315" spans="1:40" s="16" customFormat="1" x14ac:dyDescent="0.25">
      <c r="A315" s="4"/>
      <c r="B315" s="87" t="s">
        <v>15</v>
      </c>
      <c r="C315" s="91" t="s">
        <v>249</v>
      </c>
      <c r="D315" s="110"/>
      <c r="E315" s="113" t="s">
        <v>10</v>
      </c>
      <c r="F315" s="112" t="str">
        <f>IF(H316=1,IF(H314=H$2,H314,""),"")</f>
        <v/>
      </c>
      <c r="G315" s="18"/>
      <c r="H315" s="20" t="str">
        <f>IF(E$331="comprobar",COUNTIF(D314:D318,"x"),"")</f>
        <v/>
      </c>
    </row>
    <row r="316" spans="1:40" x14ac:dyDescent="0.25">
      <c r="B316" s="87" t="s">
        <v>15</v>
      </c>
      <c r="C316" s="91" t="s">
        <v>251</v>
      </c>
      <c r="D316" s="110"/>
      <c r="E316" s="113" t="s">
        <v>11</v>
      </c>
      <c r="F316" s="114" t="str">
        <f>IF(H316=-0.33,IF(H314=H$1,H314,""),"")</f>
        <v/>
      </c>
      <c r="G316" s="18"/>
      <c r="H316" s="23">
        <f t="shared" ref="H316" si="27">IF(H315=1,IF(H314=H$2,1,-0.33),0)</f>
        <v>0</v>
      </c>
      <c r="I316" s="4"/>
      <c r="J316" s="4"/>
      <c r="K316" s="4"/>
      <c r="L316" s="4"/>
      <c r="M316" s="4"/>
      <c r="N316" s="4"/>
      <c r="O316" s="4"/>
      <c r="P316" s="4"/>
      <c r="Q316" s="4"/>
      <c r="R316" s="4"/>
      <c r="S316" s="4"/>
      <c r="T316" s="4"/>
      <c r="U316" s="4"/>
      <c r="V316" s="4"/>
      <c r="W316" s="4"/>
      <c r="X316" s="4"/>
      <c r="Y316" s="4"/>
      <c r="Z316" s="4"/>
      <c r="AA316" s="4"/>
      <c r="AB316" s="4"/>
      <c r="AC316" s="4"/>
      <c r="AD316" s="4"/>
      <c r="AE316" s="4"/>
      <c r="AF316" s="4"/>
      <c r="AG316" s="4"/>
      <c r="AH316" s="4"/>
      <c r="AI316" s="4"/>
      <c r="AJ316" s="4"/>
      <c r="AK316" s="4"/>
      <c r="AL316" s="4"/>
      <c r="AM316" s="4"/>
      <c r="AN316" s="4"/>
    </row>
    <row r="317" spans="1:40" x14ac:dyDescent="0.25">
      <c r="B317" s="87" t="s">
        <v>15</v>
      </c>
      <c r="C317" s="91" t="s">
        <v>252</v>
      </c>
      <c r="D317" s="110"/>
      <c r="E317" s="113" t="s">
        <v>12</v>
      </c>
      <c r="F317" s="26"/>
      <c r="G317" s="18"/>
      <c r="H317" s="23"/>
      <c r="I317" s="4"/>
      <c r="J317" s="4"/>
      <c r="K317" s="4"/>
      <c r="L317" s="4"/>
      <c r="M317" s="4"/>
      <c r="N317" s="4"/>
      <c r="O317" s="4"/>
      <c r="P317" s="4"/>
      <c r="Q317" s="4"/>
      <c r="R317" s="4"/>
      <c r="S317" s="4"/>
      <c r="T317" s="4"/>
      <c r="U317" s="4"/>
      <c r="V317" s="4"/>
      <c r="W317" s="4"/>
      <c r="X317" s="4"/>
      <c r="Y317" s="4"/>
      <c r="Z317" s="4"/>
      <c r="AA317" s="4"/>
      <c r="AB317" s="4"/>
      <c r="AC317" s="4"/>
      <c r="AD317" s="4"/>
      <c r="AE317" s="4"/>
      <c r="AF317" s="4"/>
      <c r="AG317" s="4"/>
      <c r="AH317" s="4"/>
      <c r="AI317" s="4"/>
      <c r="AJ317" s="4"/>
      <c r="AK317" s="4"/>
      <c r="AL317" s="4"/>
      <c r="AM317" s="4"/>
      <c r="AN317" s="4"/>
    </row>
    <row r="318" spans="1:40" x14ac:dyDescent="0.25">
      <c r="B318" s="65"/>
      <c r="C318" s="66"/>
      <c r="D318" s="110"/>
      <c r="E318" s="113" t="s">
        <v>13</v>
      </c>
      <c r="F318" s="115"/>
      <c r="G318" s="18"/>
      <c r="H318" s="23"/>
      <c r="I318" s="4"/>
      <c r="J318" s="4"/>
      <c r="K318" s="4"/>
      <c r="L318" s="4"/>
      <c r="M318" s="4"/>
      <c r="N318" s="4"/>
      <c r="O318" s="4"/>
      <c r="P318" s="4"/>
      <c r="Q318" s="4"/>
      <c r="R318" s="4"/>
      <c r="S318" s="4"/>
      <c r="T318" s="4"/>
      <c r="U318" s="4"/>
      <c r="V318" s="4"/>
      <c r="W318" s="4"/>
      <c r="X318" s="4"/>
      <c r="Y318" s="4"/>
      <c r="Z318" s="4"/>
      <c r="AA318" s="4"/>
      <c r="AB318" s="4"/>
      <c r="AC318" s="4"/>
      <c r="AD318" s="4"/>
      <c r="AE318" s="4"/>
      <c r="AF318" s="4"/>
      <c r="AG318" s="4"/>
      <c r="AH318" s="4"/>
      <c r="AI318" s="4"/>
      <c r="AJ318" s="4"/>
      <c r="AK318" s="4"/>
      <c r="AL318" s="4"/>
      <c r="AM318" s="4"/>
      <c r="AN318" s="4"/>
    </row>
    <row r="319" spans="1:40" s="16" customFormat="1" x14ac:dyDescent="0.25">
      <c r="A319" s="4"/>
      <c r="B319" s="140" t="s">
        <v>199</v>
      </c>
      <c r="C319" s="90" t="s">
        <v>253</v>
      </c>
      <c r="D319" s="116"/>
      <c r="E319" s="111"/>
      <c r="F319" s="28"/>
      <c r="G319" s="27"/>
      <c r="H319" s="14"/>
    </row>
    <row r="320" spans="1:40" s="4" customFormat="1" x14ac:dyDescent="0.25">
      <c r="B320" s="87" t="s">
        <v>15</v>
      </c>
      <c r="C320" s="64" t="s">
        <v>254</v>
      </c>
      <c r="D320" s="110"/>
      <c r="E320" s="113" t="s">
        <v>9</v>
      </c>
      <c r="F320" s="26"/>
      <c r="G320" s="105"/>
      <c r="H320" s="96" t="b">
        <f>IF(D323="x",H$2,H$1)</f>
        <v>0</v>
      </c>
    </row>
    <row r="321" spans="1:40" s="4" customFormat="1" x14ac:dyDescent="0.25">
      <c r="B321" s="87" t="s">
        <v>15</v>
      </c>
      <c r="C321" s="91" t="s">
        <v>255</v>
      </c>
      <c r="D321" s="110"/>
      <c r="E321" s="113" t="s">
        <v>10</v>
      </c>
      <c r="F321" s="112" t="str">
        <f>IF(H322=1,IF(H320=H$2,H320,""),"")</f>
        <v/>
      </c>
      <c r="G321" s="105"/>
      <c r="H321" s="96" t="str">
        <f>IF(E$331="comprobar",COUNTIF(D320:D324,"x"),"")</f>
        <v/>
      </c>
    </row>
    <row r="322" spans="1:40" s="4" customFormat="1" x14ac:dyDescent="0.25">
      <c r="B322" s="87" t="s">
        <v>15</v>
      </c>
      <c r="C322" s="91" t="s">
        <v>256</v>
      </c>
      <c r="D322" s="110"/>
      <c r="E322" s="113" t="s">
        <v>11</v>
      </c>
      <c r="F322" s="114" t="str">
        <f>IF(H322=-0.33,IF(H320=H$1,H320,""),"")</f>
        <v/>
      </c>
      <c r="G322" s="105"/>
      <c r="H322" s="106">
        <f t="shared" ref="H322" si="28">IF(H321=1,IF(H320=H$2,1,-0.33),0)</f>
        <v>0</v>
      </c>
    </row>
    <row r="323" spans="1:40" x14ac:dyDescent="0.25">
      <c r="B323" s="87" t="s">
        <v>15</v>
      </c>
      <c r="C323" s="91" t="s">
        <v>257</v>
      </c>
      <c r="D323" s="110"/>
      <c r="E323" s="113" t="s">
        <v>12</v>
      </c>
      <c r="F323" s="26"/>
      <c r="G323" s="25"/>
      <c r="H323" s="23"/>
      <c r="I323" s="4"/>
      <c r="J323" s="4"/>
      <c r="K323" s="4"/>
      <c r="L323" s="4"/>
      <c r="M323" s="4"/>
      <c r="N323" s="4"/>
      <c r="O323" s="4"/>
      <c r="P323" s="4"/>
      <c r="Q323" s="4"/>
      <c r="R323" s="4"/>
      <c r="S323" s="4"/>
      <c r="T323" s="4"/>
      <c r="U323" s="4"/>
      <c r="V323" s="4"/>
      <c r="W323" s="4"/>
      <c r="X323" s="4"/>
      <c r="Y323" s="4"/>
      <c r="Z323" s="4"/>
      <c r="AA323" s="4"/>
      <c r="AB323" s="4"/>
      <c r="AC323" s="4"/>
      <c r="AD323" s="4"/>
      <c r="AE323" s="4"/>
      <c r="AF323" s="4"/>
      <c r="AG323" s="4"/>
      <c r="AH323" s="4"/>
      <c r="AI323" s="4"/>
      <c r="AJ323" s="4"/>
      <c r="AK323" s="4"/>
      <c r="AL323" s="4"/>
      <c r="AM323" s="4"/>
      <c r="AN323" s="4"/>
    </row>
    <row r="324" spans="1:40" x14ac:dyDescent="0.25">
      <c r="B324" s="65"/>
      <c r="C324" s="66"/>
      <c r="D324" s="110"/>
      <c r="E324" s="113" t="s">
        <v>13</v>
      </c>
      <c r="F324" s="115"/>
      <c r="G324" s="25"/>
      <c r="H324" s="23"/>
      <c r="I324" s="4"/>
      <c r="J324" s="4"/>
      <c r="K324" s="4"/>
      <c r="L324" s="4"/>
      <c r="M324" s="4"/>
      <c r="N324" s="4"/>
      <c r="O324" s="4"/>
      <c r="P324" s="4"/>
      <c r="Q324" s="4"/>
      <c r="R324" s="4"/>
      <c r="S324" s="4"/>
      <c r="T324" s="4"/>
      <c r="U324" s="4"/>
      <c r="V324" s="4"/>
      <c r="W324" s="4"/>
      <c r="X324" s="4"/>
      <c r="Y324" s="4"/>
      <c r="Z324" s="4"/>
      <c r="AA324" s="4"/>
      <c r="AB324" s="4"/>
      <c r="AC324" s="4"/>
      <c r="AD324" s="4"/>
      <c r="AE324" s="4"/>
      <c r="AF324" s="4"/>
      <c r="AG324" s="4"/>
      <c r="AH324" s="4"/>
      <c r="AI324" s="4"/>
      <c r="AJ324" s="4"/>
      <c r="AK324" s="4"/>
      <c r="AL324" s="4"/>
      <c r="AM324" s="4"/>
      <c r="AN324" s="4"/>
    </row>
    <row r="325" spans="1:40" s="16" customFormat="1" ht="18" customHeight="1" x14ac:dyDescent="0.25">
      <c r="A325" s="4"/>
      <c r="B325" s="140" t="s">
        <v>159</v>
      </c>
      <c r="C325" s="165" t="s">
        <v>624</v>
      </c>
      <c r="D325" s="116"/>
      <c r="E325" s="111"/>
      <c r="F325" s="28"/>
      <c r="G325" s="14"/>
      <c r="H325" s="14"/>
    </row>
    <row r="326" spans="1:40" x14ac:dyDescent="0.25">
      <c r="B326" s="87" t="s">
        <v>15</v>
      </c>
      <c r="C326" s="64" t="s">
        <v>258</v>
      </c>
      <c r="D326" s="110"/>
      <c r="E326" s="113" t="s">
        <v>9</v>
      </c>
      <c r="F326" s="26"/>
      <c r="G326" s="25"/>
      <c r="H326" s="20" t="b">
        <f>IF(D327="x",H$2,H$1)</f>
        <v>0</v>
      </c>
      <c r="I326" s="4"/>
      <c r="J326" s="4"/>
      <c r="K326" s="4"/>
      <c r="L326" s="4"/>
      <c r="M326" s="4"/>
      <c r="N326" s="4"/>
      <c r="O326" s="4"/>
      <c r="P326" s="4"/>
      <c r="Q326" s="4"/>
      <c r="R326" s="4"/>
      <c r="S326" s="4"/>
      <c r="T326" s="4"/>
      <c r="U326" s="4"/>
      <c r="V326" s="4"/>
      <c r="W326" s="4"/>
      <c r="X326" s="4"/>
      <c r="Y326" s="4"/>
      <c r="Z326" s="4"/>
      <c r="AA326" s="4"/>
      <c r="AB326" s="4"/>
      <c r="AC326" s="4"/>
      <c r="AD326" s="4"/>
      <c r="AE326" s="4"/>
      <c r="AF326" s="4"/>
      <c r="AG326" s="4"/>
      <c r="AH326" s="4"/>
      <c r="AI326" s="4"/>
      <c r="AJ326" s="4"/>
      <c r="AK326" s="4"/>
      <c r="AL326" s="4"/>
      <c r="AM326" s="4"/>
      <c r="AN326" s="4"/>
    </row>
    <row r="327" spans="1:40" s="16" customFormat="1" x14ac:dyDescent="0.25">
      <c r="A327" s="4"/>
      <c r="B327" s="87" t="s">
        <v>15</v>
      </c>
      <c r="C327" s="91" t="s">
        <v>259</v>
      </c>
      <c r="D327" s="110"/>
      <c r="E327" s="113" t="s">
        <v>10</v>
      </c>
      <c r="F327" s="112" t="str">
        <f>IF(H328=1,IF(H326=H$2,H326,""),"")</f>
        <v/>
      </c>
      <c r="G327" s="25"/>
      <c r="H327" s="20" t="str">
        <f>IF(E$331="comprobar",COUNTIF(D326:D330,"x"),"")</f>
        <v/>
      </c>
    </row>
    <row r="328" spans="1:40" x14ac:dyDescent="0.25">
      <c r="B328" s="87" t="s">
        <v>15</v>
      </c>
      <c r="C328" s="91" t="s">
        <v>260</v>
      </c>
      <c r="D328" s="110"/>
      <c r="E328" s="113" t="s">
        <v>11</v>
      </c>
      <c r="F328" s="114" t="str">
        <f>IF(H328=-0.33,IF(H326=H$1,H326,""),"")</f>
        <v/>
      </c>
      <c r="G328" s="25"/>
      <c r="H328" s="23">
        <f t="shared" ref="H328" si="29">IF(H327=1,IF(H326=H$2,1,-0.33),0)</f>
        <v>0</v>
      </c>
      <c r="I328" s="4"/>
      <c r="J328" s="4"/>
      <c r="K328" s="4"/>
      <c r="L328" s="4"/>
      <c r="M328" s="4"/>
      <c r="N328" s="4"/>
      <c r="O328" s="4"/>
      <c r="P328" s="4"/>
      <c r="Q328" s="4"/>
      <c r="R328" s="4"/>
      <c r="S328" s="4"/>
      <c r="T328" s="4"/>
      <c r="U328" s="4"/>
      <c r="V328" s="4"/>
      <c r="W328" s="4"/>
      <c r="X328" s="4"/>
      <c r="Y328" s="4"/>
      <c r="Z328" s="4"/>
      <c r="AA328" s="4"/>
      <c r="AB328" s="4"/>
      <c r="AC328" s="4"/>
      <c r="AD328" s="4"/>
      <c r="AE328" s="4"/>
      <c r="AF328" s="4"/>
      <c r="AG328" s="4"/>
      <c r="AH328" s="4"/>
      <c r="AI328" s="4"/>
      <c r="AJ328" s="4"/>
      <c r="AK328" s="4"/>
      <c r="AL328" s="4"/>
      <c r="AM328" s="4"/>
      <c r="AN328" s="4"/>
    </row>
    <row r="329" spans="1:40" x14ac:dyDescent="0.25">
      <c r="B329" s="87" t="s">
        <v>15</v>
      </c>
      <c r="C329" s="91" t="s">
        <v>261</v>
      </c>
      <c r="D329" s="110"/>
      <c r="E329" s="113" t="s">
        <v>12</v>
      </c>
      <c r="F329" s="26"/>
      <c r="G329" s="25"/>
      <c r="H329" s="23"/>
      <c r="I329" s="4"/>
      <c r="J329" s="4"/>
      <c r="K329" s="4"/>
      <c r="L329" s="4"/>
      <c r="M329" s="4"/>
      <c r="N329" s="4"/>
      <c r="O329" s="4"/>
      <c r="P329" s="4"/>
      <c r="Q329" s="4"/>
      <c r="R329" s="4"/>
      <c r="S329" s="4"/>
      <c r="T329" s="4"/>
      <c r="U329" s="4"/>
      <c r="V329" s="4"/>
      <c r="W329" s="4"/>
      <c r="X329" s="4"/>
      <c r="Y329" s="4"/>
      <c r="Z329" s="4"/>
      <c r="AA329" s="4"/>
      <c r="AB329" s="4"/>
      <c r="AC329" s="4"/>
      <c r="AD329" s="4"/>
      <c r="AE329" s="4"/>
      <c r="AF329" s="4"/>
      <c r="AG329" s="4"/>
      <c r="AH329" s="4"/>
      <c r="AI329" s="4"/>
      <c r="AJ329" s="4"/>
      <c r="AK329" s="4"/>
      <c r="AL329" s="4"/>
      <c r="AM329" s="4"/>
      <c r="AN329" s="4"/>
    </row>
    <row r="330" spans="1:40" x14ac:dyDescent="0.25">
      <c r="B330" s="65"/>
      <c r="C330" s="66"/>
      <c r="D330" s="110"/>
      <c r="E330" s="113" t="s">
        <v>13</v>
      </c>
      <c r="F330" s="115"/>
      <c r="G330" s="25"/>
      <c r="H330" s="23"/>
      <c r="I330" s="4"/>
      <c r="J330" s="4"/>
      <c r="K330" s="4"/>
      <c r="L330" s="4"/>
      <c r="M330" s="4"/>
      <c r="N330" s="4"/>
      <c r="O330" s="4"/>
      <c r="P330" s="4"/>
      <c r="Q330" s="4"/>
      <c r="R330" s="4"/>
      <c r="S330" s="4"/>
      <c r="T330" s="4"/>
      <c r="U330" s="4"/>
      <c r="V330" s="4"/>
      <c r="W330" s="4"/>
      <c r="X330" s="4"/>
      <c r="Y330" s="4"/>
      <c r="Z330" s="4"/>
      <c r="AA330" s="4"/>
      <c r="AB330" s="4"/>
      <c r="AC330" s="4"/>
      <c r="AD330" s="4"/>
      <c r="AE330" s="4"/>
      <c r="AF330" s="4"/>
      <c r="AG330" s="4"/>
      <c r="AH330" s="4"/>
      <c r="AI330" s="4"/>
      <c r="AJ330" s="4"/>
      <c r="AK330" s="4"/>
      <c r="AL330" s="4"/>
      <c r="AM330" s="4"/>
      <c r="AN330" s="4"/>
    </row>
    <row r="331" spans="1:40" x14ac:dyDescent="0.25">
      <c r="B331" s="117"/>
      <c r="C331" s="8"/>
      <c r="D331" s="118"/>
      <c r="E331" s="78"/>
      <c r="F331" s="119" t="s">
        <v>8</v>
      </c>
      <c r="G331" s="18" t="s">
        <v>6</v>
      </c>
      <c r="H331" s="18" t="s">
        <v>7</v>
      </c>
      <c r="I331" s="4"/>
      <c r="J331" s="4"/>
      <c r="K331" s="4"/>
      <c r="L331" s="4"/>
      <c r="M331" s="4"/>
      <c r="N331" s="4"/>
      <c r="O331" s="4"/>
      <c r="P331" s="4"/>
      <c r="Q331" s="4"/>
      <c r="R331" s="4"/>
      <c r="S331" s="4"/>
      <c r="T331" s="4"/>
      <c r="U331" s="4"/>
      <c r="V331" s="4"/>
      <c r="W331" s="4"/>
      <c r="X331" s="4"/>
      <c r="Y331" s="4"/>
      <c r="Z331" s="4"/>
      <c r="AA331" s="4"/>
      <c r="AB331" s="4"/>
      <c r="AC331" s="4"/>
      <c r="AD331" s="4"/>
      <c r="AE331" s="4"/>
      <c r="AF331" s="4"/>
      <c r="AG331" s="4"/>
      <c r="AH331" s="4"/>
      <c r="AI331" s="4"/>
      <c r="AJ331" s="4"/>
      <c r="AK331" s="4"/>
      <c r="AL331" s="4"/>
      <c r="AM331" s="4"/>
      <c r="AN331" s="4"/>
    </row>
    <row r="332" spans="1:40" ht="19.5" x14ac:dyDescent="0.25">
      <c r="B332" s="45"/>
      <c r="C332" s="42"/>
      <c r="D332" s="41"/>
      <c r="E332" s="120"/>
      <c r="F332" s="30" t="str">
        <f>IF(E$331="comprobar",H328+H322+H316+H310+H304+H298+H292+H286+H280+H273,"")</f>
        <v/>
      </c>
      <c r="G332" s="18">
        <f>10/2</f>
        <v>5</v>
      </c>
      <c r="H332" s="18"/>
      <c r="I332" s="4"/>
      <c r="J332" s="4"/>
      <c r="K332" s="4"/>
      <c r="L332" s="4"/>
      <c r="M332" s="4"/>
      <c r="N332" s="4"/>
      <c r="O332" s="4"/>
      <c r="P332" s="4"/>
      <c r="Q332" s="4"/>
      <c r="R332" s="4"/>
      <c r="S332" s="4"/>
      <c r="T332" s="4"/>
      <c r="U332" s="4"/>
      <c r="V332" s="4"/>
      <c r="W332" s="4"/>
      <c r="X332" s="4"/>
      <c r="Y332" s="4"/>
      <c r="Z332" s="4"/>
      <c r="AA332" s="4"/>
      <c r="AB332" s="4"/>
      <c r="AC332" s="4"/>
      <c r="AD332" s="4"/>
      <c r="AE332" s="4"/>
      <c r="AF332" s="4"/>
      <c r="AG332" s="4"/>
      <c r="AH332" s="4"/>
      <c r="AI332" s="4"/>
      <c r="AJ332" s="4"/>
      <c r="AK332" s="4"/>
      <c r="AL332" s="4"/>
      <c r="AM332" s="4"/>
      <c r="AN332" s="4"/>
    </row>
    <row r="333" spans="1:40" ht="16.5" thickBot="1" x14ac:dyDescent="0.3">
      <c r="B333" s="46"/>
      <c r="C333" s="31"/>
      <c r="D333" s="121"/>
      <c r="E333" s="122"/>
      <c r="F333" s="123" t="str">
        <f>IF(F332&gt;G332,G331,H331)</f>
        <v>APROBADO</v>
      </c>
      <c r="G333" s="18"/>
      <c r="H333" s="18"/>
      <c r="I333" s="4"/>
      <c r="J333" s="4"/>
      <c r="K333" s="4"/>
      <c r="L333" s="4"/>
      <c r="M333" s="4"/>
      <c r="N333" s="4"/>
      <c r="O333" s="4"/>
      <c r="P333" s="4"/>
      <c r="Q333" s="4"/>
      <c r="R333" s="4"/>
      <c r="S333" s="4"/>
      <c r="T333" s="4"/>
      <c r="U333" s="4"/>
      <c r="V333" s="4"/>
      <c r="W333" s="4"/>
      <c r="X333" s="4"/>
      <c r="Y333" s="4"/>
      <c r="Z333" s="4"/>
      <c r="AA333" s="4"/>
      <c r="AB333" s="4"/>
      <c r="AC333" s="4"/>
      <c r="AD333" s="4"/>
      <c r="AE333" s="4"/>
      <c r="AF333" s="4"/>
      <c r="AG333" s="4"/>
      <c r="AH333" s="4"/>
      <c r="AI333" s="4"/>
      <c r="AJ333" s="4"/>
      <c r="AK333" s="4"/>
      <c r="AL333" s="4"/>
      <c r="AM333" s="4"/>
      <c r="AN333" s="4"/>
    </row>
    <row r="334" spans="1:40" hidden="1" x14ac:dyDescent="0.25">
      <c r="B334" s="45"/>
      <c r="C334" s="17"/>
      <c r="D334" s="61"/>
      <c r="E334" s="52"/>
      <c r="F334" s="77"/>
      <c r="G334" s="18"/>
      <c r="H334" s="18"/>
      <c r="I334" s="4"/>
      <c r="J334" s="4"/>
      <c r="K334" s="4"/>
      <c r="L334" s="4"/>
      <c r="M334" s="4"/>
      <c r="N334" s="4"/>
      <c r="O334" s="4"/>
      <c r="P334" s="4"/>
      <c r="Q334" s="4"/>
      <c r="R334" s="4"/>
      <c r="S334" s="4"/>
      <c r="T334" s="4"/>
      <c r="U334" s="4"/>
      <c r="V334" s="4"/>
      <c r="W334" s="4"/>
      <c r="X334" s="4"/>
      <c r="Y334" s="4"/>
      <c r="Z334" s="4"/>
      <c r="AA334" s="4"/>
      <c r="AB334" s="4"/>
      <c r="AC334" s="4"/>
      <c r="AD334" s="4"/>
      <c r="AE334" s="4"/>
      <c r="AF334" s="4"/>
      <c r="AG334" s="4"/>
      <c r="AH334" s="4"/>
      <c r="AI334" s="4"/>
      <c r="AJ334" s="4"/>
      <c r="AK334" s="4"/>
      <c r="AL334" s="4"/>
      <c r="AM334" s="4"/>
      <c r="AN334" s="4"/>
    </row>
    <row r="335" spans="1:40" ht="16.5" hidden="1" thickBot="1" x14ac:dyDescent="0.3">
      <c r="B335" s="45"/>
      <c r="C335" s="17"/>
      <c r="D335" s="61"/>
      <c r="E335" s="52"/>
      <c r="F335" s="77"/>
      <c r="G335" s="18"/>
      <c r="H335" s="18"/>
      <c r="I335" s="4"/>
      <c r="J335" s="4"/>
      <c r="K335" s="4"/>
      <c r="L335" s="4"/>
      <c r="M335" s="4"/>
      <c r="N335" s="4"/>
      <c r="O335" s="4"/>
      <c r="P335" s="4"/>
      <c r="Q335" s="4"/>
      <c r="R335" s="4"/>
      <c r="S335" s="4"/>
      <c r="T335" s="4"/>
      <c r="U335" s="4"/>
      <c r="V335" s="4"/>
      <c r="W335" s="4"/>
      <c r="X335" s="4"/>
      <c r="Y335" s="4"/>
      <c r="Z335" s="4"/>
      <c r="AA335" s="4"/>
      <c r="AB335" s="4"/>
      <c r="AC335" s="4"/>
      <c r="AD335" s="4"/>
      <c r="AE335" s="4"/>
      <c r="AF335" s="4"/>
      <c r="AG335" s="4"/>
      <c r="AH335" s="4"/>
      <c r="AI335" s="4"/>
      <c r="AJ335" s="4"/>
      <c r="AK335" s="4"/>
      <c r="AL335" s="4"/>
      <c r="AM335" s="4"/>
      <c r="AN335" s="4"/>
    </row>
    <row r="336" spans="1:40" ht="28.5" x14ac:dyDescent="0.45">
      <c r="B336" s="62" t="s">
        <v>17</v>
      </c>
      <c r="C336" s="129" t="s">
        <v>262</v>
      </c>
      <c r="D336" s="84"/>
      <c r="E336" s="84"/>
      <c r="F336" s="85"/>
      <c r="I336" s="4"/>
      <c r="J336" s="4"/>
      <c r="K336" s="4"/>
      <c r="L336" s="4"/>
      <c r="M336" s="4"/>
      <c r="N336" s="4"/>
      <c r="O336" s="4"/>
      <c r="P336" s="4"/>
      <c r="Q336" s="4"/>
      <c r="R336" s="4"/>
      <c r="S336" s="4"/>
      <c r="T336" s="4"/>
      <c r="U336" s="4"/>
      <c r="V336" s="4"/>
      <c r="W336" s="4"/>
      <c r="X336" s="4"/>
      <c r="Y336" s="4"/>
      <c r="Z336" s="4"/>
      <c r="AA336" s="4"/>
      <c r="AB336" s="4"/>
      <c r="AC336" s="4"/>
      <c r="AD336" s="4"/>
      <c r="AE336" s="4"/>
      <c r="AF336" s="4"/>
      <c r="AG336" s="4"/>
      <c r="AH336" s="4"/>
      <c r="AI336" s="4"/>
      <c r="AJ336" s="4"/>
      <c r="AK336" s="4"/>
      <c r="AL336" s="4"/>
      <c r="AM336" s="4"/>
      <c r="AN336" s="4"/>
    </row>
    <row r="337" spans="1:40" s="16" customFormat="1" ht="18.95" customHeight="1" x14ac:dyDescent="0.25">
      <c r="A337" s="4"/>
      <c r="B337" s="140" t="s">
        <v>64</v>
      </c>
      <c r="C337" s="165" t="s">
        <v>625</v>
      </c>
      <c r="D337" s="40"/>
      <c r="E337" s="53"/>
      <c r="F337" s="28"/>
      <c r="G337" s="14"/>
      <c r="H337" s="14"/>
    </row>
    <row r="338" spans="1:40" x14ac:dyDescent="0.25">
      <c r="B338" s="87" t="s">
        <v>15</v>
      </c>
      <c r="C338" s="64" t="s">
        <v>263</v>
      </c>
      <c r="D338" s="39"/>
      <c r="E338" s="54" t="s">
        <v>9</v>
      </c>
      <c r="F338" s="26"/>
      <c r="G338" s="18"/>
      <c r="H338" s="20" t="b">
        <f>IF(D340="x",H$2,H$1)</f>
        <v>0</v>
      </c>
      <c r="I338" s="4"/>
      <c r="J338" s="4"/>
      <c r="K338" s="4"/>
      <c r="L338" s="4"/>
      <c r="M338" s="4"/>
      <c r="N338" s="4"/>
      <c r="O338" s="4"/>
      <c r="P338" s="4"/>
      <c r="Q338" s="4"/>
      <c r="R338" s="4"/>
      <c r="S338" s="4"/>
      <c r="T338" s="4"/>
      <c r="U338" s="4"/>
      <c r="V338" s="4"/>
      <c r="W338" s="4"/>
      <c r="X338" s="4"/>
      <c r="Y338" s="4"/>
      <c r="Z338" s="4"/>
      <c r="AA338" s="4"/>
      <c r="AB338" s="4"/>
      <c r="AC338" s="4"/>
      <c r="AD338" s="4"/>
      <c r="AE338" s="4"/>
      <c r="AF338" s="4"/>
      <c r="AG338" s="4"/>
      <c r="AH338" s="4"/>
      <c r="AI338" s="4"/>
      <c r="AJ338" s="4"/>
      <c r="AK338" s="4"/>
      <c r="AL338" s="4"/>
      <c r="AM338" s="4"/>
      <c r="AN338" s="4"/>
    </row>
    <row r="339" spans="1:40" ht="15.95" customHeight="1" x14ac:dyDescent="0.25">
      <c r="B339" s="87" t="s">
        <v>15</v>
      </c>
      <c r="C339" s="91" t="s">
        <v>264</v>
      </c>
      <c r="D339" s="39"/>
      <c r="E339" s="54" t="s">
        <v>10</v>
      </c>
      <c r="F339" s="21" t="str">
        <f>IF(H340=1,IF(H338=H$2,H338,""),"")</f>
        <v/>
      </c>
      <c r="G339" s="18"/>
      <c r="H339" s="20" t="str">
        <f>IF(E397="comprobar",COUNTIF(D338:D342,"x"),"")</f>
        <v/>
      </c>
      <c r="I339" s="4"/>
      <c r="J339" s="4"/>
      <c r="K339" s="4"/>
      <c r="L339" s="4"/>
      <c r="M339" s="4"/>
      <c r="N339" s="4"/>
      <c r="O339" s="4"/>
      <c r="P339" s="4"/>
      <c r="Q339" s="4"/>
      <c r="R339" s="4"/>
      <c r="S339" s="4"/>
      <c r="T339" s="4"/>
      <c r="U339" s="4"/>
      <c r="V339" s="4"/>
      <c r="W339" s="4"/>
      <c r="X339" s="4"/>
      <c r="Y339" s="4"/>
      <c r="Z339" s="4"/>
      <c r="AA339" s="4"/>
      <c r="AB339" s="4"/>
      <c r="AC339" s="4"/>
      <c r="AD339" s="4"/>
      <c r="AE339" s="4"/>
      <c r="AF339" s="4"/>
      <c r="AG339" s="4"/>
      <c r="AH339" s="4"/>
      <c r="AI339" s="4"/>
      <c r="AJ339" s="4"/>
      <c r="AK339" s="4"/>
      <c r="AL339" s="4"/>
      <c r="AM339" s="4"/>
      <c r="AN339" s="4"/>
    </row>
    <row r="340" spans="1:40" ht="18.95" customHeight="1" x14ac:dyDescent="0.25">
      <c r="B340" s="87" t="s">
        <v>15</v>
      </c>
      <c r="C340" s="91" t="s">
        <v>265</v>
      </c>
      <c r="D340" s="39"/>
      <c r="E340" s="54" t="s">
        <v>11</v>
      </c>
      <c r="F340" s="22" t="str">
        <f>IF(H340=-0.33,IF(H338=H$1,H338,""),"")</f>
        <v/>
      </c>
      <c r="G340" s="18"/>
      <c r="H340" s="23">
        <f>IF(H339=1,IF(H338=H$2,1,-0.33),0)</f>
        <v>0</v>
      </c>
      <c r="I340" s="4"/>
      <c r="J340" s="4"/>
      <c r="K340" s="4"/>
      <c r="L340" s="4"/>
      <c r="M340" s="4"/>
      <c r="N340" s="4"/>
      <c r="O340" s="4"/>
      <c r="P340" s="4"/>
      <c r="Q340" s="4"/>
      <c r="R340" s="4"/>
      <c r="S340" s="4"/>
      <c r="T340" s="4"/>
      <c r="U340" s="4"/>
      <c r="V340" s="4"/>
      <c r="W340" s="4"/>
      <c r="X340" s="4"/>
      <c r="Y340" s="4"/>
      <c r="Z340" s="4"/>
      <c r="AA340" s="4"/>
      <c r="AB340" s="4"/>
      <c r="AC340" s="4"/>
      <c r="AD340" s="4"/>
      <c r="AE340" s="4"/>
      <c r="AF340" s="4"/>
      <c r="AG340" s="4"/>
      <c r="AH340" s="4"/>
      <c r="AI340" s="4"/>
      <c r="AJ340" s="4"/>
      <c r="AK340" s="4"/>
      <c r="AL340" s="4"/>
      <c r="AM340" s="4"/>
      <c r="AN340" s="4"/>
    </row>
    <row r="341" spans="1:40" x14ac:dyDescent="0.25">
      <c r="B341" s="87" t="s">
        <v>15</v>
      </c>
      <c r="C341" s="91" t="s">
        <v>266</v>
      </c>
      <c r="D341" s="39"/>
      <c r="E341" s="54" t="s">
        <v>12</v>
      </c>
      <c r="F341" s="26"/>
      <c r="G341" s="18"/>
      <c r="H341" s="23"/>
      <c r="I341" s="4"/>
      <c r="J341" s="4"/>
      <c r="K341" s="4"/>
      <c r="L341" s="4"/>
      <c r="M341" s="4"/>
      <c r="N341" s="4"/>
      <c r="O341" s="4"/>
      <c r="P341" s="4"/>
      <c r="Q341" s="4"/>
      <c r="R341" s="4"/>
      <c r="S341" s="4"/>
      <c r="T341" s="4"/>
      <c r="U341" s="4"/>
      <c r="V341" s="4"/>
      <c r="W341" s="4"/>
      <c r="X341" s="4"/>
      <c r="Y341" s="4"/>
      <c r="Z341" s="4"/>
      <c r="AA341" s="4"/>
      <c r="AB341" s="4"/>
      <c r="AC341" s="4"/>
      <c r="AD341" s="4"/>
      <c r="AE341" s="4"/>
      <c r="AF341" s="4"/>
      <c r="AG341" s="4"/>
      <c r="AH341" s="4"/>
      <c r="AI341" s="4"/>
      <c r="AJ341" s="4"/>
      <c r="AK341" s="4"/>
      <c r="AL341" s="4"/>
      <c r="AM341" s="4"/>
      <c r="AN341" s="4"/>
    </row>
    <row r="342" spans="1:40" x14ac:dyDescent="0.25">
      <c r="B342" s="45"/>
      <c r="C342" s="64"/>
      <c r="D342" s="39"/>
      <c r="E342" s="54" t="s">
        <v>13</v>
      </c>
      <c r="F342" s="19"/>
      <c r="G342" s="18"/>
      <c r="H342" s="23"/>
      <c r="I342" s="4"/>
      <c r="J342" s="4"/>
      <c r="K342" s="4"/>
      <c r="L342" s="4"/>
      <c r="M342" s="4"/>
      <c r="N342" s="4"/>
      <c r="O342" s="4"/>
      <c r="P342" s="4"/>
      <c r="Q342" s="4"/>
      <c r="R342" s="4"/>
      <c r="S342" s="4"/>
      <c r="T342" s="4"/>
      <c r="U342" s="4"/>
      <c r="V342" s="4"/>
      <c r="W342" s="4"/>
      <c r="X342" s="4"/>
      <c r="Y342" s="4"/>
      <c r="Z342" s="4"/>
      <c r="AA342" s="4"/>
      <c r="AB342" s="4"/>
      <c r="AC342" s="4"/>
      <c r="AD342" s="4"/>
      <c r="AE342" s="4"/>
      <c r="AF342" s="4"/>
      <c r="AG342" s="4"/>
      <c r="AH342" s="4"/>
      <c r="AI342" s="4"/>
      <c r="AJ342" s="4"/>
      <c r="AK342" s="4"/>
      <c r="AL342" s="4"/>
      <c r="AM342" s="4"/>
      <c r="AN342" s="4"/>
    </row>
    <row r="343" spans="1:40" s="16" customFormat="1" ht="18.95" customHeight="1" x14ac:dyDescent="0.25">
      <c r="A343" s="4"/>
      <c r="B343" s="140" t="s">
        <v>170</v>
      </c>
      <c r="C343" s="165" t="s">
        <v>267</v>
      </c>
      <c r="D343" s="40"/>
      <c r="E343" s="53"/>
      <c r="F343" s="28"/>
      <c r="G343" s="14"/>
      <c r="H343" s="14"/>
    </row>
    <row r="344" spans="1:40" x14ac:dyDescent="0.25">
      <c r="B344" s="87" t="s">
        <v>15</v>
      </c>
      <c r="C344" s="64" t="s">
        <v>268</v>
      </c>
      <c r="D344" s="39"/>
      <c r="E344" s="54" t="s">
        <v>9</v>
      </c>
      <c r="F344" s="26"/>
      <c r="G344" s="18"/>
      <c r="H344" s="20" t="b">
        <f>IF(D344="x",H$2,H$1)</f>
        <v>0</v>
      </c>
      <c r="I344" s="4"/>
      <c r="J344" s="4"/>
      <c r="K344" s="4"/>
      <c r="L344" s="4"/>
      <c r="M344" s="4"/>
      <c r="N344" s="4"/>
      <c r="O344" s="4"/>
      <c r="P344" s="4"/>
      <c r="Q344" s="4"/>
      <c r="R344" s="4"/>
      <c r="S344" s="4"/>
      <c r="T344" s="4"/>
      <c r="U344" s="4"/>
      <c r="V344" s="4"/>
      <c r="W344" s="4"/>
      <c r="X344" s="4"/>
      <c r="Y344" s="4"/>
      <c r="Z344" s="4"/>
      <c r="AA344" s="4"/>
      <c r="AB344" s="4"/>
      <c r="AC344" s="4"/>
      <c r="AD344" s="4"/>
      <c r="AE344" s="4"/>
      <c r="AF344" s="4"/>
      <c r="AG344" s="4"/>
      <c r="AH344" s="4"/>
      <c r="AI344" s="4"/>
      <c r="AJ344" s="4"/>
      <c r="AK344" s="4"/>
      <c r="AL344" s="4"/>
      <c r="AM344" s="4"/>
      <c r="AN344" s="4"/>
    </row>
    <row r="345" spans="1:40" x14ac:dyDescent="0.25">
      <c r="B345" s="87" t="s">
        <v>15</v>
      </c>
      <c r="C345" s="91" t="s">
        <v>269</v>
      </c>
      <c r="D345" s="39"/>
      <c r="E345" s="54" t="s">
        <v>10</v>
      </c>
      <c r="F345" s="21" t="str">
        <f>IF(H346=1,IF(H344=H$2,H344,""),"")</f>
        <v/>
      </c>
      <c r="G345" s="18"/>
      <c r="H345" s="20" t="str">
        <f>IF(E$397="comprobar",COUNTIF(D344:D348,"x"),"")</f>
        <v/>
      </c>
      <c r="I345" s="4"/>
      <c r="J345" s="4"/>
      <c r="K345" s="4"/>
      <c r="L345" s="4"/>
      <c r="M345" s="4"/>
      <c r="N345" s="4"/>
      <c r="O345" s="4"/>
      <c r="P345" s="4"/>
      <c r="Q345" s="4"/>
      <c r="R345" s="4"/>
      <c r="S345" s="4"/>
      <c r="T345" s="4"/>
      <c r="U345" s="4"/>
      <c r="V345" s="4"/>
      <c r="W345" s="4"/>
      <c r="X345" s="4"/>
      <c r="Y345" s="4"/>
      <c r="Z345" s="4"/>
      <c r="AA345" s="4"/>
      <c r="AB345" s="4"/>
      <c r="AC345" s="4"/>
      <c r="AD345" s="4"/>
      <c r="AE345" s="4"/>
      <c r="AF345" s="4"/>
      <c r="AG345" s="4"/>
      <c r="AH345" s="4"/>
      <c r="AI345" s="4"/>
      <c r="AJ345" s="4"/>
      <c r="AK345" s="4"/>
      <c r="AL345" s="4"/>
      <c r="AM345" s="4"/>
      <c r="AN345" s="4"/>
    </row>
    <row r="346" spans="1:40" x14ac:dyDescent="0.25">
      <c r="B346" s="87" t="s">
        <v>15</v>
      </c>
      <c r="C346" s="91" t="s">
        <v>270</v>
      </c>
      <c r="D346" s="39"/>
      <c r="E346" s="54" t="s">
        <v>11</v>
      </c>
      <c r="F346" s="22" t="str">
        <f>IF(H346=-0.33,IF(H344=H$1,H344,""),"")</f>
        <v/>
      </c>
      <c r="G346" s="18"/>
      <c r="H346" s="23">
        <f t="shared" ref="H346" si="30">IF(H345=1,IF(H344=H$2,1,-0.33),0)</f>
        <v>0</v>
      </c>
      <c r="I346" s="4"/>
      <c r="J346" s="4"/>
      <c r="K346" s="4"/>
      <c r="L346" s="4"/>
      <c r="M346" s="4"/>
      <c r="N346" s="4"/>
      <c r="O346" s="4"/>
      <c r="P346" s="4"/>
      <c r="Q346" s="4"/>
      <c r="R346" s="4"/>
      <c r="S346" s="4"/>
      <c r="T346" s="4"/>
      <c r="U346" s="4"/>
      <c r="V346" s="4"/>
      <c r="W346" s="4"/>
      <c r="X346" s="4"/>
      <c r="Y346" s="4"/>
      <c r="Z346" s="4"/>
      <c r="AA346" s="4"/>
      <c r="AB346" s="4"/>
      <c r="AC346" s="4"/>
      <c r="AD346" s="4"/>
      <c r="AE346" s="4"/>
      <c r="AF346" s="4"/>
      <c r="AG346" s="4"/>
      <c r="AH346" s="4"/>
      <c r="AI346" s="4"/>
      <c r="AJ346" s="4"/>
      <c r="AK346" s="4"/>
      <c r="AL346" s="4"/>
      <c r="AM346" s="4"/>
      <c r="AN346" s="4"/>
    </row>
    <row r="347" spans="1:40" x14ac:dyDescent="0.25">
      <c r="B347" s="87" t="s">
        <v>15</v>
      </c>
      <c r="C347" s="91" t="s">
        <v>271</v>
      </c>
      <c r="D347" s="39"/>
      <c r="E347" s="54" t="s">
        <v>12</v>
      </c>
      <c r="F347" s="26"/>
      <c r="G347" s="18"/>
      <c r="H347" s="23"/>
      <c r="I347" s="4"/>
      <c r="J347" s="4"/>
      <c r="K347" s="4"/>
      <c r="L347" s="4"/>
      <c r="M347" s="4"/>
      <c r="N347" s="4"/>
      <c r="O347" s="4"/>
      <c r="P347" s="4"/>
      <c r="Q347" s="4"/>
      <c r="R347" s="4"/>
      <c r="S347" s="4"/>
      <c r="T347" s="4"/>
      <c r="U347" s="4"/>
      <c r="V347" s="4"/>
      <c r="W347" s="4"/>
      <c r="X347" s="4"/>
      <c r="Y347" s="4"/>
      <c r="Z347" s="4"/>
      <c r="AA347" s="4"/>
      <c r="AB347" s="4"/>
      <c r="AC347" s="4"/>
      <c r="AD347" s="4"/>
      <c r="AE347" s="4"/>
      <c r="AF347" s="4"/>
      <c r="AG347" s="4"/>
      <c r="AH347" s="4"/>
      <c r="AI347" s="4"/>
      <c r="AJ347" s="4"/>
      <c r="AK347" s="4"/>
      <c r="AL347" s="4"/>
      <c r="AM347" s="4"/>
      <c r="AN347" s="4"/>
    </row>
    <row r="348" spans="1:40" x14ac:dyDescent="0.25">
      <c r="B348" s="45"/>
      <c r="C348" s="64"/>
      <c r="D348" s="39"/>
      <c r="E348" s="54" t="s">
        <v>13</v>
      </c>
      <c r="F348" s="19"/>
      <c r="G348" s="18"/>
      <c r="H348" s="23"/>
      <c r="I348" s="4"/>
      <c r="J348" s="4"/>
      <c r="K348" s="4"/>
      <c r="L348" s="4"/>
      <c r="M348" s="4"/>
      <c r="N348" s="4"/>
      <c r="O348" s="4"/>
      <c r="P348" s="4"/>
      <c r="Q348" s="4"/>
      <c r="R348" s="4"/>
      <c r="S348" s="4"/>
      <c r="T348" s="4"/>
      <c r="U348" s="4"/>
      <c r="V348" s="4"/>
      <c r="W348" s="4"/>
      <c r="X348" s="4"/>
      <c r="Y348" s="4"/>
      <c r="Z348" s="4"/>
      <c r="AA348" s="4"/>
      <c r="AB348" s="4"/>
      <c r="AC348" s="4"/>
      <c r="AD348" s="4"/>
      <c r="AE348" s="4"/>
      <c r="AF348" s="4"/>
      <c r="AG348" s="4"/>
      <c r="AH348" s="4"/>
      <c r="AI348" s="4"/>
      <c r="AJ348" s="4"/>
      <c r="AK348" s="4"/>
      <c r="AL348" s="4"/>
      <c r="AM348" s="4"/>
      <c r="AN348" s="4"/>
    </row>
    <row r="349" spans="1:40" s="16" customFormat="1" ht="18.95" customHeight="1" x14ac:dyDescent="0.25">
      <c r="A349" s="4"/>
      <c r="B349" s="140" t="s">
        <v>273</v>
      </c>
      <c r="C349" s="165" t="s">
        <v>272</v>
      </c>
      <c r="D349" s="40"/>
      <c r="E349" s="53"/>
      <c r="F349" s="28"/>
      <c r="G349" s="14"/>
      <c r="H349" s="14"/>
    </row>
    <row r="350" spans="1:40" x14ac:dyDescent="0.25">
      <c r="B350" s="87" t="s">
        <v>15</v>
      </c>
      <c r="C350" s="64" t="s">
        <v>274</v>
      </c>
      <c r="D350" s="39"/>
      <c r="E350" s="54" t="s">
        <v>9</v>
      </c>
      <c r="F350" s="26"/>
      <c r="G350" s="18"/>
      <c r="H350" s="20" t="b">
        <f>IF(D350="x",H$2,H$1)</f>
        <v>0</v>
      </c>
      <c r="I350" s="4"/>
      <c r="J350" s="4"/>
      <c r="K350" s="4"/>
      <c r="L350" s="4"/>
      <c r="M350" s="4"/>
      <c r="N350" s="4"/>
      <c r="O350" s="4"/>
      <c r="P350" s="4"/>
      <c r="Q350" s="4"/>
      <c r="R350" s="4"/>
      <c r="S350" s="4"/>
      <c r="T350" s="4"/>
      <c r="U350" s="4"/>
      <c r="V350" s="4"/>
      <c r="W350" s="4"/>
      <c r="X350" s="4"/>
      <c r="Y350" s="4"/>
      <c r="Z350" s="4"/>
      <c r="AA350" s="4"/>
      <c r="AB350" s="4"/>
      <c r="AC350" s="4"/>
      <c r="AD350" s="4"/>
      <c r="AE350" s="4"/>
      <c r="AF350" s="4"/>
      <c r="AG350" s="4"/>
      <c r="AH350" s="4"/>
      <c r="AI350" s="4"/>
      <c r="AJ350" s="4"/>
      <c r="AK350" s="4"/>
      <c r="AL350" s="4"/>
      <c r="AM350" s="4"/>
      <c r="AN350" s="4"/>
    </row>
    <row r="351" spans="1:40" x14ac:dyDescent="0.25">
      <c r="B351" s="87" t="s">
        <v>15</v>
      </c>
      <c r="C351" s="91" t="s">
        <v>275</v>
      </c>
      <c r="D351" s="39"/>
      <c r="E351" s="54" t="s">
        <v>10</v>
      </c>
      <c r="F351" s="21" t="str">
        <f>IF(H352=1,IF(H350=H$2,H350,""),"")</f>
        <v/>
      </c>
      <c r="G351" s="18"/>
      <c r="H351" s="20" t="str">
        <f>IF(E$397="comprobar",COUNTIF(D350:D354,"x"),"")</f>
        <v/>
      </c>
      <c r="I351" s="4"/>
      <c r="J351" s="4"/>
      <c r="K351" s="4"/>
      <c r="L351" s="4"/>
      <c r="M351" s="4"/>
      <c r="N351" s="4"/>
      <c r="O351" s="4"/>
      <c r="P351" s="4"/>
      <c r="Q351" s="4"/>
      <c r="R351" s="4"/>
      <c r="S351" s="4"/>
      <c r="T351" s="4"/>
      <c r="U351" s="4"/>
      <c r="V351" s="4"/>
      <c r="W351" s="4"/>
      <c r="X351" s="4"/>
      <c r="Y351" s="4"/>
      <c r="Z351" s="4"/>
      <c r="AA351" s="4"/>
      <c r="AB351" s="4"/>
      <c r="AC351" s="4"/>
      <c r="AD351" s="4"/>
      <c r="AE351" s="4"/>
      <c r="AF351" s="4"/>
      <c r="AG351" s="4"/>
      <c r="AH351" s="4"/>
      <c r="AI351" s="4"/>
      <c r="AJ351" s="4"/>
      <c r="AK351" s="4"/>
      <c r="AL351" s="4"/>
      <c r="AM351" s="4"/>
      <c r="AN351" s="4"/>
    </row>
    <row r="352" spans="1:40" x14ac:dyDescent="0.25">
      <c r="B352" s="87" t="s">
        <v>15</v>
      </c>
      <c r="C352" s="91" t="s">
        <v>276</v>
      </c>
      <c r="D352" s="39"/>
      <c r="E352" s="54" t="s">
        <v>11</v>
      </c>
      <c r="F352" s="22" t="str">
        <f>IF(H352=-0.33,IF(H350=H$1,H350,""),"")</f>
        <v/>
      </c>
      <c r="G352" s="18"/>
      <c r="H352" s="23">
        <f t="shared" ref="H352" si="31">IF(H351=1,IF(H350=H$2,1,-0.33),0)</f>
        <v>0</v>
      </c>
      <c r="I352" s="4"/>
      <c r="J352" s="4"/>
      <c r="K352" s="4"/>
      <c r="L352" s="4"/>
      <c r="M352" s="4"/>
      <c r="N352" s="4"/>
      <c r="O352" s="4"/>
      <c r="P352" s="4"/>
      <c r="Q352" s="4"/>
      <c r="R352" s="4"/>
      <c r="S352" s="4"/>
      <c r="T352" s="4"/>
      <c r="U352" s="4"/>
      <c r="V352" s="4"/>
      <c r="W352" s="4"/>
      <c r="X352" s="4"/>
      <c r="Y352" s="4"/>
      <c r="Z352" s="4"/>
      <c r="AA352" s="4"/>
      <c r="AB352" s="4"/>
      <c r="AC352" s="4"/>
      <c r="AD352" s="4"/>
      <c r="AE352" s="4"/>
      <c r="AF352" s="4"/>
      <c r="AG352" s="4"/>
      <c r="AH352" s="4"/>
      <c r="AI352" s="4"/>
      <c r="AJ352" s="4"/>
      <c r="AK352" s="4"/>
      <c r="AL352" s="4"/>
      <c r="AM352" s="4"/>
      <c r="AN352" s="4"/>
    </row>
    <row r="353" spans="1:40" x14ac:dyDescent="0.25">
      <c r="B353" s="87" t="s">
        <v>15</v>
      </c>
      <c r="C353" s="91" t="s">
        <v>277</v>
      </c>
      <c r="D353" s="39"/>
      <c r="E353" s="54" t="s">
        <v>12</v>
      </c>
      <c r="F353" s="26"/>
      <c r="G353" s="18"/>
      <c r="H353" s="23"/>
      <c r="I353" s="4"/>
      <c r="J353" s="4"/>
      <c r="K353" s="4"/>
      <c r="L353" s="4"/>
      <c r="M353" s="4"/>
      <c r="N353" s="4"/>
      <c r="O353" s="4"/>
      <c r="P353" s="4"/>
      <c r="Q353" s="4"/>
      <c r="R353" s="4"/>
      <c r="S353" s="4"/>
      <c r="T353" s="4"/>
      <c r="U353" s="4"/>
      <c r="V353" s="4"/>
      <c r="W353" s="4"/>
      <c r="X353" s="4"/>
      <c r="Y353" s="4"/>
      <c r="Z353" s="4"/>
      <c r="AA353" s="4"/>
      <c r="AB353" s="4"/>
      <c r="AC353" s="4"/>
      <c r="AD353" s="4"/>
      <c r="AE353" s="4"/>
      <c r="AF353" s="4"/>
      <c r="AG353" s="4"/>
      <c r="AH353" s="4"/>
      <c r="AI353" s="4"/>
      <c r="AJ353" s="4"/>
      <c r="AK353" s="4"/>
      <c r="AL353" s="4"/>
      <c r="AM353" s="4"/>
      <c r="AN353" s="4"/>
    </row>
    <row r="354" spans="1:40" x14ac:dyDescent="0.25">
      <c r="B354" s="45"/>
      <c r="C354" s="64"/>
      <c r="D354" s="39"/>
      <c r="E354" s="54" t="s">
        <v>13</v>
      </c>
      <c r="F354" s="19"/>
      <c r="G354" s="18"/>
      <c r="H354" s="23"/>
      <c r="I354" s="4"/>
      <c r="J354" s="4"/>
      <c r="K354" s="4"/>
      <c r="L354" s="4"/>
      <c r="M354" s="4"/>
      <c r="N354" s="4"/>
      <c r="O354" s="4"/>
      <c r="P354" s="4"/>
      <c r="Q354" s="4"/>
      <c r="R354" s="4"/>
      <c r="S354" s="4"/>
      <c r="T354" s="4"/>
      <c r="U354" s="4"/>
      <c r="V354" s="4"/>
      <c r="W354" s="4"/>
      <c r="X354" s="4"/>
      <c r="Y354" s="4"/>
      <c r="Z354" s="4"/>
      <c r="AA354" s="4"/>
      <c r="AB354" s="4"/>
      <c r="AC354" s="4"/>
      <c r="AD354" s="4"/>
      <c r="AE354" s="4"/>
      <c r="AF354" s="4"/>
      <c r="AG354" s="4"/>
      <c r="AH354" s="4"/>
      <c r="AI354" s="4"/>
      <c r="AJ354" s="4"/>
      <c r="AK354" s="4"/>
      <c r="AL354" s="4"/>
      <c r="AM354" s="4"/>
      <c r="AN354" s="4"/>
    </row>
    <row r="355" spans="1:40" s="16" customFormat="1" ht="15.95" customHeight="1" x14ac:dyDescent="0.25">
      <c r="A355" s="4"/>
      <c r="B355" s="140" t="s">
        <v>75</v>
      </c>
      <c r="C355" s="165" t="s">
        <v>278</v>
      </c>
      <c r="D355" s="40"/>
      <c r="E355" s="53"/>
      <c r="F355" s="28"/>
      <c r="G355" s="14"/>
      <c r="H355" s="14"/>
    </row>
    <row r="356" spans="1:40" x14ac:dyDescent="0.25">
      <c r="B356" s="87" t="s">
        <v>15</v>
      </c>
      <c r="C356" s="64" t="s">
        <v>279</v>
      </c>
      <c r="D356" s="39"/>
      <c r="E356" s="54" t="s">
        <v>9</v>
      </c>
      <c r="F356" s="26"/>
      <c r="G356" s="18"/>
      <c r="H356" s="20" t="b">
        <f>IF(D357="x",H$2,H$1)</f>
        <v>0</v>
      </c>
      <c r="I356" s="4"/>
      <c r="J356" s="4"/>
      <c r="K356" s="4"/>
      <c r="L356" s="4"/>
      <c r="M356" s="4"/>
      <c r="N356" s="4"/>
      <c r="O356" s="4"/>
      <c r="P356" s="4"/>
      <c r="Q356" s="4"/>
      <c r="R356" s="4"/>
      <c r="S356" s="4"/>
      <c r="T356" s="4"/>
      <c r="U356" s="4"/>
      <c r="V356" s="4"/>
      <c r="W356" s="4"/>
      <c r="X356" s="4"/>
      <c r="Y356" s="4"/>
      <c r="Z356" s="4"/>
      <c r="AA356" s="4"/>
      <c r="AB356" s="4"/>
      <c r="AC356" s="4"/>
      <c r="AD356" s="4"/>
      <c r="AE356" s="4"/>
      <c r="AF356" s="4"/>
      <c r="AG356" s="4"/>
      <c r="AH356" s="4"/>
      <c r="AI356" s="4"/>
      <c r="AJ356" s="4"/>
      <c r="AK356" s="4"/>
      <c r="AL356" s="4"/>
      <c r="AM356" s="4"/>
      <c r="AN356" s="4"/>
    </row>
    <row r="357" spans="1:40" x14ac:dyDescent="0.25">
      <c r="B357" s="87" t="s">
        <v>15</v>
      </c>
      <c r="C357" s="91" t="s">
        <v>280</v>
      </c>
      <c r="D357" s="39"/>
      <c r="E357" s="54" t="s">
        <v>10</v>
      </c>
      <c r="F357" s="21" t="str">
        <f>IF(H358=1,IF(H356=H$2,H356,""),"")</f>
        <v/>
      </c>
      <c r="G357" s="18"/>
      <c r="H357" s="20" t="str">
        <f>IF(E$397="comprobar",COUNTIF(D356:D360,"x"),"")</f>
        <v/>
      </c>
      <c r="I357" s="4"/>
      <c r="J357" s="4"/>
      <c r="K357" s="4"/>
      <c r="L357" s="4"/>
      <c r="M357" s="4"/>
      <c r="N357" s="4"/>
      <c r="O357" s="4"/>
      <c r="P357" s="4"/>
      <c r="Q357" s="4"/>
      <c r="R357" s="4"/>
      <c r="S357" s="4"/>
      <c r="T357" s="4"/>
      <c r="U357" s="4"/>
      <c r="V357" s="4"/>
      <c r="W357" s="4"/>
      <c r="X357" s="4"/>
      <c r="Y357" s="4"/>
      <c r="Z357" s="4"/>
      <c r="AA357" s="4"/>
      <c r="AB357" s="4"/>
      <c r="AC357" s="4"/>
      <c r="AD357" s="4"/>
      <c r="AE357" s="4"/>
      <c r="AF357" s="4"/>
      <c r="AG357" s="4"/>
      <c r="AH357" s="4"/>
      <c r="AI357" s="4"/>
      <c r="AJ357" s="4"/>
      <c r="AK357" s="4"/>
      <c r="AL357" s="4"/>
      <c r="AM357" s="4"/>
      <c r="AN357" s="4"/>
    </row>
    <row r="358" spans="1:40" x14ac:dyDescent="0.25">
      <c r="B358" s="87" t="s">
        <v>15</v>
      </c>
      <c r="C358" s="91" t="s">
        <v>281</v>
      </c>
      <c r="D358" s="39"/>
      <c r="E358" s="54" t="s">
        <v>11</v>
      </c>
      <c r="F358" s="22" t="str">
        <f>IF(H358=-0.33,IF(H356=H$1,H356,""),"")</f>
        <v/>
      </c>
      <c r="G358" s="18"/>
      <c r="H358" s="23">
        <f t="shared" ref="H358" si="32">IF(H357=1,IF(H356=H$2,1,-0.33),0)</f>
        <v>0</v>
      </c>
      <c r="I358" s="4"/>
      <c r="J358" s="4"/>
      <c r="K358" s="4"/>
      <c r="L358" s="4"/>
      <c r="M358" s="4"/>
      <c r="N358" s="4"/>
      <c r="O358" s="4"/>
      <c r="P358" s="4"/>
      <c r="Q358" s="4"/>
      <c r="R358" s="4"/>
      <c r="S358" s="4"/>
      <c r="T358" s="4"/>
      <c r="U358" s="4"/>
      <c r="V358" s="4"/>
      <c r="W358" s="4"/>
      <c r="X358" s="4"/>
      <c r="Y358" s="4"/>
      <c r="Z358" s="4"/>
      <c r="AA358" s="4"/>
      <c r="AB358" s="4"/>
      <c r="AC358" s="4"/>
      <c r="AD358" s="4"/>
      <c r="AE358" s="4"/>
      <c r="AF358" s="4"/>
      <c r="AG358" s="4"/>
      <c r="AH358" s="4"/>
      <c r="AI358" s="4"/>
      <c r="AJ358" s="4"/>
      <c r="AK358" s="4"/>
      <c r="AL358" s="4"/>
      <c r="AM358" s="4"/>
      <c r="AN358" s="4"/>
    </row>
    <row r="359" spans="1:40" x14ac:dyDescent="0.25">
      <c r="B359" s="87" t="s">
        <v>15</v>
      </c>
      <c r="C359" s="91" t="s">
        <v>282</v>
      </c>
      <c r="D359" s="39"/>
      <c r="E359" s="54" t="s">
        <v>12</v>
      </c>
      <c r="F359" s="26"/>
      <c r="G359" s="18"/>
      <c r="H359" s="23"/>
      <c r="I359" s="4"/>
      <c r="J359" s="4"/>
      <c r="K359" s="4"/>
      <c r="L359" s="4"/>
      <c r="M359" s="4"/>
      <c r="N359" s="4"/>
      <c r="O359" s="4"/>
      <c r="P359" s="4"/>
      <c r="Q359" s="4"/>
      <c r="R359" s="4"/>
      <c r="S359" s="4"/>
      <c r="T359" s="4"/>
      <c r="U359" s="4"/>
      <c r="V359" s="4"/>
      <c r="W359" s="4"/>
      <c r="X359" s="4"/>
      <c r="Y359" s="4"/>
      <c r="Z359" s="4"/>
      <c r="AA359" s="4"/>
      <c r="AB359" s="4"/>
      <c r="AC359" s="4"/>
      <c r="AD359" s="4"/>
      <c r="AE359" s="4"/>
      <c r="AF359" s="4"/>
      <c r="AG359" s="4"/>
      <c r="AH359" s="4"/>
      <c r="AI359" s="4"/>
      <c r="AJ359" s="4"/>
      <c r="AK359" s="4"/>
      <c r="AL359" s="4"/>
      <c r="AM359" s="4"/>
      <c r="AN359" s="4"/>
    </row>
    <row r="360" spans="1:40" ht="18.75" x14ac:dyDescent="0.25">
      <c r="B360" s="136"/>
      <c r="C360" s="64"/>
      <c r="D360" s="39"/>
      <c r="E360" s="54" t="s">
        <v>13</v>
      </c>
      <c r="F360" s="19"/>
      <c r="G360" s="18"/>
      <c r="H360" s="23"/>
      <c r="I360" s="4"/>
      <c r="J360" s="4"/>
      <c r="K360" s="4"/>
      <c r="L360" s="4"/>
      <c r="M360" s="4"/>
      <c r="N360" s="4"/>
      <c r="O360" s="4"/>
      <c r="P360" s="4"/>
      <c r="Q360" s="4"/>
      <c r="R360" s="4"/>
      <c r="S360" s="4"/>
      <c r="T360" s="4"/>
      <c r="U360" s="4"/>
      <c r="V360" s="4"/>
      <c r="W360" s="4"/>
      <c r="X360" s="4"/>
      <c r="Y360" s="4"/>
      <c r="Z360" s="4"/>
      <c r="AA360" s="4"/>
      <c r="AB360" s="4"/>
      <c r="AC360" s="4"/>
      <c r="AD360" s="4"/>
      <c r="AE360" s="4"/>
      <c r="AF360" s="4"/>
      <c r="AG360" s="4"/>
      <c r="AH360" s="4"/>
      <c r="AI360" s="4"/>
      <c r="AJ360" s="4"/>
      <c r="AK360" s="4"/>
      <c r="AL360" s="4"/>
      <c r="AM360" s="4"/>
      <c r="AN360" s="4"/>
    </row>
    <row r="361" spans="1:40" s="16" customFormat="1" ht="18.95" customHeight="1" x14ac:dyDescent="0.25">
      <c r="A361" s="4"/>
      <c r="B361" s="140" t="s">
        <v>80</v>
      </c>
      <c r="C361" s="165" t="s">
        <v>283</v>
      </c>
      <c r="D361" s="40"/>
      <c r="E361" s="53"/>
      <c r="F361" s="28"/>
      <c r="G361" s="14"/>
      <c r="H361" s="14"/>
    </row>
    <row r="362" spans="1:40" x14ac:dyDescent="0.25">
      <c r="B362" s="87" t="s">
        <v>15</v>
      </c>
      <c r="C362" s="64" t="s">
        <v>284</v>
      </c>
      <c r="D362" s="39"/>
      <c r="E362" s="54" t="s">
        <v>9</v>
      </c>
      <c r="F362" s="26"/>
      <c r="G362" s="18"/>
      <c r="H362" s="20" t="b">
        <f>IF(D365="x",H$2,H$1)</f>
        <v>0</v>
      </c>
      <c r="I362" s="4"/>
      <c r="J362" s="4"/>
      <c r="K362" s="4"/>
      <c r="L362" s="4"/>
      <c r="M362" s="4"/>
      <c r="N362" s="4"/>
      <c r="O362" s="4"/>
      <c r="P362" s="4"/>
      <c r="Q362" s="4"/>
      <c r="R362" s="4"/>
      <c r="S362" s="4"/>
      <c r="T362" s="4"/>
      <c r="U362" s="4"/>
      <c r="V362" s="4"/>
      <c r="W362" s="4"/>
      <c r="X362" s="4"/>
      <c r="Y362" s="4"/>
      <c r="Z362" s="4"/>
      <c r="AA362" s="4"/>
      <c r="AB362" s="4"/>
      <c r="AC362" s="4"/>
      <c r="AD362" s="4"/>
      <c r="AE362" s="4"/>
      <c r="AF362" s="4"/>
      <c r="AG362" s="4"/>
      <c r="AH362" s="4"/>
      <c r="AI362" s="4"/>
      <c r="AJ362" s="4"/>
      <c r="AK362" s="4"/>
      <c r="AL362" s="4"/>
      <c r="AM362" s="4"/>
      <c r="AN362" s="4"/>
    </row>
    <row r="363" spans="1:40" x14ac:dyDescent="0.25">
      <c r="B363" s="87" t="s">
        <v>15</v>
      </c>
      <c r="C363" s="91" t="s">
        <v>285</v>
      </c>
      <c r="D363" s="39"/>
      <c r="E363" s="54" t="s">
        <v>10</v>
      </c>
      <c r="F363" s="21" t="str">
        <f>IF(H364=1,IF(H362=H$2,H362,""),"")</f>
        <v/>
      </c>
      <c r="G363" s="18"/>
      <c r="H363" s="20" t="str">
        <f>IF(E$397="comprobar",COUNTIF(D362:D366,"x"),"")</f>
        <v/>
      </c>
      <c r="I363" s="4"/>
      <c r="J363" s="4"/>
      <c r="K363" s="4"/>
      <c r="L363" s="4"/>
      <c r="M363" s="4"/>
      <c r="N363" s="4"/>
      <c r="O363" s="4"/>
      <c r="P363" s="4"/>
      <c r="Q363" s="4"/>
      <c r="R363" s="4"/>
      <c r="S363" s="4"/>
      <c r="T363" s="4"/>
      <c r="U363" s="4"/>
      <c r="V363" s="4"/>
      <c r="W363" s="4"/>
      <c r="X363" s="4"/>
      <c r="Y363" s="4"/>
      <c r="Z363" s="4"/>
      <c r="AA363" s="4"/>
      <c r="AB363" s="4"/>
      <c r="AC363" s="4"/>
      <c r="AD363" s="4"/>
      <c r="AE363" s="4"/>
      <c r="AF363" s="4"/>
      <c r="AG363" s="4"/>
      <c r="AH363" s="4"/>
      <c r="AI363" s="4"/>
      <c r="AJ363" s="4"/>
      <c r="AK363" s="4"/>
      <c r="AL363" s="4"/>
      <c r="AM363" s="4"/>
      <c r="AN363" s="4"/>
    </row>
    <row r="364" spans="1:40" x14ac:dyDescent="0.25">
      <c r="B364" s="87" t="s">
        <v>15</v>
      </c>
      <c r="C364" s="91" t="s">
        <v>286</v>
      </c>
      <c r="D364" s="39"/>
      <c r="E364" s="54" t="s">
        <v>11</v>
      </c>
      <c r="F364" s="22" t="str">
        <f>IF(H364=-0.33,IF(H362=H$1,H362,""),"")</f>
        <v/>
      </c>
      <c r="G364" s="18"/>
      <c r="H364" s="23">
        <f t="shared" ref="H364" si="33">IF(H363=1,IF(H362=H$2,1,-0.33),0)</f>
        <v>0</v>
      </c>
      <c r="I364" s="4"/>
      <c r="J364" s="4"/>
      <c r="K364" s="4"/>
      <c r="L364" s="4"/>
      <c r="M364" s="4"/>
      <c r="N364" s="4"/>
      <c r="O364" s="4"/>
      <c r="P364" s="4"/>
      <c r="Q364" s="4"/>
      <c r="R364" s="4"/>
      <c r="S364" s="4"/>
      <c r="T364" s="4"/>
      <c r="U364" s="4"/>
      <c r="V364" s="4"/>
      <c r="W364" s="4"/>
      <c r="X364" s="4"/>
      <c r="Y364" s="4"/>
      <c r="Z364" s="4"/>
      <c r="AA364" s="4"/>
      <c r="AB364" s="4"/>
      <c r="AC364" s="4"/>
      <c r="AD364" s="4"/>
      <c r="AE364" s="4"/>
      <c r="AF364" s="4"/>
      <c r="AG364" s="4"/>
      <c r="AH364" s="4"/>
      <c r="AI364" s="4"/>
      <c r="AJ364" s="4"/>
      <c r="AK364" s="4"/>
      <c r="AL364" s="4"/>
      <c r="AM364" s="4"/>
      <c r="AN364" s="4"/>
    </row>
    <row r="365" spans="1:40" x14ac:dyDescent="0.25">
      <c r="B365" s="87" t="s">
        <v>15</v>
      </c>
      <c r="C365" s="91" t="s">
        <v>287</v>
      </c>
      <c r="D365" s="39"/>
      <c r="E365" s="54" t="s">
        <v>12</v>
      </c>
      <c r="F365" s="26"/>
      <c r="G365" s="18"/>
      <c r="H365" s="23"/>
      <c r="I365" s="4"/>
      <c r="J365" s="4"/>
      <c r="K365" s="4"/>
      <c r="L365" s="4"/>
      <c r="M365" s="4"/>
      <c r="N365" s="4"/>
      <c r="O365" s="4"/>
      <c r="P365" s="4"/>
      <c r="Q365" s="4"/>
      <c r="R365" s="4"/>
      <c r="S365" s="4"/>
      <c r="T365" s="4"/>
      <c r="U365" s="4"/>
      <c r="V365" s="4"/>
      <c r="W365" s="4"/>
      <c r="X365" s="4"/>
      <c r="Y365" s="4"/>
      <c r="Z365" s="4"/>
      <c r="AA365" s="4"/>
      <c r="AB365" s="4"/>
      <c r="AC365" s="4"/>
      <c r="AD365" s="4"/>
      <c r="AE365" s="4"/>
      <c r="AF365" s="4"/>
      <c r="AG365" s="4"/>
      <c r="AH365" s="4"/>
      <c r="AI365" s="4"/>
      <c r="AJ365" s="4"/>
      <c r="AK365" s="4"/>
      <c r="AL365" s="4"/>
      <c r="AM365" s="4"/>
      <c r="AN365" s="4"/>
    </row>
    <row r="366" spans="1:40" x14ac:dyDescent="0.25">
      <c r="B366" s="45"/>
      <c r="C366" s="64"/>
      <c r="D366" s="39"/>
      <c r="E366" s="54" t="s">
        <v>13</v>
      </c>
      <c r="F366" s="19"/>
      <c r="G366" s="18"/>
      <c r="H366" s="23"/>
      <c r="I366" s="4"/>
      <c r="J366" s="4"/>
      <c r="K366" s="4"/>
      <c r="L366" s="4"/>
      <c r="M366" s="4"/>
      <c r="N366" s="4"/>
      <c r="O366" s="4"/>
      <c r="P366" s="4"/>
      <c r="Q366" s="4"/>
      <c r="R366" s="4"/>
      <c r="S366" s="4"/>
      <c r="T366" s="4"/>
      <c r="U366" s="4"/>
      <c r="V366" s="4"/>
      <c r="W366" s="4"/>
      <c r="X366" s="4"/>
      <c r="Y366" s="4"/>
      <c r="Z366" s="4"/>
      <c r="AA366" s="4"/>
      <c r="AB366" s="4"/>
      <c r="AC366" s="4"/>
      <c r="AD366" s="4"/>
      <c r="AE366" s="4"/>
      <c r="AF366" s="4"/>
      <c r="AG366" s="4"/>
      <c r="AH366" s="4"/>
      <c r="AI366" s="4"/>
      <c r="AJ366" s="4"/>
      <c r="AK366" s="4"/>
      <c r="AL366" s="4"/>
      <c r="AM366" s="4"/>
      <c r="AN366" s="4"/>
    </row>
    <row r="367" spans="1:40" s="16" customFormat="1" ht="18.95" customHeight="1" x14ac:dyDescent="0.25">
      <c r="A367" s="4"/>
      <c r="B367" s="140" t="s">
        <v>289</v>
      </c>
      <c r="C367" s="165" t="s">
        <v>288</v>
      </c>
      <c r="D367" s="40"/>
      <c r="E367" s="53"/>
      <c r="F367" s="28"/>
      <c r="G367" s="14"/>
      <c r="H367" s="14"/>
    </row>
    <row r="368" spans="1:40" x14ac:dyDescent="0.25">
      <c r="B368" s="87" t="s">
        <v>15</v>
      </c>
      <c r="C368" s="64" t="s">
        <v>290</v>
      </c>
      <c r="D368" s="39"/>
      <c r="E368" s="54" t="s">
        <v>9</v>
      </c>
      <c r="F368" s="26"/>
      <c r="G368" s="18"/>
      <c r="H368" s="20" t="b">
        <f>IF(D368="x",H$2,H$1)</f>
        <v>0</v>
      </c>
      <c r="I368" s="4"/>
      <c r="J368" s="4"/>
      <c r="K368" s="4"/>
      <c r="L368" s="4"/>
      <c r="M368" s="4"/>
      <c r="N368" s="4"/>
      <c r="O368" s="4"/>
      <c r="P368" s="4"/>
      <c r="Q368" s="4"/>
      <c r="R368" s="4"/>
      <c r="S368" s="4"/>
      <c r="T368" s="4"/>
      <c r="U368" s="4"/>
      <c r="V368" s="4"/>
      <c r="W368" s="4"/>
      <c r="X368" s="4"/>
      <c r="Y368" s="4"/>
      <c r="Z368" s="4"/>
      <c r="AA368" s="4"/>
      <c r="AB368" s="4"/>
      <c r="AC368" s="4"/>
      <c r="AD368" s="4"/>
      <c r="AE368" s="4"/>
      <c r="AF368" s="4"/>
      <c r="AG368" s="4"/>
      <c r="AH368" s="4"/>
      <c r="AI368" s="4"/>
      <c r="AJ368" s="4"/>
      <c r="AK368" s="4"/>
      <c r="AL368" s="4"/>
      <c r="AM368" s="4"/>
      <c r="AN368" s="4"/>
    </row>
    <row r="369" spans="1:40" x14ac:dyDescent="0.25">
      <c r="B369" s="87" t="s">
        <v>15</v>
      </c>
      <c r="C369" s="91" t="s">
        <v>291</v>
      </c>
      <c r="D369" s="39"/>
      <c r="E369" s="54" t="s">
        <v>10</v>
      </c>
      <c r="F369" s="21" t="str">
        <f>IF(H370=1,IF(H368=H$2,H368,""),"")</f>
        <v/>
      </c>
      <c r="G369" s="18"/>
      <c r="H369" s="20" t="str">
        <f>IF(E$397="comprobar",COUNTIF(D368:D372,"x"),"")</f>
        <v/>
      </c>
      <c r="I369" s="4"/>
      <c r="J369" s="4"/>
      <c r="K369" s="4"/>
      <c r="L369" s="4"/>
      <c r="M369" s="4"/>
      <c r="N369" s="4"/>
      <c r="O369" s="4"/>
      <c r="P369" s="4"/>
      <c r="Q369" s="4"/>
      <c r="R369" s="4"/>
      <c r="S369" s="4"/>
      <c r="T369" s="4"/>
      <c r="U369" s="4"/>
      <c r="V369" s="4"/>
      <c r="W369" s="4"/>
      <c r="X369" s="4"/>
      <c r="Y369" s="4"/>
      <c r="Z369" s="4"/>
      <c r="AA369" s="4"/>
      <c r="AB369" s="4"/>
      <c r="AC369" s="4"/>
      <c r="AD369" s="4"/>
      <c r="AE369" s="4"/>
      <c r="AF369" s="4"/>
      <c r="AG369" s="4"/>
      <c r="AH369" s="4"/>
      <c r="AI369" s="4"/>
      <c r="AJ369" s="4"/>
      <c r="AK369" s="4"/>
      <c r="AL369" s="4"/>
      <c r="AM369" s="4"/>
      <c r="AN369" s="4"/>
    </row>
    <row r="370" spans="1:40" x14ac:dyDescent="0.25">
      <c r="B370" s="87" t="s">
        <v>15</v>
      </c>
      <c r="C370" s="91" t="s">
        <v>292</v>
      </c>
      <c r="D370" s="39"/>
      <c r="E370" s="54" t="s">
        <v>11</v>
      </c>
      <c r="F370" s="22" t="str">
        <f>IF(H370=-0.33,IF(H368=H$1,H368,""),"")</f>
        <v/>
      </c>
      <c r="G370" s="18"/>
      <c r="H370" s="23">
        <f t="shared" ref="H370" si="34">IF(H369=1,IF(H368=H$2,1,-0.33),0)</f>
        <v>0</v>
      </c>
      <c r="I370" s="4"/>
      <c r="J370" s="4"/>
      <c r="K370" s="4"/>
      <c r="L370" s="4"/>
      <c r="M370" s="4"/>
      <c r="N370" s="4"/>
      <c r="O370" s="4"/>
      <c r="P370" s="4"/>
      <c r="Q370" s="4"/>
      <c r="R370" s="4"/>
      <c r="S370" s="4"/>
      <c r="T370" s="4"/>
      <c r="U370" s="4"/>
      <c r="V370" s="4"/>
      <c r="W370" s="4"/>
      <c r="X370" s="4"/>
      <c r="Y370" s="4"/>
      <c r="Z370" s="4"/>
      <c r="AA370" s="4"/>
      <c r="AB370" s="4"/>
      <c r="AC370" s="4"/>
      <c r="AD370" s="4"/>
      <c r="AE370" s="4"/>
      <c r="AF370" s="4"/>
      <c r="AG370" s="4"/>
      <c r="AH370" s="4"/>
      <c r="AI370" s="4"/>
      <c r="AJ370" s="4"/>
      <c r="AK370" s="4"/>
      <c r="AL370" s="4"/>
      <c r="AM370" s="4"/>
      <c r="AN370" s="4"/>
    </row>
    <row r="371" spans="1:40" x14ac:dyDescent="0.25">
      <c r="B371" s="87" t="s">
        <v>15</v>
      </c>
      <c r="C371" s="91" t="s">
        <v>293</v>
      </c>
      <c r="D371" s="39"/>
      <c r="E371" s="54" t="s">
        <v>12</v>
      </c>
      <c r="F371" s="26"/>
      <c r="G371" s="18"/>
      <c r="H371" s="23"/>
      <c r="I371" s="4"/>
      <c r="J371" s="4"/>
      <c r="K371" s="4"/>
      <c r="L371" s="4"/>
      <c r="M371" s="4"/>
      <c r="N371" s="4"/>
      <c r="O371" s="4"/>
      <c r="P371" s="4"/>
      <c r="Q371" s="4"/>
      <c r="R371" s="4"/>
      <c r="S371" s="4"/>
      <c r="T371" s="4"/>
      <c r="U371" s="4"/>
      <c r="V371" s="4"/>
      <c r="W371" s="4"/>
      <c r="X371" s="4"/>
      <c r="Y371" s="4"/>
      <c r="Z371" s="4"/>
      <c r="AA371" s="4"/>
      <c r="AB371" s="4"/>
      <c r="AC371" s="4"/>
      <c r="AD371" s="4"/>
      <c r="AE371" s="4"/>
      <c r="AF371" s="4"/>
      <c r="AG371" s="4"/>
      <c r="AH371" s="4"/>
      <c r="AI371" s="4"/>
      <c r="AJ371" s="4"/>
      <c r="AK371" s="4"/>
      <c r="AL371" s="4"/>
      <c r="AM371" s="4"/>
      <c r="AN371" s="4"/>
    </row>
    <row r="372" spans="1:40" x14ac:dyDescent="0.25">
      <c r="B372" s="45"/>
      <c r="C372" s="64"/>
      <c r="D372" s="39"/>
      <c r="E372" s="54" t="s">
        <v>13</v>
      </c>
      <c r="F372" s="19"/>
      <c r="G372" s="18"/>
      <c r="H372" s="23"/>
      <c r="I372" s="4"/>
      <c r="J372" s="4"/>
      <c r="K372" s="4"/>
      <c r="L372" s="4"/>
      <c r="M372" s="4"/>
      <c r="N372" s="4"/>
      <c r="O372" s="4"/>
      <c r="P372" s="4"/>
      <c r="Q372" s="4"/>
      <c r="R372" s="4"/>
      <c r="S372" s="4"/>
      <c r="T372" s="4"/>
      <c r="U372" s="4"/>
      <c r="V372" s="4"/>
      <c r="W372" s="4"/>
      <c r="X372" s="4"/>
      <c r="Y372" s="4"/>
      <c r="Z372" s="4"/>
      <c r="AA372" s="4"/>
      <c r="AB372" s="4"/>
      <c r="AC372" s="4"/>
      <c r="AD372" s="4"/>
      <c r="AE372" s="4"/>
      <c r="AF372" s="4"/>
      <c r="AG372" s="4"/>
      <c r="AH372" s="4"/>
      <c r="AI372" s="4"/>
      <c r="AJ372" s="4"/>
      <c r="AK372" s="4"/>
      <c r="AL372" s="4"/>
      <c r="AM372" s="4"/>
      <c r="AN372" s="4"/>
    </row>
    <row r="373" spans="1:40" s="16" customFormat="1" ht="15.95" customHeight="1" x14ac:dyDescent="0.25">
      <c r="A373" s="4"/>
      <c r="B373" s="140" t="s">
        <v>91</v>
      </c>
      <c r="C373" s="165" t="s">
        <v>294</v>
      </c>
      <c r="D373" s="40"/>
      <c r="E373" s="53"/>
      <c r="F373" s="28"/>
      <c r="G373" s="14"/>
      <c r="H373" s="14"/>
    </row>
    <row r="374" spans="1:40" x14ac:dyDescent="0.25">
      <c r="B374" s="87" t="s">
        <v>15</v>
      </c>
      <c r="C374" s="64" t="s">
        <v>295</v>
      </c>
      <c r="D374" s="39"/>
      <c r="E374" s="54" t="s">
        <v>9</v>
      </c>
      <c r="F374" s="26"/>
      <c r="G374" s="18"/>
      <c r="H374" s="20" t="b">
        <f>IF(D374="x",H$2,H$1)</f>
        <v>0</v>
      </c>
      <c r="I374" s="4"/>
      <c r="J374" s="4"/>
      <c r="K374" s="4"/>
      <c r="L374" s="4"/>
      <c r="M374" s="4"/>
      <c r="N374" s="4"/>
      <c r="O374" s="4"/>
      <c r="P374" s="4"/>
      <c r="Q374" s="4"/>
      <c r="R374" s="4"/>
      <c r="S374" s="4"/>
      <c r="T374" s="4"/>
      <c r="U374" s="4"/>
      <c r="V374" s="4"/>
      <c r="W374" s="4"/>
      <c r="X374" s="4"/>
      <c r="Y374" s="4"/>
      <c r="Z374" s="4"/>
      <c r="AA374" s="4"/>
      <c r="AB374" s="4"/>
      <c r="AC374" s="4"/>
      <c r="AD374" s="4"/>
      <c r="AE374" s="4"/>
      <c r="AF374" s="4"/>
      <c r="AG374" s="4"/>
      <c r="AH374" s="4"/>
      <c r="AI374" s="4"/>
      <c r="AJ374" s="4"/>
      <c r="AK374" s="4"/>
      <c r="AL374" s="4"/>
      <c r="AM374" s="4"/>
      <c r="AN374" s="4"/>
    </row>
    <row r="375" spans="1:40" x14ac:dyDescent="0.25">
      <c r="B375" s="87" t="s">
        <v>15</v>
      </c>
      <c r="C375" s="91" t="s">
        <v>296</v>
      </c>
      <c r="D375" s="39"/>
      <c r="E375" s="54" t="s">
        <v>10</v>
      </c>
      <c r="F375" s="21" t="str">
        <f>IF(H376=1,IF(H374=H$2,H374,""),"")</f>
        <v/>
      </c>
      <c r="G375" s="18"/>
      <c r="H375" s="20" t="str">
        <f>IF(E$397="comprobar",COUNTIF(D374:D378,"x"),"")</f>
        <v/>
      </c>
      <c r="I375" s="4"/>
      <c r="J375" s="4"/>
      <c r="K375" s="4"/>
      <c r="L375" s="4"/>
      <c r="M375" s="4"/>
      <c r="N375" s="4"/>
      <c r="O375" s="4"/>
      <c r="P375" s="4"/>
      <c r="Q375" s="4"/>
      <c r="R375" s="4"/>
      <c r="S375" s="4"/>
      <c r="T375" s="4"/>
      <c r="U375" s="4"/>
      <c r="V375" s="4"/>
      <c r="W375" s="4"/>
      <c r="X375" s="4"/>
      <c r="Y375" s="4"/>
      <c r="Z375" s="4"/>
      <c r="AA375" s="4"/>
      <c r="AB375" s="4"/>
      <c r="AC375" s="4"/>
      <c r="AD375" s="4"/>
      <c r="AE375" s="4"/>
      <c r="AF375" s="4"/>
      <c r="AG375" s="4"/>
      <c r="AH375" s="4"/>
      <c r="AI375" s="4"/>
      <c r="AJ375" s="4"/>
      <c r="AK375" s="4"/>
      <c r="AL375" s="4"/>
      <c r="AM375" s="4"/>
      <c r="AN375" s="4"/>
    </row>
    <row r="376" spans="1:40" x14ac:dyDescent="0.25">
      <c r="B376" s="87" t="s">
        <v>15</v>
      </c>
      <c r="C376" s="91" t="s">
        <v>297</v>
      </c>
      <c r="D376" s="39"/>
      <c r="E376" s="54" t="s">
        <v>11</v>
      </c>
      <c r="F376" s="22" t="str">
        <f>IF(H376=-0.33,IF(H374=H$1,H374,""),"")</f>
        <v/>
      </c>
      <c r="G376" s="18"/>
      <c r="H376" s="23">
        <f t="shared" ref="H376" si="35">IF(H375=1,IF(H374=H$2,1,-0.33),0)</f>
        <v>0</v>
      </c>
      <c r="I376" s="4"/>
      <c r="J376" s="4"/>
      <c r="K376" s="4"/>
      <c r="L376" s="4"/>
      <c r="M376" s="4"/>
      <c r="N376" s="4"/>
      <c r="O376" s="4"/>
      <c r="P376" s="4"/>
      <c r="Q376" s="4"/>
      <c r="R376" s="4"/>
      <c r="S376" s="4"/>
      <c r="T376" s="4"/>
      <c r="U376" s="4"/>
      <c r="V376" s="4"/>
      <c r="W376" s="4"/>
      <c r="X376" s="4"/>
      <c r="Y376" s="4"/>
      <c r="Z376" s="4"/>
      <c r="AA376" s="4"/>
      <c r="AB376" s="4"/>
      <c r="AC376" s="4"/>
      <c r="AD376" s="4"/>
      <c r="AE376" s="4"/>
      <c r="AF376" s="4"/>
      <c r="AG376" s="4"/>
      <c r="AH376" s="4"/>
      <c r="AI376" s="4"/>
      <c r="AJ376" s="4"/>
      <c r="AK376" s="4"/>
      <c r="AL376" s="4"/>
      <c r="AM376" s="4"/>
      <c r="AN376" s="4"/>
    </row>
    <row r="377" spans="1:40" x14ac:dyDescent="0.25">
      <c r="B377" s="87" t="s">
        <v>15</v>
      </c>
      <c r="C377" s="91" t="s">
        <v>298</v>
      </c>
      <c r="D377" s="39"/>
      <c r="E377" s="54" t="s">
        <v>12</v>
      </c>
      <c r="F377" s="26"/>
      <c r="G377" s="18"/>
      <c r="H377" s="23"/>
      <c r="I377" s="4"/>
      <c r="J377" s="4"/>
      <c r="K377" s="4"/>
      <c r="L377" s="4"/>
      <c r="M377" s="4"/>
      <c r="N377" s="4"/>
      <c r="O377" s="4"/>
      <c r="P377" s="4"/>
      <c r="Q377" s="4"/>
      <c r="R377" s="4"/>
      <c r="S377" s="4"/>
      <c r="T377" s="4"/>
      <c r="U377" s="4"/>
      <c r="V377" s="4"/>
      <c r="W377" s="4"/>
      <c r="X377" s="4"/>
      <c r="Y377" s="4"/>
      <c r="Z377" s="4"/>
      <c r="AA377" s="4"/>
      <c r="AB377" s="4"/>
      <c r="AC377" s="4"/>
      <c r="AD377" s="4"/>
      <c r="AE377" s="4"/>
      <c r="AF377" s="4"/>
      <c r="AG377" s="4"/>
      <c r="AH377" s="4"/>
      <c r="AI377" s="4"/>
      <c r="AJ377" s="4"/>
      <c r="AK377" s="4"/>
      <c r="AL377" s="4"/>
      <c r="AM377" s="4"/>
      <c r="AN377" s="4"/>
    </row>
    <row r="378" spans="1:40" x14ac:dyDescent="0.25">
      <c r="B378" s="45"/>
      <c r="C378" s="64"/>
      <c r="D378" s="39"/>
      <c r="E378" s="54" t="s">
        <v>13</v>
      </c>
      <c r="F378" s="19"/>
      <c r="G378" s="18"/>
      <c r="H378" s="23"/>
      <c r="I378" s="4"/>
      <c r="J378" s="4"/>
      <c r="K378" s="4"/>
      <c r="L378" s="4"/>
      <c r="M378" s="4"/>
      <c r="N378" s="4"/>
      <c r="O378" s="4"/>
      <c r="P378" s="4"/>
      <c r="Q378" s="4"/>
      <c r="R378" s="4"/>
      <c r="S378" s="4"/>
      <c r="T378" s="4"/>
      <c r="U378" s="4"/>
      <c r="V378" s="4"/>
      <c r="W378" s="4"/>
      <c r="X378" s="4"/>
      <c r="Y378" s="4"/>
      <c r="Z378" s="4"/>
      <c r="AA378" s="4"/>
      <c r="AB378" s="4"/>
      <c r="AC378" s="4"/>
      <c r="AD378" s="4"/>
      <c r="AE378" s="4"/>
      <c r="AF378" s="4"/>
      <c r="AG378" s="4"/>
      <c r="AH378" s="4"/>
      <c r="AI378" s="4"/>
      <c r="AJ378" s="4"/>
      <c r="AK378" s="4"/>
      <c r="AL378" s="4"/>
      <c r="AM378" s="4"/>
      <c r="AN378" s="4"/>
    </row>
    <row r="379" spans="1:40" s="16" customFormat="1" ht="18.95" customHeight="1" x14ac:dyDescent="0.25">
      <c r="A379" s="4"/>
      <c r="B379" s="140" t="s">
        <v>248</v>
      </c>
      <c r="C379" s="165" t="s">
        <v>299</v>
      </c>
      <c r="D379" s="40"/>
      <c r="E379" s="53"/>
      <c r="F379" s="28"/>
      <c r="G379" s="14"/>
      <c r="H379" s="14"/>
    </row>
    <row r="380" spans="1:40" x14ac:dyDescent="0.25">
      <c r="B380" s="87" t="s">
        <v>15</v>
      </c>
      <c r="C380" s="64" t="s">
        <v>300</v>
      </c>
      <c r="D380" s="39"/>
      <c r="E380" s="54" t="s">
        <v>9</v>
      </c>
      <c r="F380" s="26"/>
      <c r="G380" s="18"/>
      <c r="H380" s="20" t="b">
        <f>IF(D381="x",H$2,H$1)</f>
        <v>0</v>
      </c>
      <c r="I380" s="4"/>
      <c r="J380" s="4"/>
      <c r="K380" s="4"/>
      <c r="L380" s="4"/>
      <c r="M380" s="4"/>
      <c r="N380" s="4"/>
      <c r="O380" s="4"/>
      <c r="P380" s="4"/>
      <c r="Q380" s="4"/>
      <c r="R380" s="4"/>
      <c r="S380" s="4"/>
      <c r="T380" s="4"/>
      <c r="U380" s="4"/>
      <c r="V380" s="4"/>
      <c r="W380" s="4"/>
      <c r="X380" s="4"/>
      <c r="Y380" s="4"/>
      <c r="Z380" s="4"/>
      <c r="AA380" s="4"/>
      <c r="AB380" s="4"/>
      <c r="AC380" s="4"/>
      <c r="AD380" s="4"/>
      <c r="AE380" s="4"/>
      <c r="AF380" s="4"/>
      <c r="AG380" s="4"/>
      <c r="AH380" s="4"/>
      <c r="AI380" s="4"/>
      <c r="AJ380" s="4"/>
      <c r="AK380" s="4"/>
      <c r="AL380" s="4"/>
      <c r="AM380" s="4"/>
      <c r="AN380" s="4"/>
    </row>
    <row r="381" spans="1:40" x14ac:dyDescent="0.25">
      <c r="B381" s="87" t="s">
        <v>15</v>
      </c>
      <c r="C381" s="91" t="s">
        <v>301</v>
      </c>
      <c r="D381" s="39"/>
      <c r="E381" s="54" t="s">
        <v>10</v>
      </c>
      <c r="F381" s="21" t="str">
        <f>IF(H382=1,IF(H380=H$2,H380,""),"")</f>
        <v/>
      </c>
      <c r="G381" s="18"/>
      <c r="H381" s="20" t="str">
        <f>IF(E$397="comprobar",COUNTIF(D380:D384,"x"),"")</f>
        <v/>
      </c>
      <c r="I381" s="4"/>
      <c r="J381" s="4"/>
      <c r="K381" s="4"/>
      <c r="L381" s="4"/>
      <c r="M381" s="4"/>
      <c r="N381" s="4"/>
      <c r="O381" s="4"/>
      <c r="P381" s="4"/>
      <c r="Q381" s="4"/>
      <c r="R381" s="4"/>
      <c r="S381" s="4"/>
      <c r="T381" s="4"/>
      <c r="U381" s="4"/>
      <c r="V381" s="4"/>
      <c r="W381" s="4"/>
      <c r="X381" s="4"/>
      <c r="Y381" s="4"/>
      <c r="Z381" s="4"/>
      <c r="AA381" s="4"/>
      <c r="AB381" s="4"/>
      <c r="AC381" s="4"/>
      <c r="AD381" s="4"/>
      <c r="AE381" s="4"/>
      <c r="AF381" s="4"/>
      <c r="AG381" s="4"/>
      <c r="AH381" s="4"/>
      <c r="AI381" s="4"/>
      <c r="AJ381" s="4"/>
      <c r="AK381" s="4"/>
      <c r="AL381" s="4"/>
      <c r="AM381" s="4"/>
      <c r="AN381" s="4"/>
    </row>
    <row r="382" spans="1:40" x14ac:dyDescent="0.25">
      <c r="B382" s="87" t="s">
        <v>15</v>
      </c>
      <c r="C382" s="91" t="s">
        <v>302</v>
      </c>
      <c r="D382" s="39"/>
      <c r="E382" s="54" t="s">
        <v>11</v>
      </c>
      <c r="F382" s="22" t="str">
        <f>IF(H382=-0.33,IF(H380=H$1,H380,""),"")</f>
        <v/>
      </c>
      <c r="G382" s="18"/>
      <c r="H382" s="23">
        <f t="shared" ref="H382" si="36">IF(H381=1,IF(H380=H$2,1,-0.33),0)</f>
        <v>0</v>
      </c>
      <c r="I382" s="4"/>
      <c r="J382" s="4"/>
      <c r="K382" s="4"/>
      <c r="L382" s="4"/>
      <c r="M382" s="4"/>
      <c r="N382" s="4"/>
      <c r="O382" s="4"/>
      <c r="P382" s="4"/>
      <c r="Q382" s="4"/>
      <c r="R382" s="4"/>
      <c r="S382" s="4"/>
      <c r="T382" s="4"/>
      <c r="U382" s="4"/>
      <c r="V382" s="4"/>
      <c r="W382" s="4"/>
      <c r="X382" s="4"/>
      <c r="Y382" s="4"/>
      <c r="Z382" s="4"/>
      <c r="AA382" s="4"/>
      <c r="AB382" s="4"/>
      <c r="AC382" s="4"/>
      <c r="AD382" s="4"/>
      <c r="AE382" s="4"/>
      <c r="AF382" s="4"/>
      <c r="AG382" s="4"/>
      <c r="AH382" s="4"/>
      <c r="AI382" s="4"/>
      <c r="AJ382" s="4"/>
      <c r="AK382" s="4"/>
      <c r="AL382" s="4"/>
      <c r="AM382" s="4"/>
      <c r="AN382" s="4"/>
    </row>
    <row r="383" spans="1:40" x14ac:dyDescent="0.25">
      <c r="B383" s="87" t="s">
        <v>15</v>
      </c>
      <c r="C383" s="91" t="s">
        <v>271</v>
      </c>
      <c r="D383" s="39"/>
      <c r="E383" s="54" t="s">
        <v>12</v>
      </c>
      <c r="F383" s="26"/>
      <c r="G383" s="18"/>
      <c r="H383" s="23"/>
      <c r="I383" s="4"/>
      <c r="J383" s="4"/>
      <c r="K383" s="4"/>
      <c r="L383" s="4"/>
      <c r="M383" s="4"/>
      <c r="N383" s="4"/>
      <c r="O383" s="4"/>
      <c r="P383" s="4"/>
      <c r="Q383" s="4"/>
      <c r="R383" s="4"/>
      <c r="S383" s="4"/>
      <c r="T383" s="4"/>
      <c r="U383" s="4"/>
      <c r="V383" s="4"/>
      <c r="W383" s="4"/>
      <c r="X383" s="4"/>
      <c r="Y383" s="4"/>
      <c r="Z383" s="4"/>
      <c r="AA383" s="4"/>
      <c r="AB383" s="4"/>
      <c r="AC383" s="4"/>
      <c r="AD383" s="4"/>
      <c r="AE383" s="4"/>
      <c r="AF383" s="4"/>
      <c r="AG383" s="4"/>
      <c r="AH383" s="4"/>
      <c r="AI383" s="4"/>
      <c r="AJ383" s="4"/>
      <c r="AK383" s="4"/>
      <c r="AL383" s="4"/>
      <c r="AM383" s="4"/>
      <c r="AN383" s="4"/>
    </row>
    <row r="384" spans="1:40" x14ac:dyDescent="0.25">
      <c r="B384" s="45"/>
      <c r="C384" s="64"/>
      <c r="D384" s="39"/>
      <c r="E384" s="54" t="s">
        <v>13</v>
      </c>
      <c r="F384" s="19"/>
      <c r="G384" s="18"/>
      <c r="H384" s="23"/>
      <c r="I384" s="4"/>
      <c r="J384" s="4"/>
      <c r="K384" s="4"/>
      <c r="L384" s="4"/>
      <c r="M384" s="4"/>
      <c r="N384" s="4"/>
      <c r="O384" s="4"/>
      <c r="P384" s="4"/>
      <c r="Q384" s="4"/>
      <c r="R384" s="4"/>
      <c r="S384" s="4"/>
      <c r="T384" s="4"/>
      <c r="U384" s="4"/>
      <c r="V384" s="4"/>
      <c r="W384" s="4"/>
      <c r="X384" s="4"/>
      <c r="Y384" s="4"/>
      <c r="Z384" s="4"/>
      <c r="AA384" s="4"/>
      <c r="AB384" s="4"/>
      <c r="AC384" s="4"/>
      <c r="AD384" s="4"/>
      <c r="AE384" s="4"/>
      <c r="AF384" s="4"/>
      <c r="AG384" s="4"/>
      <c r="AH384" s="4"/>
      <c r="AI384" s="4"/>
      <c r="AJ384" s="4"/>
      <c r="AK384" s="4"/>
      <c r="AL384" s="4"/>
      <c r="AM384" s="4"/>
      <c r="AN384" s="4"/>
    </row>
    <row r="385" spans="1:40" s="16" customFormat="1" ht="18.95" customHeight="1" x14ac:dyDescent="0.25">
      <c r="A385" s="4"/>
      <c r="B385" s="140" t="s">
        <v>199</v>
      </c>
      <c r="C385" s="165" t="s">
        <v>303</v>
      </c>
      <c r="D385" s="40"/>
      <c r="E385" s="53"/>
      <c r="F385" s="28"/>
      <c r="G385" s="14"/>
      <c r="H385" s="14"/>
    </row>
    <row r="386" spans="1:40" x14ac:dyDescent="0.25">
      <c r="B386" s="87" t="s">
        <v>15</v>
      </c>
      <c r="C386" s="64" t="s">
        <v>304</v>
      </c>
      <c r="D386" s="39"/>
      <c r="E386" s="54" t="s">
        <v>9</v>
      </c>
      <c r="F386" s="26"/>
      <c r="G386" s="18"/>
      <c r="H386" s="20" t="b">
        <f>IF(D388="x",H$2,H$1)</f>
        <v>0</v>
      </c>
      <c r="I386" s="4"/>
      <c r="J386" s="4"/>
      <c r="K386" s="4"/>
      <c r="L386" s="4"/>
      <c r="M386" s="4"/>
      <c r="N386" s="4"/>
      <c r="O386" s="4"/>
      <c r="P386" s="4"/>
      <c r="Q386" s="4"/>
      <c r="R386" s="4"/>
      <c r="S386" s="4"/>
      <c r="T386" s="4"/>
      <c r="U386" s="4"/>
      <c r="V386" s="4"/>
      <c r="W386" s="4"/>
      <c r="X386" s="4"/>
      <c r="Y386" s="4"/>
      <c r="Z386" s="4"/>
      <c r="AA386" s="4"/>
      <c r="AB386" s="4"/>
      <c r="AC386" s="4"/>
      <c r="AD386" s="4"/>
      <c r="AE386" s="4"/>
      <c r="AF386" s="4"/>
      <c r="AG386" s="4"/>
      <c r="AH386" s="4"/>
      <c r="AI386" s="4"/>
      <c r="AJ386" s="4"/>
      <c r="AK386" s="4"/>
      <c r="AL386" s="4"/>
      <c r="AM386" s="4"/>
      <c r="AN386" s="4"/>
    </row>
    <row r="387" spans="1:40" x14ac:dyDescent="0.25">
      <c r="B387" s="87" t="s">
        <v>15</v>
      </c>
      <c r="C387" s="91" t="s">
        <v>305</v>
      </c>
      <c r="D387" s="39"/>
      <c r="E387" s="54" t="s">
        <v>10</v>
      </c>
      <c r="F387" s="21" t="str">
        <f>IF(H388=1,IF(H386=H$2,H386,""),"")</f>
        <v/>
      </c>
      <c r="G387" s="18"/>
      <c r="H387" s="20" t="str">
        <f>IF(E$397="comprobar",COUNTIF(D386:D390,"x"),"")</f>
        <v/>
      </c>
      <c r="I387" s="4"/>
      <c r="J387" s="4"/>
      <c r="K387" s="4"/>
      <c r="L387" s="4"/>
      <c r="M387" s="4"/>
      <c r="N387" s="4"/>
      <c r="O387" s="4"/>
      <c r="P387" s="4"/>
      <c r="Q387" s="4"/>
      <c r="R387" s="4"/>
      <c r="S387" s="4"/>
      <c r="T387" s="4"/>
      <c r="U387" s="4"/>
      <c r="V387" s="4"/>
      <c r="W387" s="4"/>
      <c r="X387" s="4"/>
      <c r="Y387" s="4"/>
      <c r="Z387" s="4"/>
      <c r="AA387" s="4"/>
      <c r="AB387" s="4"/>
      <c r="AC387" s="4"/>
      <c r="AD387" s="4"/>
      <c r="AE387" s="4"/>
      <c r="AF387" s="4"/>
      <c r="AG387" s="4"/>
      <c r="AH387" s="4"/>
      <c r="AI387" s="4"/>
      <c r="AJ387" s="4"/>
      <c r="AK387" s="4"/>
      <c r="AL387" s="4"/>
      <c r="AM387" s="4"/>
      <c r="AN387" s="4"/>
    </row>
    <row r="388" spans="1:40" x14ac:dyDescent="0.25">
      <c r="B388" s="87" t="s">
        <v>15</v>
      </c>
      <c r="C388" s="91" t="s">
        <v>306</v>
      </c>
      <c r="D388" s="39"/>
      <c r="E388" s="54" t="s">
        <v>11</v>
      </c>
      <c r="F388" s="22" t="str">
        <f>IF(H388=-0.33,IF(H386=H$1,H386,""),"")</f>
        <v/>
      </c>
      <c r="G388" s="18"/>
      <c r="H388" s="23">
        <f t="shared" ref="H388" si="37">IF(H387=1,IF(H386=H$2,1,-0.33),0)</f>
        <v>0</v>
      </c>
      <c r="I388" s="4"/>
      <c r="J388" s="4"/>
      <c r="K388" s="4"/>
      <c r="L388" s="4"/>
      <c r="M388" s="4"/>
      <c r="N388" s="4"/>
      <c r="O388" s="4"/>
      <c r="P388" s="4"/>
      <c r="Q388" s="4"/>
      <c r="R388" s="4"/>
      <c r="S388" s="4"/>
      <c r="T388" s="4"/>
      <c r="U388" s="4"/>
      <c r="V388" s="4"/>
      <c r="W388" s="4"/>
      <c r="X388" s="4"/>
      <c r="Y388" s="4"/>
      <c r="Z388" s="4"/>
      <c r="AA388" s="4"/>
      <c r="AB388" s="4"/>
      <c r="AC388" s="4"/>
      <c r="AD388" s="4"/>
      <c r="AE388" s="4"/>
      <c r="AF388" s="4"/>
      <c r="AG388" s="4"/>
      <c r="AH388" s="4"/>
      <c r="AI388" s="4"/>
      <c r="AJ388" s="4"/>
      <c r="AK388" s="4"/>
      <c r="AL388" s="4"/>
      <c r="AM388" s="4"/>
      <c r="AN388" s="4"/>
    </row>
    <row r="389" spans="1:40" x14ac:dyDescent="0.25">
      <c r="B389" s="87" t="s">
        <v>15</v>
      </c>
      <c r="C389" s="91" t="s">
        <v>307</v>
      </c>
      <c r="D389" s="39"/>
      <c r="E389" s="54" t="s">
        <v>12</v>
      </c>
      <c r="F389" s="26"/>
      <c r="G389" s="18"/>
      <c r="H389" s="23"/>
      <c r="I389" s="4"/>
      <c r="J389" s="4"/>
      <c r="K389" s="4"/>
      <c r="L389" s="4"/>
      <c r="M389" s="4"/>
      <c r="N389" s="4"/>
      <c r="O389" s="4"/>
      <c r="P389" s="4"/>
      <c r="Q389" s="4"/>
      <c r="R389" s="4"/>
      <c r="S389" s="4"/>
      <c r="T389" s="4"/>
      <c r="U389" s="4"/>
      <c r="V389" s="4"/>
      <c r="W389" s="4"/>
      <c r="X389" s="4"/>
      <c r="Y389" s="4"/>
      <c r="Z389" s="4"/>
      <c r="AA389" s="4"/>
      <c r="AB389" s="4"/>
      <c r="AC389" s="4"/>
      <c r="AD389" s="4"/>
      <c r="AE389" s="4"/>
      <c r="AF389" s="4"/>
      <c r="AG389" s="4"/>
      <c r="AH389" s="4"/>
      <c r="AI389" s="4"/>
      <c r="AJ389" s="4"/>
      <c r="AK389" s="4"/>
      <c r="AL389" s="4"/>
      <c r="AM389" s="4"/>
      <c r="AN389" s="4"/>
    </row>
    <row r="390" spans="1:40" s="35" customFormat="1" x14ac:dyDescent="0.25">
      <c r="A390" s="4"/>
      <c r="B390" s="137"/>
      <c r="C390" s="64"/>
      <c r="D390" s="39"/>
      <c r="E390" s="54" t="s">
        <v>14</v>
      </c>
      <c r="F390" s="19"/>
      <c r="G390" s="18"/>
      <c r="H390" s="23"/>
      <c r="I390" s="50"/>
      <c r="J390" s="50"/>
      <c r="K390" s="50"/>
      <c r="L390" s="50"/>
      <c r="M390" s="50"/>
      <c r="N390" s="50"/>
      <c r="O390" s="50"/>
      <c r="P390" s="50"/>
      <c r="Q390" s="50"/>
      <c r="R390" s="50"/>
      <c r="S390" s="50"/>
      <c r="T390" s="50"/>
      <c r="U390" s="50"/>
      <c r="V390" s="50"/>
      <c r="W390" s="50"/>
      <c r="X390" s="50"/>
      <c r="Y390" s="50"/>
      <c r="Z390" s="50"/>
      <c r="AA390" s="50"/>
      <c r="AB390" s="50"/>
      <c r="AC390" s="50"/>
      <c r="AD390" s="50"/>
      <c r="AE390" s="50"/>
      <c r="AF390" s="50"/>
      <c r="AG390" s="50"/>
      <c r="AH390" s="50"/>
      <c r="AI390" s="50"/>
      <c r="AJ390" s="50"/>
      <c r="AK390" s="50"/>
      <c r="AL390" s="50"/>
      <c r="AM390" s="50"/>
      <c r="AN390" s="50"/>
    </row>
    <row r="391" spans="1:40" s="16" customFormat="1" ht="18.95" customHeight="1" x14ac:dyDescent="0.25">
      <c r="A391" s="4"/>
      <c r="B391" s="140" t="s">
        <v>159</v>
      </c>
      <c r="C391" s="165" t="s">
        <v>308</v>
      </c>
      <c r="D391" s="80"/>
      <c r="E391" s="53"/>
      <c r="F391" s="28"/>
      <c r="G391" s="27"/>
      <c r="H391" s="14"/>
    </row>
    <row r="392" spans="1:40" x14ac:dyDescent="0.25">
      <c r="B392" s="87" t="s">
        <v>15</v>
      </c>
      <c r="C392" s="64" t="s">
        <v>309</v>
      </c>
      <c r="D392" s="39"/>
      <c r="E392" s="54" t="s">
        <v>9</v>
      </c>
      <c r="F392" s="26"/>
      <c r="G392" s="25"/>
      <c r="H392" s="20" t="b">
        <f>IF(D394="x",H$2,H$1)</f>
        <v>0</v>
      </c>
      <c r="I392" s="4"/>
      <c r="J392" s="4"/>
      <c r="K392" s="4"/>
      <c r="L392" s="4"/>
      <c r="M392" s="4"/>
      <c r="N392" s="4"/>
      <c r="O392" s="4"/>
      <c r="P392" s="4"/>
      <c r="Q392" s="4"/>
      <c r="R392" s="4"/>
      <c r="S392" s="4"/>
      <c r="T392" s="4"/>
      <c r="U392" s="4"/>
      <c r="V392" s="4"/>
      <c r="W392" s="4"/>
      <c r="X392" s="4"/>
      <c r="Y392" s="4"/>
      <c r="Z392" s="4"/>
      <c r="AA392" s="4"/>
      <c r="AB392" s="4"/>
      <c r="AC392" s="4"/>
      <c r="AD392" s="4"/>
      <c r="AE392" s="4"/>
      <c r="AF392" s="4"/>
      <c r="AG392" s="4"/>
      <c r="AH392" s="4"/>
      <c r="AI392" s="4"/>
      <c r="AJ392" s="4"/>
      <c r="AK392" s="4"/>
      <c r="AL392" s="4"/>
      <c r="AM392" s="4"/>
      <c r="AN392" s="4"/>
    </row>
    <row r="393" spans="1:40" x14ac:dyDescent="0.25">
      <c r="B393" s="87" t="s">
        <v>15</v>
      </c>
      <c r="C393" s="91" t="s">
        <v>310</v>
      </c>
      <c r="D393" s="39"/>
      <c r="E393" s="54" t="s">
        <v>10</v>
      </c>
      <c r="F393" s="21" t="str">
        <f>IF(H394=1,IF(H392=H$2,H392,""),"")</f>
        <v/>
      </c>
      <c r="G393" s="25"/>
      <c r="H393" s="20" t="str">
        <f>IF(E$397="comprobar",COUNTIF(D392:D396,"x"),"")</f>
        <v/>
      </c>
      <c r="I393" s="4"/>
      <c r="J393" s="4"/>
      <c r="K393" s="4"/>
      <c r="L393" s="4"/>
      <c r="M393" s="4"/>
      <c r="N393" s="4"/>
      <c r="O393" s="4"/>
      <c r="P393" s="4"/>
      <c r="Q393" s="4"/>
      <c r="R393" s="4"/>
      <c r="S393" s="4"/>
      <c r="T393" s="4"/>
      <c r="U393" s="4"/>
      <c r="V393" s="4"/>
      <c r="W393" s="4"/>
      <c r="X393" s="4"/>
      <c r="Y393" s="4"/>
      <c r="Z393" s="4"/>
      <c r="AA393" s="4"/>
      <c r="AB393" s="4"/>
      <c r="AC393" s="4"/>
      <c r="AD393" s="4"/>
      <c r="AE393" s="4"/>
      <c r="AF393" s="4"/>
      <c r="AG393" s="4"/>
      <c r="AH393" s="4"/>
      <c r="AI393" s="4"/>
      <c r="AJ393" s="4"/>
      <c r="AK393" s="4"/>
      <c r="AL393" s="4"/>
      <c r="AM393" s="4"/>
      <c r="AN393" s="4"/>
    </row>
    <row r="394" spans="1:40" x14ac:dyDescent="0.25">
      <c r="B394" s="87" t="s">
        <v>15</v>
      </c>
      <c r="C394" s="91" t="s">
        <v>311</v>
      </c>
      <c r="D394" s="39"/>
      <c r="E394" s="54" t="s">
        <v>11</v>
      </c>
      <c r="F394" s="22" t="str">
        <f>IF(H394=-0.33,IF(H392=H$1,H392,""),"")</f>
        <v/>
      </c>
      <c r="G394" s="25"/>
      <c r="H394" s="23">
        <f>IF(H393=1,IF(H392=H$2,1,-0.33),0)</f>
        <v>0</v>
      </c>
      <c r="I394" s="4"/>
      <c r="J394" s="4"/>
      <c r="K394" s="4"/>
      <c r="L394" s="4"/>
      <c r="M394" s="4"/>
      <c r="N394" s="4"/>
      <c r="O394" s="4"/>
      <c r="P394" s="4"/>
      <c r="Q394" s="4"/>
      <c r="R394" s="4"/>
      <c r="S394" s="4"/>
      <c r="T394" s="4"/>
      <c r="U394" s="4"/>
      <c r="V394" s="4"/>
      <c r="W394" s="4"/>
      <c r="X394" s="4"/>
      <c r="Y394" s="4"/>
      <c r="Z394" s="4"/>
      <c r="AA394" s="4"/>
      <c r="AB394" s="4"/>
      <c r="AC394" s="4"/>
      <c r="AD394" s="4"/>
      <c r="AE394" s="4"/>
      <c r="AF394" s="4"/>
      <c r="AG394" s="4"/>
      <c r="AH394" s="4"/>
      <c r="AI394" s="4"/>
      <c r="AJ394" s="4"/>
      <c r="AK394" s="4"/>
      <c r="AL394" s="4"/>
      <c r="AM394" s="4"/>
      <c r="AN394" s="4"/>
    </row>
    <row r="395" spans="1:40" x14ac:dyDescent="0.25">
      <c r="B395" s="87" t="s">
        <v>15</v>
      </c>
      <c r="C395" s="91" t="s">
        <v>312</v>
      </c>
      <c r="D395" s="39"/>
      <c r="E395" s="54" t="s">
        <v>12</v>
      </c>
      <c r="F395" s="26"/>
      <c r="G395" s="25"/>
      <c r="H395" s="23"/>
      <c r="I395" s="4"/>
      <c r="J395" s="4"/>
      <c r="K395" s="4"/>
      <c r="L395" s="4"/>
      <c r="M395" s="4"/>
      <c r="N395" s="4"/>
      <c r="O395" s="4"/>
      <c r="P395" s="4"/>
      <c r="Q395" s="4"/>
      <c r="R395" s="4"/>
      <c r="S395" s="4"/>
      <c r="T395" s="4"/>
      <c r="U395" s="4"/>
      <c r="V395" s="4"/>
      <c r="W395" s="4"/>
      <c r="X395" s="4"/>
      <c r="Y395" s="4"/>
      <c r="Z395" s="4"/>
      <c r="AA395" s="4"/>
      <c r="AB395" s="4"/>
      <c r="AC395" s="4"/>
      <c r="AD395" s="4"/>
      <c r="AE395" s="4"/>
      <c r="AF395" s="4"/>
      <c r="AG395" s="4"/>
      <c r="AH395" s="4"/>
      <c r="AI395" s="4"/>
      <c r="AJ395" s="4"/>
      <c r="AK395" s="4"/>
      <c r="AL395" s="4"/>
      <c r="AM395" s="4"/>
      <c r="AN395" s="4"/>
    </row>
    <row r="396" spans="1:40" ht="18.75" x14ac:dyDescent="0.25">
      <c r="B396" s="136"/>
      <c r="C396" s="64"/>
      <c r="D396" s="39"/>
      <c r="E396" s="54" t="s">
        <v>13</v>
      </c>
      <c r="F396" s="19"/>
      <c r="G396" s="25"/>
      <c r="H396" s="23"/>
      <c r="I396" s="4"/>
      <c r="J396" s="4"/>
      <c r="K396" s="4"/>
      <c r="L396" s="4"/>
      <c r="M396" s="4"/>
      <c r="N396" s="4"/>
      <c r="O396" s="4"/>
      <c r="P396" s="4"/>
      <c r="Q396" s="4"/>
      <c r="R396" s="4"/>
      <c r="S396" s="4"/>
      <c r="T396" s="4"/>
      <c r="U396" s="4"/>
      <c r="V396" s="4"/>
      <c r="W396" s="4"/>
      <c r="X396" s="4"/>
      <c r="Y396" s="4"/>
      <c r="Z396" s="4"/>
      <c r="AA396" s="4"/>
      <c r="AB396" s="4"/>
      <c r="AC396" s="4"/>
      <c r="AD396" s="4"/>
      <c r="AE396" s="4"/>
      <c r="AF396" s="4"/>
      <c r="AG396" s="4"/>
      <c r="AH396" s="4"/>
      <c r="AI396" s="4"/>
      <c r="AJ396" s="4"/>
      <c r="AK396" s="4"/>
      <c r="AL396" s="4"/>
      <c r="AM396" s="4"/>
      <c r="AN396" s="4"/>
    </row>
    <row r="397" spans="1:40" x14ac:dyDescent="0.25">
      <c r="B397" s="45"/>
      <c r="C397" s="42"/>
      <c r="D397" s="49"/>
      <c r="E397" s="55"/>
      <c r="F397" s="19"/>
      <c r="G397" s="18"/>
      <c r="H397" s="18"/>
      <c r="I397" s="4"/>
      <c r="J397" s="4"/>
      <c r="K397" s="4"/>
      <c r="L397" s="4"/>
      <c r="M397" s="4"/>
      <c r="N397" s="4"/>
      <c r="O397" s="4"/>
      <c r="P397" s="4"/>
      <c r="Q397" s="4"/>
      <c r="R397" s="4"/>
      <c r="S397" s="4"/>
      <c r="T397" s="4"/>
      <c r="U397" s="4"/>
      <c r="V397" s="4"/>
      <c r="W397" s="4"/>
      <c r="X397" s="4"/>
      <c r="Y397" s="4"/>
      <c r="Z397" s="4"/>
      <c r="AA397" s="4"/>
      <c r="AB397" s="4"/>
      <c r="AC397" s="4"/>
      <c r="AD397" s="4"/>
      <c r="AE397" s="4"/>
      <c r="AF397" s="4"/>
      <c r="AG397" s="4"/>
      <c r="AH397" s="4"/>
      <c r="AI397" s="4"/>
      <c r="AJ397" s="4"/>
      <c r="AK397" s="4"/>
      <c r="AL397" s="4"/>
      <c r="AM397" s="4"/>
      <c r="AN397" s="4"/>
    </row>
    <row r="398" spans="1:40" x14ac:dyDescent="0.25">
      <c r="B398" s="45"/>
      <c r="C398" s="17"/>
      <c r="D398" s="49"/>
      <c r="E398" s="58"/>
      <c r="F398" s="29" t="s">
        <v>8</v>
      </c>
      <c r="G398" s="18" t="s">
        <v>6</v>
      </c>
      <c r="H398" s="18" t="s">
        <v>7</v>
      </c>
      <c r="I398" s="4"/>
      <c r="J398" s="4"/>
      <c r="K398" s="4"/>
      <c r="L398" s="4"/>
      <c r="M398" s="4"/>
      <c r="N398" s="4"/>
      <c r="O398" s="4"/>
      <c r="P398" s="4"/>
      <c r="Q398" s="4"/>
      <c r="R398" s="4"/>
      <c r="S398" s="4"/>
      <c r="T398" s="4"/>
      <c r="U398" s="4"/>
      <c r="V398" s="4"/>
      <c r="W398" s="4"/>
      <c r="X398" s="4"/>
      <c r="Y398" s="4"/>
      <c r="Z398" s="4"/>
      <c r="AA398" s="4"/>
      <c r="AB398" s="4"/>
      <c r="AC398" s="4"/>
      <c r="AD398" s="4"/>
      <c r="AE398" s="4"/>
      <c r="AF398" s="4"/>
      <c r="AG398" s="4"/>
      <c r="AH398" s="4"/>
      <c r="AI398" s="4"/>
      <c r="AJ398" s="4"/>
      <c r="AK398" s="4"/>
      <c r="AL398" s="4"/>
      <c r="AM398" s="4"/>
      <c r="AN398" s="4"/>
    </row>
    <row r="399" spans="1:40" ht="19.5" x14ac:dyDescent="0.25">
      <c r="B399" s="45"/>
      <c r="C399" s="17"/>
      <c r="D399" s="83"/>
      <c r="E399" s="52"/>
      <c r="F399" s="30" t="str">
        <f>IF(E$397="comprobar",H394+H388+H382+H376+H370+H364+H358+H352+H346+H340,"")</f>
        <v/>
      </c>
      <c r="G399" s="18">
        <f>10/2</f>
        <v>5</v>
      </c>
      <c r="H399" s="18"/>
      <c r="I399" s="4"/>
      <c r="J399" s="4"/>
      <c r="K399" s="4"/>
      <c r="L399" s="4"/>
      <c r="M399" s="4"/>
      <c r="N399" s="4"/>
      <c r="O399" s="4"/>
      <c r="P399" s="4"/>
      <c r="Q399" s="4"/>
      <c r="R399" s="4"/>
      <c r="S399" s="4"/>
      <c r="T399" s="4"/>
      <c r="U399" s="4"/>
      <c r="V399" s="4"/>
      <c r="W399" s="4"/>
      <c r="X399" s="4"/>
      <c r="Y399" s="4"/>
      <c r="Z399" s="4"/>
      <c r="AA399" s="4"/>
      <c r="AB399" s="4"/>
      <c r="AC399" s="4"/>
      <c r="AD399" s="4"/>
      <c r="AE399" s="4"/>
      <c r="AF399" s="4"/>
      <c r="AG399" s="4"/>
      <c r="AH399" s="4"/>
      <c r="AI399" s="4"/>
      <c r="AJ399" s="4"/>
      <c r="AK399" s="4"/>
      <c r="AL399" s="4"/>
      <c r="AM399" s="4"/>
      <c r="AN399" s="4"/>
    </row>
    <row r="400" spans="1:40" ht="16.5" thickBot="1" x14ac:dyDescent="0.3">
      <c r="B400" s="46"/>
      <c r="C400" s="31"/>
      <c r="D400" s="32"/>
      <c r="E400" s="56"/>
      <c r="F400" s="33" t="str">
        <f>IF(F399&gt;G399,G398,H398)</f>
        <v>APROBADO</v>
      </c>
      <c r="G400" s="18"/>
      <c r="H400" s="18"/>
      <c r="I400" s="4"/>
      <c r="J400" s="4"/>
      <c r="K400" s="4"/>
      <c r="L400" s="4"/>
      <c r="M400" s="4"/>
      <c r="N400" s="4"/>
      <c r="O400" s="4"/>
      <c r="P400" s="4"/>
      <c r="Q400" s="4"/>
      <c r="R400" s="4"/>
      <c r="S400" s="4"/>
      <c r="T400" s="4"/>
      <c r="U400" s="4"/>
      <c r="V400" s="4"/>
      <c r="W400" s="4"/>
      <c r="X400" s="4"/>
      <c r="Y400" s="4"/>
      <c r="Z400" s="4"/>
      <c r="AA400" s="4"/>
      <c r="AB400" s="4"/>
      <c r="AC400" s="4"/>
      <c r="AD400" s="4"/>
      <c r="AE400" s="4"/>
      <c r="AF400" s="4"/>
      <c r="AG400" s="4"/>
      <c r="AH400" s="4"/>
      <c r="AI400" s="4"/>
      <c r="AJ400" s="4"/>
      <c r="AK400" s="4"/>
      <c r="AL400" s="4"/>
      <c r="AM400" s="4"/>
      <c r="AN400" s="4"/>
    </row>
    <row r="401" spans="1:40" ht="28.5" x14ac:dyDescent="0.45">
      <c r="B401" s="62" t="s">
        <v>17</v>
      </c>
      <c r="C401" s="129" t="s">
        <v>313</v>
      </c>
      <c r="D401" s="84"/>
      <c r="E401" s="84"/>
      <c r="F401" s="85"/>
      <c r="I401" s="4"/>
      <c r="J401" s="4"/>
      <c r="K401" s="4"/>
      <c r="L401" s="4"/>
      <c r="M401" s="4"/>
      <c r="N401" s="4"/>
      <c r="O401" s="4"/>
      <c r="P401" s="4"/>
      <c r="Q401" s="4"/>
      <c r="R401" s="4"/>
      <c r="S401" s="4"/>
      <c r="T401" s="4"/>
      <c r="U401" s="4"/>
      <c r="V401" s="4"/>
      <c r="W401" s="4"/>
      <c r="X401" s="4"/>
      <c r="Y401" s="4"/>
      <c r="Z401" s="4"/>
      <c r="AA401" s="4"/>
      <c r="AB401" s="4"/>
      <c r="AC401" s="4"/>
      <c r="AD401" s="4"/>
      <c r="AE401" s="4"/>
      <c r="AF401" s="4"/>
      <c r="AG401" s="4"/>
      <c r="AH401" s="4"/>
      <c r="AI401" s="4"/>
      <c r="AJ401" s="4"/>
      <c r="AK401" s="4"/>
      <c r="AL401" s="4"/>
      <c r="AM401" s="4"/>
      <c r="AN401" s="4"/>
    </row>
    <row r="402" spans="1:40" s="16" customFormat="1" ht="18.95" customHeight="1" x14ac:dyDescent="0.25">
      <c r="A402" s="4"/>
      <c r="B402" s="140" t="s">
        <v>64</v>
      </c>
      <c r="C402" s="148" t="s">
        <v>314</v>
      </c>
      <c r="D402" s="40"/>
      <c r="E402" s="53"/>
      <c r="F402" s="28"/>
      <c r="G402" s="14"/>
      <c r="H402" s="14"/>
    </row>
    <row r="403" spans="1:40" x14ac:dyDescent="0.25">
      <c r="B403" s="87" t="s">
        <v>15</v>
      </c>
      <c r="C403" s="64" t="s">
        <v>315</v>
      </c>
      <c r="D403" s="39"/>
      <c r="E403" s="54" t="s">
        <v>9</v>
      </c>
      <c r="F403" s="26"/>
      <c r="G403" s="25"/>
      <c r="H403" s="20" t="b">
        <f>IF(D403="x",H$2,H$1)</f>
        <v>0</v>
      </c>
      <c r="I403" s="4"/>
      <c r="J403" s="4"/>
      <c r="K403" s="4"/>
      <c r="L403" s="4"/>
      <c r="M403" s="4"/>
      <c r="N403" s="4"/>
      <c r="O403" s="4"/>
      <c r="P403" s="4"/>
      <c r="Q403" s="4"/>
      <c r="R403" s="4"/>
      <c r="S403" s="4"/>
      <c r="T403" s="4"/>
      <c r="U403" s="4"/>
      <c r="V403" s="4"/>
      <c r="W403" s="4"/>
      <c r="X403" s="4"/>
      <c r="Y403" s="4"/>
      <c r="Z403" s="4"/>
      <c r="AA403" s="4"/>
      <c r="AB403" s="4"/>
      <c r="AC403" s="4"/>
      <c r="AD403" s="4"/>
      <c r="AE403" s="4"/>
      <c r="AF403" s="4"/>
      <c r="AG403" s="4"/>
      <c r="AH403" s="4"/>
      <c r="AI403" s="4"/>
      <c r="AJ403" s="4"/>
      <c r="AK403" s="4"/>
      <c r="AL403" s="4"/>
      <c r="AM403" s="4"/>
      <c r="AN403" s="4"/>
    </row>
    <row r="404" spans="1:40" x14ac:dyDescent="0.25">
      <c r="B404" s="87" t="s">
        <v>15</v>
      </c>
      <c r="C404" s="91" t="s">
        <v>316</v>
      </c>
      <c r="D404" s="39"/>
      <c r="E404" s="54" t="s">
        <v>10</v>
      </c>
      <c r="F404" s="21" t="str">
        <f>IF(H405=1,IF(H403=H$2,H403,""),"")</f>
        <v/>
      </c>
      <c r="G404" s="25"/>
      <c r="H404" s="20" t="str">
        <f>IF(E$462="comprobar",COUNTIF(D403:D407,"x"),"")</f>
        <v/>
      </c>
      <c r="I404" s="4"/>
      <c r="J404" s="4"/>
      <c r="K404" s="4"/>
      <c r="L404" s="4"/>
      <c r="M404" s="4"/>
      <c r="N404" s="4"/>
      <c r="O404" s="4"/>
      <c r="P404" s="4"/>
      <c r="Q404" s="4"/>
      <c r="R404" s="4"/>
      <c r="S404" s="4"/>
      <c r="T404" s="4"/>
      <c r="U404" s="4"/>
      <c r="V404" s="4"/>
      <c r="W404" s="4"/>
      <c r="X404" s="4"/>
      <c r="Y404" s="4"/>
      <c r="Z404" s="4"/>
      <c r="AA404" s="4"/>
      <c r="AB404" s="4"/>
      <c r="AC404" s="4"/>
      <c r="AD404" s="4"/>
      <c r="AE404" s="4"/>
      <c r="AF404" s="4"/>
      <c r="AG404" s="4"/>
      <c r="AH404" s="4"/>
      <c r="AI404" s="4"/>
      <c r="AJ404" s="4"/>
      <c r="AK404" s="4"/>
      <c r="AL404" s="4"/>
      <c r="AM404" s="4"/>
      <c r="AN404" s="4"/>
    </row>
    <row r="405" spans="1:40" x14ac:dyDescent="0.25">
      <c r="B405" s="87" t="s">
        <v>15</v>
      </c>
      <c r="C405" s="91" t="s">
        <v>317</v>
      </c>
      <c r="D405" s="39"/>
      <c r="E405" s="54" t="s">
        <v>11</v>
      </c>
      <c r="F405" s="22" t="str">
        <f>IF(H405=-0.33,IF(H403=H$1,H403,""),"")</f>
        <v/>
      </c>
      <c r="G405" s="25"/>
      <c r="H405" s="23">
        <f>IF(H404=1,IF(H403=H$2,1,-0.33),0)</f>
        <v>0</v>
      </c>
      <c r="I405" s="4"/>
      <c r="J405" s="4"/>
      <c r="K405" s="4"/>
      <c r="L405" s="4"/>
      <c r="M405" s="4"/>
      <c r="N405" s="4"/>
      <c r="O405" s="4"/>
      <c r="P405" s="4"/>
      <c r="Q405" s="4"/>
      <c r="R405" s="4"/>
      <c r="S405" s="4"/>
      <c r="T405" s="4"/>
      <c r="U405" s="4"/>
      <c r="V405" s="4"/>
      <c r="W405" s="4"/>
      <c r="X405" s="4"/>
      <c r="Y405" s="4"/>
      <c r="Z405" s="4"/>
      <c r="AA405" s="4"/>
      <c r="AB405" s="4"/>
      <c r="AC405" s="4"/>
      <c r="AD405" s="4"/>
      <c r="AE405" s="4"/>
      <c r="AF405" s="4"/>
      <c r="AG405" s="4"/>
      <c r="AH405" s="4"/>
      <c r="AI405" s="4"/>
      <c r="AJ405" s="4"/>
      <c r="AK405" s="4"/>
      <c r="AL405" s="4"/>
      <c r="AM405" s="4"/>
      <c r="AN405" s="4"/>
    </row>
    <row r="406" spans="1:40" x14ac:dyDescent="0.25">
      <c r="B406" s="87" t="s">
        <v>15</v>
      </c>
      <c r="C406" s="91" t="s">
        <v>318</v>
      </c>
      <c r="D406" s="39"/>
      <c r="E406" s="54" t="s">
        <v>12</v>
      </c>
      <c r="F406" s="26"/>
      <c r="G406" s="25"/>
      <c r="H406" s="23"/>
      <c r="I406" s="4"/>
      <c r="J406" s="4"/>
      <c r="K406" s="4"/>
      <c r="L406" s="4"/>
      <c r="M406" s="4"/>
      <c r="N406" s="4"/>
      <c r="O406" s="4"/>
      <c r="P406" s="4"/>
      <c r="Q406" s="4"/>
      <c r="R406" s="4"/>
      <c r="S406" s="4"/>
      <c r="T406" s="4"/>
      <c r="U406" s="4"/>
      <c r="V406" s="4"/>
      <c r="W406" s="4"/>
      <c r="X406" s="4"/>
      <c r="Y406" s="4"/>
      <c r="Z406" s="4"/>
      <c r="AA406" s="4"/>
      <c r="AB406" s="4"/>
      <c r="AC406" s="4"/>
      <c r="AD406" s="4"/>
      <c r="AE406" s="4"/>
      <c r="AF406" s="4"/>
      <c r="AG406" s="4"/>
      <c r="AH406" s="4"/>
      <c r="AI406" s="4"/>
      <c r="AJ406" s="4"/>
      <c r="AK406" s="4"/>
      <c r="AL406" s="4"/>
      <c r="AM406" s="4"/>
      <c r="AN406" s="4"/>
    </row>
    <row r="407" spans="1:40" x14ac:dyDescent="0.25">
      <c r="B407" s="65"/>
      <c r="C407" s="66"/>
      <c r="D407" s="39"/>
      <c r="E407" s="54" t="s">
        <v>13</v>
      </c>
      <c r="F407" s="19"/>
      <c r="G407" s="25"/>
      <c r="H407" s="23"/>
      <c r="I407" s="4"/>
      <c r="J407" s="4"/>
      <c r="K407" s="4"/>
      <c r="L407" s="4"/>
      <c r="M407" s="4"/>
      <c r="N407" s="4"/>
      <c r="O407" s="4"/>
      <c r="P407" s="4"/>
      <c r="Q407" s="4"/>
      <c r="R407" s="4"/>
      <c r="S407" s="4"/>
      <c r="T407" s="4"/>
      <c r="U407" s="4"/>
      <c r="V407" s="4"/>
      <c r="W407" s="4"/>
      <c r="X407" s="4"/>
      <c r="Y407" s="4"/>
      <c r="Z407" s="4"/>
      <c r="AA407" s="4"/>
      <c r="AB407" s="4"/>
      <c r="AC407" s="4"/>
      <c r="AD407" s="4"/>
      <c r="AE407" s="4"/>
      <c r="AF407" s="4"/>
      <c r="AG407" s="4"/>
      <c r="AH407" s="4"/>
      <c r="AI407" s="4"/>
      <c r="AJ407" s="4"/>
      <c r="AK407" s="4"/>
      <c r="AL407" s="4"/>
      <c r="AM407" s="4"/>
      <c r="AN407" s="4"/>
    </row>
    <row r="408" spans="1:40" s="16" customFormat="1" ht="18.95" customHeight="1" x14ac:dyDescent="0.25">
      <c r="A408" s="4"/>
      <c r="B408" s="140" t="s">
        <v>62</v>
      </c>
      <c r="C408" s="148" t="s">
        <v>319</v>
      </c>
      <c r="D408" s="40"/>
      <c r="E408" s="53"/>
      <c r="F408" s="79"/>
      <c r="G408" s="14"/>
      <c r="H408" s="14"/>
    </row>
    <row r="409" spans="1:40" x14ac:dyDescent="0.25">
      <c r="B409" s="87" t="s">
        <v>15</v>
      </c>
      <c r="C409" s="124" t="s">
        <v>320</v>
      </c>
      <c r="D409" s="39"/>
      <c r="E409" s="54" t="s">
        <v>9</v>
      </c>
      <c r="F409" s="26"/>
      <c r="G409" s="25"/>
      <c r="H409" s="20" t="b">
        <f>IF(D410="x",H$2,H$1)</f>
        <v>0</v>
      </c>
      <c r="I409" s="4"/>
      <c r="J409" s="4"/>
      <c r="K409" s="4"/>
      <c r="L409" s="4"/>
      <c r="M409" s="4"/>
      <c r="N409" s="4"/>
      <c r="O409" s="4"/>
      <c r="P409" s="4"/>
      <c r="Q409" s="4"/>
      <c r="R409" s="4"/>
      <c r="S409" s="4"/>
      <c r="T409" s="4"/>
      <c r="U409" s="4"/>
      <c r="V409" s="4"/>
      <c r="W409" s="4"/>
      <c r="X409" s="4"/>
      <c r="Y409" s="4"/>
      <c r="Z409" s="4"/>
      <c r="AA409" s="4"/>
      <c r="AB409" s="4"/>
      <c r="AC409" s="4"/>
      <c r="AD409" s="4"/>
      <c r="AE409" s="4"/>
      <c r="AF409" s="4"/>
      <c r="AG409" s="4"/>
      <c r="AH409" s="4"/>
      <c r="AI409" s="4"/>
      <c r="AJ409" s="4"/>
      <c r="AK409" s="4"/>
      <c r="AL409" s="4"/>
      <c r="AM409" s="4"/>
      <c r="AN409" s="4"/>
    </row>
    <row r="410" spans="1:40" x14ac:dyDescent="0.25">
      <c r="B410" s="87" t="s">
        <v>15</v>
      </c>
      <c r="C410" s="107" t="s">
        <v>321</v>
      </c>
      <c r="D410" s="39"/>
      <c r="E410" s="54" t="s">
        <v>10</v>
      </c>
      <c r="F410" s="21" t="str">
        <f>IF(H411=1,IF(H409=H$2,H409,""),"")</f>
        <v/>
      </c>
      <c r="G410" s="25"/>
      <c r="H410" s="20" t="str">
        <f>IF(E$462="comprobar",COUNTIF(D409:D413,"x"),"")</f>
        <v/>
      </c>
      <c r="I410" s="4"/>
      <c r="J410" s="4"/>
      <c r="K410" s="4"/>
      <c r="L410" s="4"/>
      <c r="M410" s="4"/>
      <c r="N410" s="4"/>
      <c r="O410" s="4"/>
      <c r="P410" s="4"/>
      <c r="Q410" s="4"/>
      <c r="R410" s="4"/>
      <c r="S410" s="4"/>
      <c r="T410" s="4"/>
      <c r="U410" s="4"/>
      <c r="V410" s="4"/>
      <c r="W410" s="4"/>
      <c r="X410" s="4"/>
      <c r="Y410" s="4"/>
      <c r="Z410" s="4"/>
      <c r="AA410" s="4"/>
      <c r="AB410" s="4"/>
      <c r="AC410" s="4"/>
      <c r="AD410" s="4"/>
      <c r="AE410" s="4"/>
      <c r="AF410" s="4"/>
      <c r="AG410" s="4"/>
      <c r="AH410" s="4"/>
      <c r="AI410" s="4"/>
      <c r="AJ410" s="4"/>
      <c r="AK410" s="4"/>
      <c r="AL410" s="4"/>
      <c r="AM410" s="4"/>
      <c r="AN410" s="4"/>
    </row>
    <row r="411" spans="1:40" x14ac:dyDescent="0.25">
      <c r="B411" s="87" t="s">
        <v>15</v>
      </c>
      <c r="C411" s="91" t="s">
        <v>322</v>
      </c>
      <c r="D411" s="39"/>
      <c r="E411" s="54" t="s">
        <v>11</v>
      </c>
      <c r="F411" s="22" t="str">
        <f>IF(H411=-0.33,IF(H409=H$1,H409,""),"")</f>
        <v/>
      </c>
      <c r="G411" s="25"/>
      <c r="H411" s="23">
        <f>IF(H410=1,IF(H409=H$2,1,-0.33),0)</f>
        <v>0</v>
      </c>
      <c r="I411" s="4"/>
      <c r="J411" s="4"/>
      <c r="K411" s="4"/>
      <c r="L411" s="4"/>
      <c r="M411" s="4"/>
      <c r="N411" s="4"/>
      <c r="O411" s="4"/>
      <c r="P411" s="4"/>
      <c r="Q411" s="4"/>
      <c r="R411" s="4"/>
      <c r="S411" s="4"/>
      <c r="T411" s="4"/>
      <c r="U411" s="4"/>
      <c r="V411" s="4"/>
      <c r="W411" s="4"/>
      <c r="X411" s="4"/>
      <c r="Y411" s="4"/>
      <c r="Z411" s="4"/>
      <c r="AA411" s="4"/>
      <c r="AB411" s="4"/>
      <c r="AC411" s="4"/>
      <c r="AD411" s="4"/>
      <c r="AE411" s="4"/>
      <c r="AF411" s="4"/>
      <c r="AG411" s="4"/>
      <c r="AH411" s="4"/>
      <c r="AI411" s="4"/>
      <c r="AJ411" s="4"/>
      <c r="AK411" s="4"/>
      <c r="AL411" s="4"/>
      <c r="AM411" s="4"/>
      <c r="AN411" s="4"/>
    </row>
    <row r="412" spans="1:40" x14ac:dyDescent="0.25">
      <c r="B412" s="87" t="s">
        <v>15</v>
      </c>
      <c r="C412" s="91" t="s">
        <v>323</v>
      </c>
      <c r="D412" s="39"/>
      <c r="E412" s="54" t="s">
        <v>12</v>
      </c>
      <c r="F412" s="26"/>
      <c r="G412" s="25"/>
      <c r="H412" s="23"/>
      <c r="I412" s="4"/>
      <c r="J412" s="4"/>
      <c r="K412" s="4"/>
      <c r="L412" s="4"/>
      <c r="M412" s="4"/>
      <c r="N412" s="4"/>
      <c r="O412" s="4"/>
      <c r="P412" s="4"/>
      <c r="Q412" s="4"/>
      <c r="R412" s="4"/>
      <c r="S412" s="4"/>
      <c r="T412" s="4"/>
      <c r="U412" s="4"/>
      <c r="V412" s="4"/>
      <c r="W412" s="4"/>
      <c r="X412" s="4"/>
      <c r="Y412" s="4"/>
      <c r="Z412" s="4"/>
      <c r="AA412" s="4"/>
      <c r="AB412" s="4"/>
      <c r="AC412" s="4"/>
      <c r="AD412" s="4"/>
      <c r="AE412" s="4"/>
      <c r="AF412" s="4"/>
      <c r="AG412" s="4"/>
      <c r="AH412" s="4"/>
      <c r="AI412" s="4"/>
      <c r="AJ412" s="4"/>
      <c r="AK412" s="4"/>
      <c r="AL412" s="4"/>
      <c r="AM412" s="4"/>
      <c r="AN412" s="4"/>
    </row>
    <row r="413" spans="1:40" x14ac:dyDescent="0.25">
      <c r="B413" s="65"/>
      <c r="C413" s="66"/>
      <c r="D413" s="39"/>
      <c r="E413" s="54" t="s">
        <v>13</v>
      </c>
      <c r="F413" s="19"/>
      <c r="G413" s="25"/>
      <c r="H413" s="23"/>
      <c r="I413" s="4"/>
      <c r="J413" s="4"/>
      <c r="K413" s="4"/>
      <c r="L413" s="4"/>
      <c r="M413" s="4"/>
      <c r="N413" s="4"/>
      <c r="O413" s="4"/>
      <c r="P413" s="4"/>
      <c r="Q413" s="4"/>
      <c r="R413" s="4"/>
      <c r="S413" s="4"/>
      <c r="T413" s="4"/>
      <c r="U413" s="4"/>
      <c r="V413" s="4"/>
      <c r="W413" s="4"/>
      <c r="X413" s="4"/>
      <c r="Y413" s="4"/>
      <c r="Z413" s="4"/>
      <c r="AA413" s="4"/>
      <c r="AB413" s="4"/>
      <c r="AC413" s="4"/>
      <c r="AD413" s="4"/>
      <c r="AE413" s="4"/>
      <c r="AF413" s="4"/>
      <c r="AG413" s="4"/>
      <c r="AH413" s="4"/>
      <c r="AI413" s="4"/>
      <c r="AJ413" s="4"/>
      <c r="AK413" s="4"/>
      <c r="AL413" s="4"/>
      <c r="AM413" s="4"/>
      <c r="AN413" s="4"/>
    </row>
    <row r="414" spans="1:40" s="16" customFormat="1" ht="18.95" customHeight="1" x14ac:dyDescent="0.25">
      <c r="A414" s="4"/>
      <c r="B414" s="140" t="s">
        <v>69</v>
      </c>
      <c r="C414" s="125" t="s">
        <v>324</v>
      </c>
      <c r="D414" s="80"/>
      <c r="E414" s="53"/>
      <c r="F414" s="28"/>
      <c r="G414" s="14"/>
      <c r="H414" s="14"/>
    </row>
    <row r="415" spans="1:40" x14ac:dyDescent="0.25">
      <c r="B415" s="87" t="s">
        <v>15</v>
      </c>
      <c r="C415" s="126" t="s">
        <v>325</v>
      </c>
      <c r="D415" s="39"/>
      <c r="E415" s="54" t="s">
        <v>9</v>
      </c>
      <c r="F415" s="26"/>
      <c r="G415" s="25"/>
      <c r="H415" s="20" t="b">
        <f>IF(D416="x",H$2,H$1)</f>
        <v>0</v>
      </c>
      <c r="I415" s="4"/>
      <c r="J415" s="4"/>
      <c r="K415" s="4"/>
      <c r="L415" s="4"/>
      <c r="M415" s="4"/>
      <c r="N415" s="4"/>
      <c r="O415" s="4"/>
      <c r="P415" s="4"/>
      <c r="Q415" s="4"/>
      <c r="R415" s="4"/>
      <c r="S415" s="4"/>
      <c r="T415" s="4"/>
      <c r="U415" s="4"/>
      <c r="V415" s="4"/>
      <c r="W415" s="4"/>
      <c r="X415" s="4"/>
      <c r="Y415" s="4"/>
      <c r="Z415" s="4"/>
      <c r="AA415" s="4"/>
      <c r="AB415" s="4"/>
      <c r="AC415" s="4"/>
      <c r="AD415" s="4"/>
      <c r="AE415" s="4"/>
      <c r="AF415" s="4"/>
      <c r="AG415" s="4"/>
      <c r="AH415" s="4"/>
      <c r="AI415" s="4"/>
      <c r="AJ415" s="4"/>
      <c r="AK415" s="4"/>
      <c r="AL415" s="4"/>
      <c r="AM415" s="4"/>
      <c r="AN415" s="4"/>
    </row>
    <row r="416" spans="1:40" x14ac:dyDescent="0.25">
      <c r="B416" s="87" t="s">
        <v>15</v>
      </c>
      <c r="C416" s="127" t="s">
        <v>326</v>
      </c>
      <c r="D416" s="39"/>
      <c r="E416" s="54" t="s">
        <v>10</v>
      </c>
      <c r="F416" s="21" t="str">
        <f>IF(H417=1,IF(H415=H$2,H415,""),"")</f>
        <v/>
      </c>
      <c r="G416" s="25"/>
      <c r="H416" s="20" t="str">
        <f>IF(E$462="comprobar",COUNTIF(D415:D419,"x"),"")</f>
        <v/>
      </c>
      <c r="I416" s="4"/>
      <c r="J416" s="4"/>
      <c r="K416" s="4"/>
      <c r="L416" s="4"/>
      <c r="M416" s="4"/>
      <c r="N416" s="4"/>
      <c r="O416" s="4"/>
      <c r="P416" s="4"/>
      <c r="Q416" s="4"/>
      <c r="R416" s="4"/>
      <c r="S416" s="4"/>
      <c r="T416" s="4"/>
      <c r="U416" s="4"/>
      <c r="V416" s="4"/>
      <c r="W416" s="4"/>
      <c r="X416" s="4"/>
      <c r="Y416" s="4"/>
      <c r="Z416" s="4"/>
      <c r="AA416" s="4"/>
      <c r="AB416" s="4"/>
      <c r="AC416" s="4"/>
      <c r="AD416" s="4"/>
      <c r="AE416" s="4"/>
      <c r="AF416" s="4"/>
      <c r="AG416" s="4"/>
      <c r="AH416" s="4"/>
      <c r="AI416" s="4"/>
      <c r="AJ416" s="4"/>
      <c r="AK416" s="4"/>
      <c r="AL416" s="4"/>
      <c r="AM416" s="4"/>
      <c r="AN416" s="4"/>
    </row>
    <row r="417" spans="1:40" x14ac:dyDescent="0.25">
      <c r="B417" s="87" t="s">
        <v>15</v>
      </c>
      <c r="C417" s="107" t="s">
        <v>327</v>
      </c>
      <c r="D417" s="39"/>
      <c r="E417" s="54" t="s">
        <v>11</v>
      </c>
      <c r="F417" s="22" t="str">
        <f>IF(H417=-0.33,IF(H415=H$1,H415,""),"")</f>
        <v/>
      </c>
      <c r="G417" s="25"/>
      <c r="H417" s="23">
        <f>IF(H416=1,IF(H415=H$2,1,-0.33),0)</f>
        <v>0</v>
      </c>
      <c r="I417" s="4"/>
      <c r="J417" s="4"/>
      <c r="K417" s="4"/>
      <c r="L417" s="4"/>
      <c r="M417" s="4"/>
      <c r="N417" s="4"/>
      <c r="O417" s="4"/>
      <c r="P417" s="4"/>
      <c r="Q417" s="4"/>
      <c r="R417" s="4"/>
      <c r="S417" s="4"/>
      <c r="T417" s="4"/>
      <c r="U417" s="4"/>
      <c r="V417" s="4"/>
      <c r="W417" s="4"/>
      <c r="X417" s="4"/>
      <c r="Y417" s="4"/>
      <c r="Z417" s="4"/>
      <c r="AA417" s="4"/>
      <c r="AB417" s="4"/>
      <c r="AC417" s="4"/>
      <c r="AD417" s="4"/>
      <c r="AE417" s="4"/>
      <c r="AF417" s="4"/>
      <c r="AG417" s="4"/>
      <c r="AH417" s="4"/>
      <c r="AI417" s="4"/>
      <c r="AJ417" s="4"/>
      <c r="AK417" s="4"/>
      <c r="AL417" s="4"/>
      <c r="AM417" s="4"/>
      <c r="AN417" s="4"/>
    </row>
    <row r="418" spans="1:40" x14ac:dyDescent="0.25">
      <c r="B418" s="87" t="s">
        <v>15</v>
      </c>
      <c r="C418" s="91" t="s">
        <v>328</v>
      </c>
      <c r="D418" s="39"/>
      <c r="E418" s="54" t="s">
        <v>12</v>
      </c>
      <c r="F418" s="26"/>
      <c r="G418" s="25"/>
      <c r="H418" s="23"/>
      <c r="I418" s="4"/>
      <c r="J418" s="4"/>
      <c r="K418" s="4"/>
      <c r="L418" s="4"/>
      <c r="M418" s="4"/>
      <c r="N418" s="4"/>
      <c r="O418" s="4"/>
      <c r="P418" s="4"/>
      <c r="Q418" s="4"/>
      <c r="R418" s="4"/>
      <c r="S418" s="4"/>
      <c r="T418" s="4"/>
      <c r="U418" s="4"/>
      <c r="V418" s="4"/>
      <c r="W418" s="4"/>
      <c r="X418" s="4"/>
      <c r="Y418" s="4"/>
      <c r="Z418" s="4"/>
      <c r="AA418" s="4"/>
      <c r="AB418" s="4"/>
      <c r="AC418" s="4"/>
      <c r="AD418" s="4"/>
      <c r="AE418" s="4"/>
      <c r="AF418" s="4"/>
      <c r="AG418" s="4"/>
      <c r="AH418" s="4"/>
      <c r="AI418" s="4"/>
      <c r="AJ418" s="4"/>
      <c r="AK418" s="4"/>
      <c r="AL418" s="4"/>
      <c r="AM418" s="4"/>
      <c r="AN418" s="4"/>
    </row>
    <row r="419" spans="1:40" x14ac:dyDescent="0.25">
      <c r="B419" s="65"/>
      <c r="C419" s="128"/>
      <c r="D419" s="39"/>
      <c r="E419" s="54" t="s">
        <v>13</v>
      </c>
      <c r="F419" s="19"/>
      <c r="G419" s="25"/>
      <c r="H419" s="23"/>
      <c r="I419" s="4"/>
      <c r="J419" s="4"/>
      <c r="K419" s="4"/>
      <c r="L419" s="4"/>
      <c r="M419" s="4"/>
      <c r="N419" s="4"/>
      <c r="O419" s="4"/>
      <c r="P419" s="4"/>
      <c r="Q419" s="4"/>
      <c r="R419" s="4"/>
      <c r="S419" s="4"/>
      <c r="T419" s="4"/>
      <c r="U419" s="4"/>
      <c r="V419" s="4"/>
      <c r="W419" s="4"/>
      <c r="X419" s="4"/>
      <c r="Y419" s="4"/>
      <c r="Z419" s="4"/>
      <c r="AA419" s="4"/>
      <c r="AB419" s="4"/>
      <c r="AC419" s="4"/>
      <c r="AD419" s="4"/>
      <c r="AE419" s="4"/>
      <c r="AF419" s="4"/>
      <c r="AG419" s="4"/>
      <c r="AH419" s="4"/>
      <c r="AI419" s="4"/>
      <c r="AJ419" s="4"/>
      <c r="AK419" s="4"/>
      <c r="AL419" s="4"/>
      <c r="AM419" s="4"/>
      <c r="AN419" s="4"/>
    </row>
    <row r="420" spans="1:40" s="16" customFormat="1" ht="18.95" customHeight="1" x14ac:dyDescent="0.25">
      <c r="A420" s="4"/>
      <c r="B420" s="140" t="s">
        <v>75</v>
      </c>
      <c r="C420" s="148" t="s">
        <v>329</v>
      </c>
      <c r="D420" s="80"/>
      <c r="E420" s="53"/>
      <c r="F420" s="28"/>
      <c r="G420" s="14"/>
      <c r="H420" s="14"/>
    </row>
    <row r="421" spans="1:40" x14ac:dyDescent="0.25">
      <c r="B421" s="87" t="s">
        <v>15</v>
      </c>
      <c r="C421" s="126" t="s">
        <v>330</v>
      </c>
      <c r="D421" s="39"/>
      <c r="E421" s="54" t="s">
        <v>9</v>
      </c>
      <c r="F421" s="26"/>
      <c r="G421" s="25"/>
      <c r="H421" s="20" t="b">
        <f>IF(D422="x",H$2,H$1)</f>
        <v>0</v>
      </c>
      <c r="I421" s="4"/>
      <c r="J421" s="4"/>
      <c r="K421" s="4"/>
      <c r="L421" s="4"/>
      <c r="M421" s="4"/>
      <c r="N421" s="4"/>
      <c r="O421" s="4"/>
      <c r="P421" s="4"/>
      <c r="Q421" s="4"/>
      <c r="R421" s="4"/>
      <c r="S421" s="4"/>
      <c r="T421" s="4"/>
      <c r="U421" s="4"/>
      <c r="V421" s="4"/>
      <c r="W421" s="4"/>
      <c r="X421" s="4"/>
      <c r="Y421" s="4"/>
      <c r="Z421" s="4"/>
      <c r="AA421" s="4"/>
      <c r="AB421" s="4"/>
      <c r="AC421" s="4"/>
      <c r="AD421" s="4"/>
      <c r="AE421" s="4"/>
      <c r="AF421" s="4"/>
      <c r="AG421" s="4"/>
      <c r="AH421" s="4"/>
      <c r="AI421" s="4"/>
      <c r="AJ421" s="4"/>
      <c r="AK421" s="4"/>
      <c r="AL421" s="4"/>
      <c r="AM421" s="4"/>
      <c r="AN421" s="4"/>
    </row>
    <row r="422" spans="1:40" x14ac:dyDescent="0.25">
      <c r="B422" s="87" t="s">
        <v>15</v>
      </c>
      <c r="C422" s="91" t="s">
        <v>331</v>
      </c>
      <c r="D422" s="39"/>
      <c r="E422" s="54" t="s">
        <v>10</v>
      </c>
      <c r="F422" s="21" t="str">
        <f>IF(H423=1,IF(H421=H$2,H421,""),"")</f>
        <v/>
      </c>
      <c r="G422" s="25"/>
      <c r="H422" s="20" t="str">
        <f>IF(E$462="comprobar",COUNTIF(D421:D425,"x"),"")</f>
        <v/>
      </c>
      <c r="I422" s="4"/>
      <c r="J422" s="4"/>
      <c r="K422" s="4"/>
      <c r="L422" s="4"/>
      <c r="M422" s="4"/>
      <c r="N422" s="4"/>
      <c r="O422" s="4"/>
      <c r="P422" s="4"/>
      <c r="Q422" s="4"/>
      <c r="R422" s="4"/>
      <c r="S422" s="4"/>
      <c r="T422" s="4"/>
      <c r="U422" s="4"/>
      <c r="V422" s="4"/>
      <c r="W422" s="4"/>
      <c r="X422" s="4"/>
      <c r="Y422" s="4"/>
      <c r="Z422" s="4"/>
      <c r="AA422" s="4"/>
      <c r="AB422" s="4"/>
      <c r="AC422" s="4"/>
      <c r="AD422" s="4"/>
      <c r="AE422" s="4"/>
      <c r="AF422" s="4"/>
      <c r="AG422" s="4"/>
      <c r="AH422" s="4"/>
      <c r="AI422" s="4"/>
      <c r="AJ422" s="4"/>
      <c r="AK422" s="4"/>
      <c r="AL422" s="4"/>
      <c r="AM422" s="4"/>
      <c r="AN422" s="4"/>
    </row>
    <row r="423" spans="1:40" x14ac:dyDescent="0.25">
      <c r="B423" s="87" t="s">
        <v>15</v>
      </c>
      <c r="C423" s="127" t="s">
        <v>332</v>
      </c>
      <c r="D423" s="39"/>
      <c r="E423" s="54" t="s">
        <v>11</v>
      </c>
      <c r="F423" s="22" t="str">
        <f>IF(H423=-0.33,IF(H421=H$1,H421,""),"")</f>
        <v/>
      </c>
      <c r="G423" s="25"/>
      <c r="H423" s="23">
        <f>IF(H422=1,IF(H421=H$2,1,-0.33),0)</f>
        <v>0</v>
      </c>
      <c r="I423" s="4"/>
      <c r="J423" s="4"/>
      <c r="K423" s="4"/>
      <c r="L423" s="4"/>
      <c r="M423" s="4"/>
      <c r="N423" s="4"/>
      <c r="O423" s="4"/>
      <c r="P423" s="4"/>
      <c r="Q423" s="4"/>
      <c r="R423" s="4"/>
      <c r="S423" s="4"/>
      <c r="T423" s="4"/>
      <c r="U423" s="4"/>
      <c r="V423" s="4"/>
      <c r="W423" s="4"/>
      <c r="X423" s="4"/>
      <c r="Y423" s="4"/>
      <c r="Z423" s="4"/>
      <c r="AA423" s="4"/>
      <c r="AB423" s="4"/>
      <c r="AC423" s="4"/>
      <c r="AD423" s="4"/>
      <c r="AE423" s="4"/>
      <c r="AF423" s="4"/>
      <c r="AG423" s="4"/>
      <c r="AH423" s="4"/>
      <c r="AI423" s="4"/>
      <c r="AJ423" s="4"/>
      <c r="AK423" s="4"/>
      <c r="AL423" s="4"/>
      <c r="AM423" s="4"/>
      <c r="AN423" s="4"/>
    </row>
    <row r="424" spans="1:40" x14ac:dyDescent="0.25">
      <c r="B424" s="87" t="s">
        <v>15</v>
      </c>
      <c r="C424" s="107" t="s">
        <v>333</v>
      </c>
      <c r="D424" s="39"/>
      <c r="E424" s="54" t="s">
        <v>12</v>
      </c>
      <c r="F424" s="26"/>
      <c r="G424" s="25"/>
      <c r="H424" s="23"/>
      <c r="I424" s="4"/>
      <c r="J424" s="4"/>
      <c r="K424" s="4"/>
      <c r="L424" s="4"/>
      <c r="M424" s="4"/>
      <c r="N424" s="4"/>
      <c r="O424" s="4"/>
      <c r="P424" s="4"/>
      <c r="Q424" s="4"/>
      <c r="R424" s="4"/>
      <c r="S424" s="4"/>
      <c r="T424" s="4"/>
      <c r="U424" s="4"/>
      <c r="V424" s="4"/>
      <c r="W424" s="4"/>
      <c r="X424" s="4"/>
      <c r="Y424" s="4"/>
      <c r="Z424" s="4"/>
      <c r="AA424" s="4"/>
      <c r="AB424" s="4"/>
      <c r="AC424" s="4"/>
      <c r="AD424" s="4"/>
      <c r="AE424" s="4"/>
      <c r="AF424" s="4"/>
      <c r="AG424" s="4"/>
      <c r="AH424" s="4"/>
      <c r="AI424" s="4"/>
      <c r="AJ424" s="4"/>
      <c r="AK424" s="4"/>
      <c r="AL424" s="4"/>
      <c r="AM424" s="4"/>
      <c r="AN424" s="4"/>
    </row>
    <row r="425" spans="1:40" x14ac:dyDescent="0.25">
      <c r="B425" s="65"/>
      <c r="C425" s="66"/>
      <c r="D425" s="39"/>
      <c r="E425" s="54" t="s">
        <v>13</v>
      </c>
      <c r="F425" s="19"/>
      <c r="G425" s="25"/>
      <c r="H425" s="23"/>
      <c r="I425" s="4"/>
      <c r="J425" s="4"/>
      <c r="K425" s="4"/>
      <c r="L425" s="4"/>
      <c r="M425" s="4"/>
      <c r="N425" s="4"/>
      <c r="O425" s="4"/>
      <c r="P425" s="4"/>
      <c r="Q425" s="4"/>
      <c r="R425" s="4"/>
      <c r="S425" s="4"/>
      <c r="T425" s="4"/>
      <c r="U425" s="4"/>
      <c r="V425" s="4"/>
      <c r="W425" s="4"/>
      <c r="X425" s="4"/>
      <c r="Y425" s="4"/>
      <c r="Z425" s="4"/>
      <c r="AA425" s="4"/>
      <c r="AB425" s="4"/>
      <c r="AC425" s="4"/>
      <c r="AD425" s="4"/>
      <c r="AE425" s="4"/>
      <c r="AF425" s="4"/>
      <c r="AG425" s="4"/>
      <c r="AH425" s="4"/>
      <c r="AI425" s="4"/>
      <c r="AJ425" s="4"/>
      <c r="AK425" s="4"/>
      <c r="AL425" s="4"/>
      <c r="AM425" s="4"/>
      <c r="AN425" s="4"/>
    </row>
    <row r="426" spans="1:40" s="16" customFormat="1" x14ac:dyDescent="0.25">
      <c r="A426" s="4"/>
      <c r="B426" s="140" t="s">
        <v>80</v>
      </c>
      <c r="C426" s="90" t="s">
        <v>334</v>
      </c>
      <c r="D426" s="108"/>
      <c r="E426" s="53"/>
      <c r="F426" s="28"/>
      <c r="G426" s="14"/>
      <c r="H426" s="14"/>
    </row>
    <row r="427" spans="1:40" x14ac:dyDescent="0.25">
      <c r="B427" s="87" t="s">
        <v>15</v>
      </c>
      <c r="C427" s="64" t="s">
        <v>335</v>
      </c>
      <c r="D427" s="39"/>
      <c r="E427" s="54" t="s">
        <v>9</v>
      </c>
      <c r="F427" s="26"/>
      <c r="G427" s="25"/>
      <c r="H427" s="20" t="b">
        <f>IF(D429="x",H$2,H$1)</f>
        <v>0</v>
      </c>
      <c r="I427" s="4"/>
      <c r="J427" s="4"/>
      <c r="K427" s="4"/>
      <c r="L427" s="4"/>
      <c r="M427" s="4"/>
      <c r="N427" s="4"/>
      <c r="O427" s="4"/>
      <c r="P427" s="4"/>
      <c r="Q427" s="4"/>
      <c r="R427" s="4"/>
      <c r="S427" s="4"/>
      <c r="T427" s="4"/>
      <c r="U427" s="4"/>
      <c r="V427" s="4"/>
      <c r="W427" s="4"/>
      <c r="X427" s="4"/>
      <c r="Y427" s="4"/>
      <c r="Z427" s="4"/>
      <c r="AA427" s="4"/>
      <c r="AB427" s="4"/>
      <c r="AC427" s="4"/>
      <c r="AD427" s="4"/>
      <c r="AE427" s="4"/>
      <c r="AF427" s="4"/>
      <c r="AG427" s="4"/>
      <c r="AH427" s="4"/>
      <c r="AI427" s="4"/>
      <c r="AJ427" s="4"/>
      <c r="AK427" s="4"/>
      <c r="AL427" s="4"/>
      <c r="AM427" s="4"/>
      <c r="AN427" s="4"/>
    </row>
    <row r="428" spans="1:40" x14ac:dyDescent="0.25">
      <c r="B428" s="87" t="s">
        <v>15</v>
      </c>
      <c r="C428" s="107" t="s">
        <v>336</v>
      </c>
      <c r="D428" s="39"/>
      <c r="E428" s="54" t="s">
        <v>10</v>
      </c>
      <c r="F428" s="21" t="str">
        <f>IF(H429=1,IF(H427=H$2,H427,""),"")</f>
        <v/>
      </c>
      <c r="G428" s="25"/>
      <c r="H428" s="20" t="str">
        <f>IF(E$462="comprobar",COUNTIF(D427:D431,"x"),"")</f>
        <v/>
      </c>
      <c r="I428" s="4"/>
      <c r="J428" s="4"/>
      <c r="K428" s="4"/>
      <c r="L428" s="4"/>
      <c r="M428" s="4"/>
      <c r="N428" s="4"/>
      <c r="O428" s="4"/>
      <c r="P428" s="4"/>
      <c r="Q428" s="4"/>
      <c r="R428" s="4"/>
      <c r="S428" s="4"/>
      <c r="T428" s="4"/>
      <c r="U428" s="4"/>
      <c r="V428" s="4"/>
      <c r="W428" s="4"/>
      <c r="X428" s="4"/>
      <c r="Y428" s="4"/>
      <c r="Z428" s="4"/>
      <c r="AA428" s="4"/>
      <c r="AB428" s="4"/>
      <c r="AC428" s="4"/>
      <c r="AD428" s="4"/>
      <c r="AE428" s="4"/>
      <c r="AF428" s="4"/>
      <c r="AG428" s="4"/>
      <c r="AH428" s="4"/>
      <c r="AI428" s="4"/>
      <c r="AJ428" s="4"/>
      <c r="AK428" s="4"/>
      <c r="AL428" s="4"/>
      <c r="AM428" s="4"/>
      <c r="AN428" s="4"/>
    </row>
    <row r="429" spans="1:40" x14ac:dyDescent="0.25">
      <c r="B429" s="87" t="s">
        <v>15</v>
      </c>
      <c r="C429" s="107" t="s">
        <v>337</v>
      </c>
      <c r="D429" s="39"/>
      <c r="E429" s="54" t="s">
        <v>11</v>
      </c>
      <c r="F429" s="22" t="str">
        <f>IF(H429=-0.33,IF(H427=H$1,H427,""),"")</f>
        <v/>
      </c>
      <c r="G429" s="25"/>
      <c r="H429" s="23">
        <f>IF(H428=1,IF(H427=H$2,1,-0.33),0)</f>
        <v>0</v>
      </c>
      <c r="I429" s="4"/>
      <c r="J429" s="4"/>
      <c r="K429" s="4"/>
      <c r="L429" s="4"/>
      <c r="M429" s="4"/>
      <c r="N429" s="4"/>
      <c r="O429" s="4"/>
      <c r="P429" s="4"/>
      <c r="Q429" s="4"/>
      <c r="R429" s="4"/>
      <c r="S429" s="4"/>
      <c r="T429" s="4"/>
      <c r="U429" s="4"/>
      <c r="V429" s="4"/>
      <c r="W429" s="4"/>
      <c r="X429" s="4"/>
      <c r="Y429" s="4"/>
      <c r="Z429" s="4"/>
      <c r="AA429" s="4"/>
      <c r="AB429" s="4"/>
      <c r="AC429" s="4"/>
      <c r="AD429" s="4"/>
      <c r="AE429" s="4"/>
      <c r="AF429" s="4"/>
      <c r="AG429" s="4"/>
      <c r="AH429" s="4"/>
      <c r="AI429" s="4"/>
      <c r="AJ429" s="4"/>
      <c r="AK429" s="4"/>
      <c r="AL429" s="4"/>
      <c r="AM429" s="4"/>
      <c r="AN429" s="4"/>
    </row>
    <row r="430" spans="1:40" x14ac:dyDescent="0.25">
      <c r="B430" s="87" t="s">
        <v>15</v>
      </c>
      <c r="C430" s="107" t="s">
        <v>338</v>
      </c>
      <c r="D430" s="39"/>
      <c r="E430" s="54" t="s">
        <v>12</v>
      </c>
      <c r="F430" s="26"/>
      <c r="G430" s="25"/>
      <c r="H430" s="23"/>
      <c r="I430" s="4"/>
      <c r="J430" s="4"/>
      <c r="K430" s="4"/>
      <c r="L430" s="4"/>
      <c r="M430" s="4"/>
      <c r="N430" s="4"/>
      <c r="O430" s="4"/>
      <c r="P430" s="4"/>
      <c r="Q430" s="4"/>
      <c r="R430" s="4"/>
      <c r="S430" s="4"/>
      <c r="T430" s="4"/>
      <c r="U430" s="4"/>
      <c r="V430" s="4"/>
      <c r="W430" s="4"/>
      <c r="X430" s="4"/>
      <c r="Y430" s="4"/>
      <c r="Z430" s="4"/>
      <c r="AA430" s="4"/>
      <c r="AB430" s="4"/>
      <c r="AC430" s="4"/>
      <c r="AD430" s="4"/>
      <c r="AE430" s="4"/>
      <c r="AF430" s="4"/>
      <c r="AG430" s="4"/>
      <c r="AH430" s="4"/>
      <c r="AI430" s="4"/>
      <c r="AJ430" s="4"/>
      <c r="AK430" s="4"/>
      <c r="AL430" s="4"/>
      <c r="AM430" s="4"/>
      <c r="AN430" s="4"/>
    </row>
    <row r="431" spans="1:40" x14ac:dyDescent="0.25">
      <c r="B431" s="65"/>
      <c r="C431" s="66"/>
      <c r="D431" s="39"/>
      <c r="E431" s="54" t="s">
        <v>13</v>
      </c>
      <c r="F431" s="19"/>
      <c r="G431" s="25"/>
      <c r="H431" s="23"/>
      <c r="I431" s="4"/>
      <c r="J431" s="4"/>
      <c r="K431" s="4"/>
      <c r="L431" s="4"/>
      <c r="M431" s="4"/>
      <c r="N431" s="4"/>
      <c r="O431" s="4"/>
      <c r="P431" s="4"/>
      <c r="Q431" s="4"/>
      <c r="R431" s="4"/>
      <c r="S431" s="4"/>
      <c r="T431" s="4"/>
      <c r="U431" s="4"/>
      <c r="V431" s="4"/>
      <c r="W431" s="4"/>
      <c r="X431" s="4"/>
      <c r="Y431" s="4"/>
      <c r="Z431" s="4"/>
      <c r="AA431" s="4"/>
      <c r="AB431" s="4"/>
      <c r="AC431" s="4"/>
      <c r="AD431" s="4"/>
      <c r="AE431" s="4"/>
      <c r="AF431" s="4"/>
      <c r="AG431" s="4"/>
      <c r="AH431" s="4"/>
      <c r="AI431" s="4"/>
      <c r="AJ431" s="4"/>
      <c r="AK431" s="4"/>
      <c r="AL431" s="4"/>
      <c r="AM431" s="4"/>
      <c r="AN431" s="4"/>
    </row>
    <row r="432" spans="1:40" s="16" customFormat="1" x14ac:dyDescent="0.25">
      <c r="A432" s="4"/>
      <c r="B432" s="140" t="s">
        <v>85</v>
      </c>
      <c r="C432" s="90" t="s">
        <v>339</v>
      </c>
      <c r="D432" s="108"/>
      <c r="E432" s="53"/>
      <c r="F432" s="28"/>
      <c r="G432" s="14"/>
      <c r="H432" s="14"/>
    </row>
    <row r="433" spans="1:40" x14ac:dyDescent="0.25">
      <c r="B433" s="87" t="s">
        <v>15</v>
      </c>
      <c r="C433" s="64" t="s">
        <v>340</v>
      </c>
      <c r="D433" s="39"/>
      <c r="E433" s="54" t="s">
        <v>9</v>
      </c>
      <c r="F433" s="26"/>
      <c r="G433" s="25"/>
      <c r="H433" s="20" t="b">
        <f>IF(D433="x",H$2,H$1)</f>
        <v>0</v>
      </c>
      <c r="I433" s="4"/>
      <c r="J433" s="4"/>
      <c r="K433" s="4"/>
      <c r="L433" s="4"/>
      <c r="M433" s="4"/>
      <c r="N433" s="4"/>
      <c r="O433" s="4"/>
      <c r="P433" s="4"/>
      <c r="Q433" s="4"/>
      <c r="R433" s="4"/>
      <c r="S433" s="4"/>
      <c r="T433" s="4"/>
      <c r="U433" s="4"/>
      <c r="V433" s="4"/>
      <c r="W433" s="4"/>
      <c r="X433" s="4"/>
      <c r="Y433" s="4"/>
      <c r="Z433" s="4"/>
      <c r="AA433" s="4"/>
      <c r="AB433" s="4"/>
      <c r="AC433" s="4"/>
      <c r="AD433" s="4"/>
      <c r="AE433" s="4"/>
      <c r="AF433" s="4"/>
      <c r="AG433" s="4"/>
      <c r="AH433" s="4"/>
      <c r="AI433" s="4"/>
      <c r="AJ433" s="4"/>
      <c r="AK433" s="4"/>
      <c r="AL433" s="4"/>
      <c r="AM433" s="4"/>
      <c r="AN433" s="4"/>
    </row>
    <row r="434" spans="1:40" x14ac:dyDescent="0.25">
      <c r="B434" s="87" t="s">
        <v>15</v>
      </c>
      <c r="C434" s="107" t="s">
        <v>341</v>
      </c>
      <c r="D434" s="39"/>
      <c r="E434" s="54" t="s">
        <v>10</v>
      </c>
      <c r="F434" s="21" t="str">
        <f>IF(H435=1,IF(H433=H$2,H433,""),"")</f>
        <v/>
      </c>
      <c r="G434" s="25"/>
      <c r="H434" s="20" t="str">
        <f>IF(E$462="comprobar",COUNTIF(D433:D437,"x"),"")</f>
        <v/>
      </c>
      <c r="I434" s="4"/>
      <c r="J434" s="4"/>
      <c r="K434" s="4"/>
      <c r="L434" s="4"/>
      <c r="M434" s="4"/>
      <c r="N434" s="4"/>
      <c r="O434" s="4"/>
      <c r="P434" s="4"/>
      <c r="Q434" s="4"/>
      <c r="R434" s="4"/>
      <c r="S434" s="4"/>
      <c r="T434" s="4"/>
      <c r="U434" s="4"/>
      <c r="V434" s="4"/>
      <c r="W434" s="4"/>
      <c r="X434" s="4"/>
      <c r="Y434" s="4"/>
      <c r="Z434" s="4"/>
      <c r="AA434" s="4"/>
      <c r="AB434" s="4"/>
      <c r="AC434" s="4"/>
      <c r="AD434" s="4"/>
      <c r="AE434" s="4"/>
      <c r="AF434" s="4"/>
      <c r="AG434" s="4"/>
      <c r="AH434" s="4"/>
      <c r="AI434" s="4"/>
      <c r="AJ434" s="4"/>
      <c r="AK434" s="4"/>
      <c r="AL434" s="4"/>
      <c r="AM434" s="4"/>
      <c r="AN434" s="4"/>
    </row>
    <row r="435" spans="1:40" x14ac:dyDescent="0.25">
      <c r="B435" s="87" t="s">
        <v>15</v>
      </c>
      <c r="C435" s="107" t="s">
        <v>342</v>
      </c>
      <c r="D435" s="39"/>
      <c r="E435" s="54" t="s">
        <v>11</v>
      </c>
      <c r="F435" s="22" t="str">
        <f>IF(H435=-0.33,IF(H433=H$1,H433,""),"")</f>
        <v/>
      </c>
      <c r="G435" s="25"/>
      <c r="H435" s="23">
        <f>IF(H434=1,IF(H433=H$2,1,-0.33),0)</f>
        <v>0</v>
      </c>
      <c r="I435" s="4"/>
      <c r="J435" s="4"/>
      <c r="K435" s="4"/>
      <c r="L435" s="4"/>
      <c r="M435" s="4"/>
      <c r="N435" s="4"/>
      <c r="O435" s="4"/>
      <c r="P435" s="4"/>
      <c r="Q435" s="4"/>
      <c r="R435" s="4"/>
      <c r="S435" s="4"/>
      <c r="T435" s="4"/>
      <c r="U435" s="4"/>
      <c r="V435" s="4"/>
      <c r="W435" s="4"/>
      <c r="X435" s="4"/>
      <c r="Y435" s="4"/>
      <c r="Z435" s="4"/>
      <c r="AA435" s="4"/>
      <c r="AB435" s="4"/>
      <c r="AC435" s="4"/>
      <c r="AD435" s="4"/>
      <c r="AE435" s="4"/>
      <c r="AF435" s="4"/>
      <c r="AG435" s="4"/>
      <c r="AH435" s="4"/>
      <c r="AI435" s="4"/>
      <c r="AJ435" s="4"/>
      <c r="AK435" s="4"/>
      <c r="AL435" s="4"/>
      <c r="AM435" s="4"/>
      <c r="AN435" s="4"/>
    </row>
    <row r="436" spans="1:40" x14ac:dyDescent="0.25">
      <c r="B436" s="87" t="s">
        <v>15</v>
      </c>
      <c r="C436" s="107" t="s">
        <v>343</v>
      </c>
      <c r="D436" s="39"/>
      <c r="E436" s="54" t="s">
        <v>12</v>
      </c>
      <c r="F436" s="26"/>
      <c r="G436" s="25"/>
      <c r="H436" s="23"/>
      <c r="I436" s="4"/>
      <c r="J436" s="4"/>
      <c r="K436" s="4"/>
      <c r="L436" s="4"/>
      <c r="M436" s="4"/>
      <c r="N436" s="4"/>
      <c r="O436" s="4"/>
      <c r="P436" s="4"/>
      <c r="Q436" s="4"/>
      <c r="R436" s="4"/>
      <c r="S436" s="4"/>
      <c r="T436" s="4"/>
      <c r="U436" s="4"/>
      <c r="V436" s="4"/>
      <c r="W436" s="4"/>
      <c r="X436" s="4"/>
      <c r="Y436" s="4"/>
      <c r="Z436" s="4"/>
      <c r="AA436" s="4"/>
      <c r="AB436" s="4"/>
      <c r="AC436" s="4"/>
      <c r="AD436" s="4"/>
      <c r="AE436" s="4"/>
      <c r="AF436" s="4"/>
      <c r="AG436" s="4"/>
      <c r="AH436" s="4"/>
      <c r="AI436" s="4"/>
      <c r="AJ436" s="4"/>
      <c r="AK436" s="4"/>
      <c r="AL436" s="4"/>
      <c r="AM436" s="4"/>
      <c r="AN436" s="4"/>
    </row>
    <row r="437" spans="1:40" x14ac:dyDescent="0.25">
      <c r="B437" s="65"/>
      <c r="C437" s="66"/>
      <c r="D437" s="39"/>
      <c r="E437" s="54" t="s">
        <v>13</v>
      </c>
      <c r="F437" s="19"/>
      <c r="G437" s="25"/>
      <c r="H437" s="23"/>
      <c r="I437" s="4"/>
      <c r="J437" s="4"/>
      <c r="K437" s="4"/>
      <c r="L437" s="4"/>
      <c r="M437" s="4"/>
      <c r="N437" s="4"/>
      <c r="O437" s="4"/>
      <c r="P437" s="4"/>
      <c r="Q437" s="4"/>
      <c r="R437" s="4"/>
      <c r="S437" s="4"/>
      <c r="T437" s="4"/>
      <c r="U437" s="4"/>
      <c r="V437" s="4"/>
      <c r="W437" s="4"/>
      <c r="X437" s="4"/>
      <c r="Y437" s="4"/>
      <c r="Z437" s="4"/>
      <c r="AA437" s="4"/>
      <c r="AB437" s="4"/>
      <c r="AC437" s="4"/>
      <c r="AD437" s="4"/>
      <c r="AE437" s="4"/>
      <c r="AF437" s="4"/>
      <c r="AG437" s="4"/>
      <c r="AH437" s="4"/>
      <c r="AI437" s="4"/>
      <c r="AJ437" s="4"/>
      <c r="AK437" s="4"/>
      <c r="AL437" s="4"/>
      <c r="AM437" s="4"/>
      <c r="AN437" s="4"/>
    </row>
    <row r="438" spans="1:40" s="16" customFormat="1" x14ac:dyDescent="0.25">
      <c r="A438" s="4"/>
      <c r="B438" s="140" t="s">
        <v>91</v>
      </c>
      <c r="C438" s="166" t="s">
        <v>626</v>
      </c>
      <c r="D438" s="108"/>
      <c r="E438" s="53"/>
      <c r="F438" s="28"/>
      <c r="G438" s="14"/>
      <c r="H438" s="14"/>
    </row>
    <row r="439" spans="1:40" x14ac:dyDescent="0.25">
      <c r="B439" s="87" t="s">
        <v>15</v>
      </c>
      <c r="C439" s="64" t="s">
        <v>344</v>
      </c>
      <c r="D439" s="39"/>
      <c r="E439" s="54" t="s">
        <v>9</v>
      </c>
      <c r="F439" s="26"/>
      <c r="G439" s="25"/>
      <c r="H439" s="20" t="b">
        <f>IF(D441="x",H$2,H$1)</f>
        <v>0</v>
      </c>
      <c r="I439" s="4"/>
      <c r="J439" s="4"/>
      <c r="K439" s="4"/>
      <c r="L439" s="4"/>
      <c r="M439" s="4"/>
      <c r="N439" s="4"/>
      <c r="O439" s="4"/>
      <c r="P439" s="4"/>
      <c r="Q439" s="4"/>
      <c r="R439" s="4"/>
      <c r="S439" s="4"/>
      <c r="T439" s="4"/>
      <c r="U439" s="4"/>
      <c r="V439" s="4"/>
      <c r="W439" s="4"/>
      <c r="X439" s="4"/>
      <c r="Y439" s="4"/>
      <c r="Z439" s="4"/>
      <c r="AA439" s="4"/>
      <c r="AB439" s="4"/>
      <c r="AC439" s="4"/>
      <c r="AD439" s="4"/>
      <c r="AE439" s="4"/>
      <c r="AF439" s="4"/>
      <c r="AG439" s="4"/>
      <c r="AH439" s="4"/>
      <c r="AI439" s="4"/>
      <c r="AJ439" s="4"/>
      <c r="AK439" s="4"/>
      <c r="AL439" s="4"/>
      <c r="AM439" s="4"/>
      <c r="AN439" s="4"/>
    </row>
    <row r="440" spans="1:40" x14ac:dyDescent="0.25">
      <c r="B440" s="87" t="s">
        <v>15</v>
      </c>
      <c r="C440" s="107" t="s">
        <v>345</v>
      </c>
      <c r="D440" s="39"/>
      <c r="E440" s="54" t="s">
        <v>10</v>
      </c>
      <c r="F440" s="21" t="str">
        <f>IF(H441=1,IF(H439=H$2,H439,""),"")</f>
        <v/>
      </c>
      <c r="G440" s="25"/>
      <c r="H440" s="20" t="str">
        <f>IF(E$462="comprobar",COUNTIF(D439:D443,"x"),"")</f>
        <v/>
      </c>
      <c r="I440" s="4"/>
      <c r="J440" s="4"/>
      <c r="K440" s="4"/>
      <c r="L440" s="4"/>
      <c r="M440" s="4"/>
      <c r="N440" s="4"/>
      <c r="O440" s="4"/>
      <c r="P440" s="4"/>
      <c r="Q440" s="4"/>
      <c r="R440" s="4"/>
      <c r="S440" s="4"/>
      <c r="T440" s="4"/>
      <c r="U440" s="4"/>
      <c r="V440" s="4"/>
      <c r="W440" s="4"/>
      <c r="X440" s="4"/>
      <c r="Y440" s="4"/>
      <c r="Z440" s="4"/>
      <c r="AA440" s="4"/>
      <c r="AB440" s="4"/>
      <c r="AC440" s="4"/>
      <c r="AD440" s="4"/>
      <c r="AE440" s="4"/>
      <c r="AF440" s="4"/>
      <c r="AG440" s="4"/>
      <c r="AH440" s="4"/>
      <c r="AI440" s="4"/>
      <c r="AJ440" s="4"/>
      <c r="AK440" s="4"/>
      <c r="AL440" s="4"/>
      <c r="AM440" s="4"/>
      <c r="AN440" s="4"/>
    </row>
    <row r="441" spans="1:40" x14ac:dyDescent="0.25">
      <c r="B441" s="87" t="s">
        <v>15</v>
      </c>
      <c r="C441" s="107" t="s">
        <v>346</v>
      </c>
      <c r="D441" s="39"/>
      <c r="E441" s="54" t="s">
        <v>11</v>
      </c>
      <c r="F441" s="22" t="str">
        <f>IF(H441=-0.33,IF(H439=H$1,H439,""),"")</f>
        <v/>
      </c>
      <c r="G441" s="25"/>
      <c r="H441" s="23">
        <f>IF(H440=1,IF(H439=H$2,1,-0.33),0)</f>
        <v>0</v>
      </c>
      <c r="I441" s="4"/>
      <c r="J441" s="4"/>
      <c r="K441" s="4"/>
      <c r="L441" s="4"/>
      <c r="M441" s="4"/>
      <c r="N441" s="4"/>
      <c r="O441" s="4"/>
      <c r="P441" s="4"/>
      <c r="Q441" s="4"/>
      <c r="R441" s="4"/>
      <c r="S441" s="4"/>
      <c r="T441" s="4"/>
      <c r="U441" s="4"/>
      <c r="V441" s="4"/>
      <c r="W441" s="4"/>
      <c r="X441" s="4"/>
      <c r="Y441" s="4"/>
      <c r="Z441" s="4"/>
      <c r="AA441" s="4"/>
      <c r="AB441" s="4"/>
      <c r="AC441" s="4"/>
      <c r="AD441" s="4"/>
      <c r="AE441" s="4"/>
      <c r="AF441" s="4"/>
      <c r="AG441" s="4"/>
      <c r="AH441" s="4"/>
      <c r="AI441" s="4"/>
      <c r="AJ441" s="4"/>
      <c r="AK441" s="4"/>
      <c r="AL441" s="4"/>
      <c r="AM441" s="4"/>
      <c r="AN441" s="4"/>
    </row>
    <row r="442" spans="1:40" x14ac:dyDescent="0.25">
      <c r="B442" s="87" t="s">
        <v>15</v>
      </c>
      <c r="C442" s="107" t="s">
        <v>347</v>
      </c>
      <c r="D442" s="39"/>
      <c r="E442" s="54" t="s">
        <v>12</v>
      </c>
      <c r="F442" s="26"/>
      <c r="G442" s="25"/>
      <c r="H442" s="23"/>
      <c r="I442" s="4"/>
      <c r="J442" s="4"/>
      <c r="K442" s="4"/>
      <c r="L442" s="4"/>
      <c r="M442" s="4"/>
      <c r="N442" s="4"/>
      <c r="O442" s="4"/>
      <c r="P442" s="4"/>
      <c r="Q442" s="4"/>
      <c r="R442" s="4"/>
      <c r="S442" s="4"/>
      <c r="T442" s="4"/>
      <c r="U442" s="4"/>
      <c r="V442" s="4"/>
      <c r="W442" s="4"/>
      <c r="X442" s="4"/>
      <c r="Y442" s="4"/>
      <c r="Z442" s="4"/>
      <c r="AA442" s="4"/>
      <c r="AB442" s="4"/>
      <c r="AC442" s="4"/>
      <c r="AD442" s="4"/>
      <c r="AE442" s="4"/>
      <c r="AF442" s="4"/>
      <c r="AG442" s="4"/>
      <c r="AH442" s="4"/>
      <c r="AI442" s="4"/>
      <c r="AJ442" s="4"/>
      <c r="AK442" s="4"/>
      <c r="AL442" s="4"/>
      <c r="AM442" s="4"/>
      <c r="AN442" s="4"/>
    </row>
    <row r="443" spans="1:40" x14ac:dyDescent="0.25">
      <c r="B443" s="65"/>
      <c r="C443" s="66"/>
      <c r="D443" s="39"/>
      <c r="E443" s="54" t="s">
        <v>13</v>
      </c>
      <c r="F443" s="19"/>
      <c r="G443" s="25"/>
      <c r="H443" s="23"/>
      <c r="I443" s="4"/>
      <c r="J443" s="4"/>
      <c r="K443" s="4"/>
      <c r="L443" s="4"/>
      <c r="M443" s="4"/>
      <c r="N443" s="4"/>
      <c r="O443" s="4"/>
      <c r="P443" s="4"/>
      <c r="Q443" s="4"/>
      <c r="R443" s="4"/>
      <c r="S443" s="4"/>
      <c r="T443" s="4"/>
      <c r="U443" s="4"/>
      <c r="V443" s="4"/>
      <c r="W443" s="4"/>
      <c r="X443" s="4"/>
      <c r="Y443" s="4"/>
      <c r="Z443" s="4"/>
      <c r="AA443" s="4"/>
      <c r="AB443" s="4"/>
      <c r="AC443" s="4"/>
      <c r="AD443" s="4"/>
      <c r="AE443" s="4"/>
      <c r="AF443" s="4"/>
      <c r="AG443" s="4"/>
      <c r="AH443" s="4"/>
      <c r="AI443" s="4"/>
      <c r="AJ443" s="4"/>
      <c r="AK443" s="4"/>
      <c r="AL443" s="4"/>
      <c r="AM443" s="4"/>
      <c r="AN443" s="4"/>
    </row>
    <row r="444" spans="1:40" s="16" customFormat="1" x14ac:dyDescent="0.25">
      <c r="A444" s="4"/>
      <c r="B444" s="140" t="s">
        <v>92</v>
      </c>
      <c r="C444" s="90" t="s">
        <v>348</v>
      </c>
      <c r="D444" s="108"/>
      <c r="E444" s="53"/>
      <c r="F444" s="28"/>
      <c r="G444" s="14"/>
      <c r="H444" s="14"/>
    </row>
    <row r="445" spans="1:40" x14ac:dyDescent="0.25">
      <c r="B445" s="87" t="s">
        <v>15</v>
      </c>
      <c r="C445" s="64" t="s">
        <v>349</v>
      </c>
      <c r="D445" s="39"/>
      <c r="E445" s="54" t="s">
        <v>9</v>
      </c>
      <c r="F445" s="26"/>
      <c r="G445" s="25"/>
      <c r="H445" s="20" t="b">
        <f>IF(D447="x",H$2,H$1)</f>
        <v>0</v>
      </c>
      <c r="I445" s="4"/>
      <c r="J445" s="4"/>
      <c r="K445" s="4"/>
      <c r="L445" s="4"/>
      <c r="M445" s="4"/>
      <c r="N445" s="4"/>
      <c r="O445" s="4"/>
      <c r="P445" s="4"/>
      <c r="Q445" s="4"/>
      <c r="R445" s="4"/>
      <c r="S445" s="4"/>
      <c r="T445" s="4"/>
      <c r="U445" s="4"/>
      <c r="V445" s="4"/>
      <c r="W445" s="4"/>
      <c r="X445" s="4"/>
      <c r="Y445" s="4"/>
      <c r="Z445" s="4"/>
      <c r="AA445" s="4"/>
      <c r="AB445" s="4"/>
      <c r="AC445" s="4"/>
      <c r="AD445" s="4"/>
      <c r="AE445" s="4"/>
      <c r="AF445" s="4"/>
      <c r="AG445" s="4"/>
      <c r="AH445" s="4"/>
      <c r="AI445" s="4"/>
      <c r="AJ445" s="4"/>
      <c r="AK445" s="4"/>
      <c r="AL445" s="4"/>
      <c r="AM445" s="4"/>
      <c r="AN445" s="4"/>
    </row>
    <row r="446" spans="1:40" x14ac:dyDescent="0.25">
      <c r="B446" s="87" t="s">
        <v>15</v>
      </c>
      <c r="C446" s="107" t="s">
        <v>350</v>
      </c>
      <c r="D446" s="39"/>
      <c r="E446" s="54" t="s">
        <v>10</v>
      </c>
      <c r="F446" s="21" t="str">
        <f>IF(H447=1,IF(H445=H$2,H445,""),"")</f>
        <v/>
      </c>
      <c r="G446" s="25"/>
      <c r="H446" s="20" t="str">
        <f>IF(E$462="comprobar",COUNTIF(D445:D449,"x"),"")</f>
        <v/>
      </c>
      <c r="I446" s="4"/>
      <c r="J446" s="4"/>
      <c r="K446" s="4"/>
      <c r="L446" s="4"/>
      <c r="M446" s="4"/>
      <c r="N446" s="4"/>
      <c r="O446" s="4"/>
      <c r="P446" s="4"/>
      <c r="Q446" s="4"/>
      <c r="R446" s="4"/>
      <c r="S446" s="4"/>
      <c r="T446" s="4"/>
      <c r="U446" s="4"/>
      <c r="V446" s="4"/>
      <c r="W446" s="4"/>
      <c r="X446" s="4"/>
      <c r="Y446" s="4"/>
      <c r="Z446" s="4"/>
      <c r="AA446" s="4"/>
      <c r="AB446" s="4"/>
      <c r="AC446" s="4"/>
      <c r="AD446" s="4"/>
      <c r="AE446" s="4"/>
      <c r="AF446" s="4"/>
      <c r="AG446" s="4"/>
      <c r="AH446" s="4"/>
      <c r="AI446" s="4"/>
      <c r="AJ446" s="4"/>
      <c r="AK446" s="4"/>
      <c r="AL446" s="4"/>
      <c r="AM446" s="4"/>
      <c r="AN446" s="4"/>
    </row>
    <row r="447" spans="1:40" x14ac:dyDescent="0.25">
      <c r="B447" s="87" t="s">
        <v>15</v>
      </c>
      <c r="C447" s="107" t="s">
        <v>351</v>
      </c>
      <c r="D447" s="39"/>
      <c r="E447" s="54" t="s">
        <v>11</v>
      </c>
      <c r="F447" s="22" t="str">
        <f>IF(H447=-0.33,IF(H445=H$1,H445,""),"")</f>
        <v/>
      </c>
      <c r="G447" s="25"/>
      <c r="H447" s="23">
        <f>IF(H446=1,IF(H445=H$2,1,-0.33),0)</f>
        <v>0</v>
      </c>
      <c r="I447" s="4"/>
      <c r="J447" s="4"/>
      <c r="K447" s="4"/>
      <c r="L447" s="4"/>
      <c r="M447" s="4"/>
      <c r="N447" s="4"/>
      <c r="O447" s="4"/>
      <c r="P447" s="4"/>
      <c r="Q447" s="4"/>
      <c r="R447" s="4"/>
      <c r="S447" s="4"/>
      <c r="T447" s="4"/>
      <c r="U447" s="4"/>
      <c r="V447" s="4"/>
      <c r="W447" s="4"/>
      <c r="X447" s="4"/>
      <c r="Y447" s="4"/>
      <c r="Z447" s="4"/>
      <c r="AA447" s="4"/>
      <c r="AB447" s="4"/>
      <c r="AC447" s="4"/>
      <c r="AD447" s="4"/>
      <c r="AE447" s="4"/>
      <c r="AF447" s="4"/>
      <c r="AG447" s="4"/>
      <c r="AH447" s="4"/>
      <c r="AI447" s="4"/>
      <c r="AJ447" s="4"/>
      <c r="AK447" s="4"/>
      <c r="AL447" s="4"/>
      <c r="AM447" s="4"/>
      <c r="AN447" s="4"/>
    </row>
    <row r="448" spans="1:40" x14ac:dyDescent="0.25">
      <c r="B448" s="87" t="s">
        <v>15</v>
      </c>
      <c r="C448" s="107" t="s">
        <v>352</v>
      </c>
      <c r="D448" s="39"/>
      <c r="E448" s="54" t="s">
        <v>12</v>
      </c>
      <c r="F448" s="26"/>
      <c r="G448" s="25"/>
      <c r="H448" s="23"/>
      <c r="I448" s="4"/>
      <c r="J448" s="4"/>
      <c r="K448" s="4"/>
      <c r="L448" s="4"/>
      <c r="M448" s="4"/>
      <c r="N448" s="4"/>
      <c r="O448" s="4"/>
      <c r="P448" s="4"/>
      <c r="Q448" s="4"/>
      <c r="R448" s="4"/>
      <c r="S448" s="4"/>
      <c r="T448" s="4"/>
      <c r="U448" s="4"/>
      <c r="V448" s="4"/>
      <c r="W448" s="4"/>
      <c r="X448" s="4"/>
      <c r="Y448" s="4"/>
      <c r="Z448" s="4"/>
      <c r="AA448" s="4"/>
      <c r="AB448" s="4"/>
      <c r="AC448" s="4"/>
      <c r="AD448" s="4"/>
      <c r="AE448" s="4"/>
      <c r="AF448" s="4"/>
      <c r="AG448" s="4"/>
      <c r="AH448" s="4"/>
      <c r="AI448" s="4"/>
      <c r="AJ448" s="4"/>
      <c r="AK448" s="4"/>
      <c r="AL448" s="4"/>
      <c r="AM448" s="4"/>
      <c r="AN448" s="4"/>
    </row>
    <row r="449" spans="1:40" x14ac:dyDescent="0.25">
      <c r="B449" s="65"/>
      <c r="C449" s="66"/>
      <c r="D449" s="39"/>
      <c r="E449" s="54" t="s">
        <v>13</v>
      </c>
      <c r="F449" s="19"/>
      <c r="G449" s="25"/>
      <c r="H449" s="23"/>
      <c r="I449" s="4"/>
      <c r="J449" s="4"/>
      <c r="K449" s="4"/>
      <c r="L449" s="4"/>
      <c r="M449" s="4"/>
      <c r="N449" s="4"/>
      <c r="O449" s="4"/>
      <c r="P449" s="4"/>
      <c r="Q449" s="4"/>
      <c r="R449" s="4"/>
      <c r="S449" s="4"/>
      <c r="T449" s="4"/>
      <c r="U449" s="4"/>
      <c r="V449" s="4"/>
      <c r="W449" s="4"/>
      <c r="X449" s="4"/>
      <c r="Y449" s="4"/>
      <c r="Z449" s="4"/>
      <c r="AA449" s="4"/>
      <c r="AB449" s="4"/>
      <c r="AC449" s="4"/>
      <c r="AD449" s="4"/>
      <c r="AE449" s="4"/>
      <c r="AF449" s="4"/>
      <c r="AG449" s="4"/>
      <c r="AH449" s="4"/>
      <c r="AI449" s="4"/>
      <c r="AJ449" s="4"/>
      <c r="AK449" s="4"/>
      <c r="AL449" s="4"/>
      <c r="AM449" s="4"/>
      <c r="AN449" s="4"/>
    </row>
    <row r="450" spans="1:40" s="16" customFormat="1" x14ac:dyDescent="0.25">
      <c r="A450" s="4"/>
      <c r="B450" s="140" t="s">
        <v>199</v>
      </c>
      <c r="C450" s="90" t="s">
        <v>353</v>
      </c>
      <c r="D450" s="108"/>
      <c r="E450" s="53"/>
      <c r="F450" s="28"/>
      <c r="G450" s="14"/>
      <c r="H450" s="14"/>
    </row>
    <row r="451" spans="1:40" x14ac:dyDescent="0.25">
      <c r="B451" s="87" t="s">
        <v>15</v>
      </c>
      <c r="C451" s="64" t="s">
        <v>355</v>
      </c>
      <c r="D451" s="39"/>
      <c r="E451" s="54" t="s">
        <v>9</v>
      </c>
      <c r="F451" s="26"/>
      <c r="G451" s="25"/>
      <c r="H451" s="20" t="b">
        <f>IF(D454="x",H$2,H$1)</f>
        <v>0</v>
      </c>
      <c r="I451" s="4"/>
      <c r="J451" s="4"/>
      <c r="K451" s="4"/>
      <c r="L451" s="4"/>
      <c r="M451" s="4"/>
      <c r="N451" s="4"/>
      <c r="O451" s="4"/>
      <c r="P451" s="4"/>
      <c r="Q451" s="4"/>
      <c r="R451" s="4"/>
      <c r="S451" s="4"/>
      <c r="T451" s="4"/>
      <c r="U451" s="4"/>
      <c r="V451" s="4"/>
      <c r="W451" s="4"/>
      <c r="X451" s="4"/>
      <c r="Y451" s="4"/>
      <c r="Z451" s="4"/>
      <c r="AA451" s="4"/>
      <c r="AB451" s="4"/>
      <c r="AC451" s="4"/>
      <c r="AD451" s="4"/>
      <c r="AE451" s="4"/>
      <c r="AF451" s="4"/>
      <c r="AG451" s="4"/>
      <c r="AH451" s="4"/>
      <c r="AI451" s="4"/>
      <c r="AJ451" s="4"/>
      <c r="AK451" s="4"/>
      <c r="AL451" s="4"/>
      <c r="AM451" s="4"/>
      <c r="AN451" s="4"/>
    </row>
    <row r="452" spans="1:40" x14ac:dyDescent="0.25">
      <c r="B452" s="87" t="s">
        <v>15</v>
      </c>
      <c r="C452" s="107" t="s">
        <v>356</v>
      </c>
      <c r="D452" s="39"/>
      <c r="E452" s="54" t="s">
        <v>10</v>
      </c>
      <c r="F452" s="21" t="str">
        <f>IF(H453=1,IF(H451=H$2,H451,""),"")</f>
        <v/>
      </c>
      <c r="G452" s="25"/>
      <c r="H452" s="20" t="str">
        <f>IF(E$462="comprobar",COUNTIF(D451:D455,"x"),"")</f>
        <v/>
      </c>
      <c r="I452" s="4"/>
      <c r="J452" s="4"/>
      <c r="K452" s="4"/>
      <c r="L452" s="4"/>
      <c r="M452" s="4"/>
      <c r="N452" s="4"/>
      <c r="O452" s="4"/>
      <c r="P452" s="4"/>
      <c r="Q452" s="4"/>
      <c r="R452" s="4"/>
      <c r="S452" s="4"/>
      <c r="T452" s="4"/>
      <c r="U452" s="4"/>
      <c r="V452" s="4"/>
      <c r="W452" s="4"/>
      <c r="X452" s="4"/>
      <c r="Y452" s="4"/>
      <c r="Z452" s="4"/>
      <c r="AA452" s="4"/>
      <c r="AB452" s="4"/>
      <c r="AC452" s="4"/>
      <c r="AD452" s="4"/>
      <c r="AE452" s="4"/>
      <c r="AF452" s="4"/>
      <c r="AG452" s="4"/>
      <c r="AH452" s="4"/>
      <c r="AI452" s="4"/>
      <c r="AJ452" s="4"/>
      <c r="AK452" s="4"/>
      <c r="AL452" s="4"/>
      <c r="AM452" s="4"/>
      <c r="AN452" s="4"/>
    </row>
    <row r="453" spans="1:40" x14ac:dyDescent="0.25">
      <c r="B453" s="87" t="s">
        <v>15</v>
      </c>
      <c r="C453" s="107" t="s">
        <v>357</v>
      </c>
      <c r="D453" s="39"/>
      <c r="E453" s="54" t="s">
        <v>11</v>
      </c>
      <c r="F453" s="22" t="str">
        <f>IF(H453=-0.33,IF(H451=H$1,H451,""),"")</f>
        <v/>
      </c>
      <c r="G453" s="25"/>
      <c r="H453" s="23">
        <f>IF(H452=1,IF(H451=H$2,1,-0.33),0)</f>
        <v>0</v>
      </c>
      <c r="I453" s="4"/>
      <c r="J453" s="4"/>
      <c r="K453" s="4"/>
      <c r="L453" s="4"/>
      <c r="M453" s="4"/>
      <c r="N453" s="4"/>
      <c r="O453" s="4"/>
      <c r="P453" s="4"/>
      <c r="Q453" s="4"/>
      <c r="R453" s="4"/>
      <c r="S453" s="4"/>
      <c r="T453" s="4"/>
      <c r="U453" s="4"/>
      <c r="V453" s="4"/>
      <c r="W453" s="4"/>
      <c r="X453" s="4"/>
      <c r="Y453" s="4"/>
      <c r="Z453" s="4"/>
      <c r="AA453" s="4"/>
      <c r="AB453" s="4"/>
      <c r="AC453" s="4"/>
      <c r="AD453" s="4"/>
      <c r="AE453" s="4"/>
      <c r="AF453" s="4"/>
      <c r="AG453" s="4"/>
      <c r="AH453" s="4"/>
      <c r="AI453" s="4"/>
      <c r="AJ453" s="4"/>
      <c r="AK453" s="4"/>
      <c r="AL453" s="4"/>
      <c r="AM453" s="4"/>
      <c r="AN453" s="4"/>
    </row>
    <row r="454" spans="1:40" x14ac:dyDescent="0.25">
      <c r="B454" s="87" t="s">
        <v>15</v>
      </c>
      <c r="C454" s="107" t="s">
        <v>354</v>
      </c>
      <c r="D454" s="39"/>
      <c r="E454" s="54" t="s">
        <v>12</v>
      </c>
      <c r="F454" s="26"/>
      <c r="G454" s="25"/>
      <c r="H454" s="23"/>
      <c r="I454" s="4"/>
      <c r="J454" s="4"/>
      <c r="K454" s="4"/>
      <c r="L454" s="4"/>
      <c r="M454" s="4"/>
      <c r="N454" s="4"/>
      <c r="O454" s="4"/>
      <c r="P454" s="4"/>
      <c r="Q454" s="4"/>
      <c r="R454" s="4"/>
      <c r="S454" s="4"/>
      <c r="T454" s="4"/>
      <c r="U454" s="4"/>
      <c r="V454" s="4"/>
      <c r="W454" s="4"/>
      <c r="X454" s="4"/>
      <c r="Y454" s="4"/>
      <c r="Z454" s="4"/>
      <c r="AA454" s="4"/>
      <c r="AB454" s="4"/>
      <c r="AC454" s="4"/>
      <c r="AD454" s="4"/>
      <c r="AE454" s="4"/>
      <c r="AF454" s="4"/>
      <c r="AG454" s="4"/>
      <c r="AH454" s="4"/>
      <c r="AI454" s="4"/>
      <c r="AJ454" s="4"/>
      <c r="AK454" s="4"/>
      <c r="AL454" s="4"/>
      <c r="AM454" s="4"/>
      <c r="AN454" s="4"/>
    </row>
    <row r="455" spans="1:40" x14ac:dyDescent="0.25">
      <c r="B455" s="65"/>
      <c r="C455" s="66"/>
      <c r="D455" s="39"/>
      <c r="E455" s="54" t="s">
        <v>13</v>
      </c>
      <c r="F455" s="19"/>
      <c r="G455" s="25"/>
      <c r="H455" s="23"/>
      <c r="I455" s="4"/>
      <c r="J455" s="4"/>
      <c r="K455" s="4"/>
      <c r="L455" s="4"/>
      <c r="M455" s="4"/>
      <c r="N455" s="4"/>
      <c r="O455" s="4"/>
      <c r="P455" s="4"/>
      <c r="Q455" s="4"/>
      <c r="R455" s="4"/>
      <c r="S455" s="4"/>
      <c r="T455" s="4"/>
      <c r="U455" s="4"/>
      <c r="V455" s="4"/>
      <c r="W455" s="4"/>
      <c r="X455" s="4"/>
      <c r="Y455" s="4"/>
      <c r="Z455" s="4"/>
      <c r="AA455" s="4"/>
      <c r="AB455" s="4"/>
      <c r="AC455" s="4"/>
      <c r="AD455" s="4"/>
      <c r="AE455" s="4"/>
      <c r="AF455" s="4"/>
      <c r="AG455" s="4"/>
      <c r="AH455" s="4"/>
      <c r="AI455" s="4"/>
      <c r="AJ455" s="4"/>
      <c r="AK455" s="4"/>
      <c r="AL455" s="4"/>
      <c r="AM455" s="4"/>
      <c r="AN455" s="4"/>
    </row>
    <row r="456" spans="1:40" s="16" customFormat="1" x14ac:dyDescent="0.25">
      <c r="A456" s="4"/>
      <c r="B456" s="140" t="s">
        <v>159</v>
      </c>
      <c r="C456" s="90" t="s">
        <v>358</v>
      </c>
      <c r="D456" s="108"/>
      <c r="E456" s="53"/>
      <c r="F456" s="28"/>
      <c r="G456" s="14"/>
      <c r="H456" s="14"/>
    </row>
    <row r="457" spans="1:40" x14ac:dyDescent="0.25">
      <c r="B457" s="87" t="s">
        <v>15</v>
      </c>
      <c r="C457" s="64" t="s">
        <v>359</v>
      </c>
      <c r="D457" s="39"/>
      <c r="E457" s="54" t="s">
        <v>9</v>
      </c>
      <c r="F457" s="26"/>
      <c r="G457" s="25"/>
      <c r="H457" s="20" t="b">
        <f>IF(D460="x",H$2,H$1)</f>
        <v>0</v>
      </c>
      <c r="I457" s="4"/>
      <c r="J457" s="4"/>
      <c r="K457" s="4"/>
      <c r="L457" s="4"/>
      <c r="M457" s="4"/>
      <c r="N457" s="4"/>
      <c r="O457" s="4"/>
      <c r="P457" s="4"/>
      <c r="Q457" s="4"/>
      <c r="R457" s="4"/>
      <c r="S457" s="4"/>
      <c r="T457" s="4"/>
      <c r="U457" s="4"/>
      <c r="V457" s="4"/>
      <c r="W457" s="4"/>
      <c r="X457" s="4"/>
      <c r="Y457" s="4"/>
      <c r="Z457" s="4"/>
      <c r="AA457" s="4"/>
      <c r="AB457" s="4"/>
      <c r="AC457" s="4"/>
      <c r="AD457" s="4"/>
      <c r="AE457" s="4"/>
      <c r="AF457" s="4"/>
      <c r="AG457" s="4"/>
      <c r="AH457" s="4"/>
      <c r="AI457" s="4"/>
      <c r="AJ457" s="4"/>
      <c r="AK457" s="4"/>
      <c r="AL457" s="4"/>
      <c r="AM457" s="4"/>
      <c r="AN457" s="4"/>
    </row>
    <row r="458" spans="1:40" x14ac:dyDescent="0.25">
      <c r="B458" s="87" t="s">
        <v>15</v>
      </c>
      <c r="C458" s="107" t="s">
        <v>360</v>
      </c>
      <c r="D458" s="39"/>
      <c r="E458" s="54" t="s">
        <v>10</v>
      </c>
      <c r="F458" s="21" t="str">
        <f>IF(H459=1,IF(H457=H$2,H457,""),"")</f>
        <v/>
      </c>
      <c r="G458" s="25"/>
      <c r="H458" s="20" t="str">
        <f>IF(E$462="comprobar",COUNTIF(D457:D461,"x"),"")</f>
        <v/>
      </c>
      <c r="I458" s="4"/>
      <c r="J458" s="4"/>
      <c r="K458" s="4"/>
      <c r="L458" s="4"/>
      <c r="M458" s="4"/>
      <c r="N458" s="4"/>
      <c r="O458" s="4"/>
      <c r="P458" s="4"/>
      <c r="Q458" s="4"/>
      <c r="R458" s="4"/>
      <c r="S458" s="4"/>
      <c r="T458" s="4"/>
      <c r="U458" s="4"/>
      <c r="V458" s="4"/>
      <c r="W458" s="4"/>
      <c r="X458" s="4"/>
      <c r="Y458" s="4"/>
      <c r="Z458" s="4"/>
      <c r="AA458" s="4"/>
      <c r="AB458" s="4"/>
      <c r="AC458" s="4"/>
      <c r="AD458" s="4"/>
      <c r="AE458" s="4"/>
      <c r="AF458" s="4"/>
      <c r="AG458" s="4"/>
      <c r="AH458" s="4"/>
      <c r="AI458" s="4"/>
      <c r="AJ458" s="4"/>
      <c r="AK458" s="4"/>
      <c r="AL458" s="4"/>
      <c r="AM458" s="4"/>
      <c r="AN458" s="4"/>
    </row>
    <row r="459" spans="1:40" x14ac:dyDescent="0.25">
      <c r="B459" s="87" t="s">
        <v>15</v>
      </c>
      <c r="C459" s="107" t="s">
        <v>361</v>
      </c>
      <c r="D459" s="39"/>
      <c r="E459" s="54" t="s">
        <v>11</v>
      </c>
      <c r="F459" s="22" t="str">
        <f>IF(H459=-0.33,IF(H457=H$1,H457,""),"")</f>
        <v/>
      </c>
      <c r="G459" s="25"/>
      <c r="H459" s="23">
        <f>IF(H458=1,IF(H457=H$2,1,-0.33),0)</f>
        <v>0</v>
      </c>
      <c r="I459" s="4"/>
      <c r="J459" s="4"/>
      <c r="K459" s="4"/>
      <c r="L459" s="4"/>
      <c r="M459" s="4"/>
      <c r="N459" s="4"/>
      <c r="O459" s="4"/>
      <c r="P459" s="4"/>
      <c r="Q459" s="4"/>
      <c r="R459" s="4"/>
      <c r="S459" s="4"/>
      <c r="T459" s="4"/>
      <c r="U459" s="4"/>
      <c r="V459" s="4"/>
      <c r="W459" s="4"/>
      <c r="X459" s="4"/>
      <c r="Y459" s="4"/>
      <c r="Z459" s="4"/>
      <c r="AA459" s="4"/>
      <c r="AB459" s="4"/>
      <c r="AC459" s="4"/>
      <c r="AD459" s="4"/>
      <c r="AE459" s="4"/>
      <c r="AF459" s="4"/>
      <c r="AG459" s="4"/>
      <c r="AH459" s="4"/>
      <c r="AI459" s="4"/>
      <c r="AJ459" s="4"/>
      <c r="AK459" s="4"/>
      <c r="AL459" s="4"/>
      <c r="AM459" s="4"/>
      <c r="AN459" s="4"/>
    </row>
    <row r="460" spans="1:40" x14ac:dyDescent="0.25">
      <c r="B460" s="87" t="s">
        <v>15</v>
      </c>
      <c r="C460" s="107" t="s">
        <v>362</v>
      </c>
      <c r="D460" s="39"/>
      <c r="E460" s="54" t="s">
        <v>12</v>
      </c>
      <c r="F460" s="26"/>
      <c r="G460" s="25"/>
      <c r="H460" s="23"/>
      <c r="I460" s="4"/>
      <c r="J460" s="4"/>
      <c r="K460" s="4"/>
      <c r="L460" s="4"/>
      <c r="M460" s="4"/>
      <c r="N460" s="4"/>
      <c r="O460" s="4"/>
      <c r="P460" s="4"/>
      <c r="Q460" s="4"/>
      <c r="R460" s="4"/>
      <c r="S460" s="4"/>
      <c r="T460" s="4"/>
      <c r="U460" s="4"/>
      <c r="V460" s="4"/>
      <c r="W460" s="4"/>
      <c r="X460" s="4"/>
      <c r="Y460" s="4"/>
      <c r="Z460" s="4"/>
      <c r="AA460" s="4"/>
      <c r="AB460" s="4"/>
      <c r="AC460" s="4"/>
      <c r="AD460" s="4"/>
      <c r="AE460" s="4"/>
      <c r="AF460" s="4"/>
      <c r="AG460" s="4"/>
      <c r="AH460" s="4"/>
      <c r="AI460" s="4"/>
      <c r="AJ460" s="4"/>
      <c r="AK460" s="4"/>
      <c r="AL460" s="4"/>
      <c r="AM460" s="4"/>
      <c r="AN460" s="4"/>
    </row>
    <row r="461" spans="1:40" x14ac:dyDescent="0.25">
      <c r="B461" s="65"/>
      <c r="C461" s="66"/>
      <c r="D461" s="39"/>
      <c r="E461" s="54" t="s">
        <v>13</v>
      </c>
      <c r="F461" s="19"/>
      <c r="G461" s="25"/>
      <c r="H461" s="23"/>
      <c r="I461" s="4"/>
      <c r="J461" s="4"/>
      <c r="K461" s="4"/>
      <c r="L461" s="4"/>
      <c r="M461" s="4"/>
      <c r="N461" s="4"/>
      <c r="O461" s="4"/>
      <c r="P461" s="4"/>
      <c r="Q461" s="4"/>
      <c r="R461" s="4"/>
      <c r="S461" s="4"/>
      <c r="T461" s="4"/>
      <c r="U461" s="4"/>
      <c r="V461" s="4"/>
      <c r="W461" s="4"/>
      <c r="X461" s="4"/>
      <c r="Y461" s="4"/>
      <c r="Z461" s="4"/>
      <c r="AA461" s="4"/>
      <c r="AB461" s="4"/>
      <c r="AC461" s="4"/>
      <c r="AD461" s="4"/>
      <c r="AE461" s="4"/>
      <c r="AF461" s="4"/>
      <c r="AG461" s="4"/>
      <c r="AH461" s="4"/>
      <c r="AI461" s="4"/>
      <c r="AJ461" s="4"/>
      <c r="AK461" s="4"/>
      <c r="AL461" s="4"/>
      <c r="AM461" s="4"/>
      <c r="AN461" s="4"/>
    </row>
    <row r="462" spans="1:40" x14ac:dyDescent="0.25">
      <c r="B462" s="65"/>
      <c r="C462" s="66"/>
      <c r="D462" s="49"/>
      <c r="E462" s="55"/>
      <c r="F462" s="19"/>
      <c r="H462" s="18"/>
      <c r="I462" s="4"/>
      <c r="J462" s="4"/>
      <c r="K462" s="4"/>
      <c r="L462" s="4"/>
      <c r="M462" s="4"/>
      <c r="N462" s="4"/>
      <c r="O462" s="4"/>
      <c r="P462" s="4"/>
      <c r="Q462" s="4"/>
      <c r="R462" s="4"/>
      <c r="S462" s="4"/>
      <c r="T462" s="4"/>
      <c r="U462" s="4"/>
      <c r="V462" s="4"/>
      <c r="W462" s="4"/>
      <c r="X462" s="4"/>
      <c r="Y462" s="4"/>
      <c r="Z462" s="4"/>
      <c r="AA462" s="4"/>
      <c r="AB462" s="4"/>
      <c r="AC462" s="4"/>
      <c r="AD462" s="4"/>
      <c r="AE462" s="4"/>
      <c r="AF462" s="4"/>
      <c r="AG462" s="4"/>
      <c r="AH462" s="4"/>
      <c r="AI462" s="4"/>
      <c r="AJ462" s="4"/>
      <c r="AK462" s="4"/>
      <c r="AL462" s="4"/>
      <c r="AM462" s="4"/>
      <c r="AN462" s="4"/>
    </row>
    <row r="463" spans="1:40" x14ac:dyDescent="0.25">
      <c r="B463" s="45"/>
      <c r="C463" s="41"/>
      <c r="D463" s="49"/>
      <c r="E463" s="55"/>
      <c r="F463" s="19"/>
      <c r="G463" s="18" t="s">
        <v>6</v>
      </c>
      <c r="H463" s="18" t="s">
        <v>7</v>
      </c>
      <c r="I463" s="4"/>
      <c r="J463" s="4"/>
      <c r="K463" s="4"/>
      <c r="L463" s="4"/>
      <c r="M463" s="4"/>
      <c r="N463" s="4"/>
      <c r="O463" s="4"/>
      <c r="P463" s="4"/>
      <c r="Q463" s="4"/>
      <c r="R463" s="4"/>
      <c r="S463" s="4"/>
      <c r="T463" s="4"/>
      <c r="U463" s="4"/>
      <c r="V463" s="4"/>
      <c r="W463" s="4"/>
      <c r="X463" s="4"/>
      <c r="Y463" s="4"/>
      <c r="Z463" s="4"/>
      <c r="AA463" s="4"/>
      <c r="AB463" s="4"/>
      <c r="AC463" s="4"/>
      <c r="AD463" s="4"/>
      <c r="AE463" s="4"/>
      <c r="AF463" s="4"/>
      <c r="AG463" s="4"/>
      <c r="AH463" s="4"/>
      <c r="AI463" s="4"/>
      <c r="AJ463" s="4"/>
      <c r="AK463" s="4"/>
      <c r="AL463" s="4"/>
      <c r="AM463" s="4"/>
      <c r="AN463" s="4"/>
    </row>
    <row r="464" spans="1:40" ht="19.5" x14ac:dyDescent="0.25">
      <c r="B464" s="45"/>
      <c r="C464" s="17"/>
      <c r="D464" s="83"/>
      <c r="E464" s="52"/>
      <c r="F464" s="30" t="str">
        <f>IF(E$462="comprobar",H405+H411+H417+H423+H429+H435+H441+H447+H453+H459,"")</f>
        <v/>
      </c>
      <c r="G464" s="18">
        <f>10/2</f>
        <v>5</v>
      </c>
      <c r="H464" s="18"/>
      <c r="I464" s="4"/>
      <c r="J464" s="4"/>
      <c r="K464" s="4"/>
      <c r="L464" s="4"/>
      <c r="M464" s="4"/>
      <c r="N464" s="4"/>
      <c r="O464" s="4"/>
      <c r="P464" s="4"/>
      <c r="Q464" s="4"/>
      <c r="R464" s="4"/>
      <c r="S464" s="4"/>
      <c r="T464" s="4"/>
      <c r="U464" s="4"/>
      <c r="V464" s="4"/>
      <c r="W464" s="4"/>
      <c r="X464" s="4"/>
      <c r="Y464" s="4"/>
      <c r="Z464" s="4"/>
      <c r="AA464" s="4"/>
      <c r="AB464" s="4"/>
      <c r="AC464" s="4"/>
      <c r="AD464" s="4"/>
      <c r="AE464" s="4"/>
      <c r="AF464" s="4"/>
      <c r="AG464" s="4"/>
      <c r="AH464" s="4"/>
      <c r="AI464" s="4"/>
      <c r="AJ464" s="4"/>
      <c r="AK464" s="4"/>
      <c r="AL464" s="4"/>
      <c r="AM464" s="4"/>
      <c r="AN464" s="4"/>
    </row>
    <row r="465" spans="1:40" ht="16.5" thickBot="1" x14ac:dyDescent="0.3">
      <c r="B465" s="46"/>
      <c r="C465" s="31"/>
      <c r="D465" s="32"/>
      <c r="E465" s="56"/>
      <c r="F465" s="33" t="str">
        <f>IF(F464&gt;G464,G463,H463)</f>
        <v>APROBADO</v>
      </c>
      <c r="G465" s="18"/>
      <c r="H465" s="18"/>
      <c r="I465" s="4"/>
      <c r="J465" s="4"/>
      <c r="K465" s="4"/>
      <c r="L465" s="4"/>
      <c r="M465" s="4"/>
      <c r="N465" s="4"/>
      <c r="O465" s="4"/>
      <c r="P465" s="4"/>
      <c r="Q465" s="4"/>
      <c r="R465" s="4"/>
      <c r="S465" s="4"/>
      <c r="T465" s="4"/>
      <c r="U465" s="4"/>
      <c r="V465" s="4"/>
      <c r="W465" s="4"/>
      <c r="X465" s="4"/>
      <c r="Y465" s="4"/>
      <c r="Z465" s="4"/>
      <c r="AA465" s="4"/>
      <c r="AB465" s="4"/>
      <c r="AC465" s="4"/>
      <c r="AD465" s="4"/>
      <c r="AE465" s="4"/>
      <c r="AF465" s="4"/>
      <c r="AG465" s="4"/>
      <c r="AH465" s="4"/>
      <c r="AI465" s="4"/>
      <c r="AJ465" s="4"/>
      <c r="AK465" s="4"/>
      <c r="AL465" s="4"/>
      <c r="AM465" s="4"/>
      <c r="AN465" s="4"/>
    </row>
    <row r="466" spans="1:40" ht="28.5" x14ac:dyDescent="0.45">
      <c r="B466" s="62" t="s">
        <v>17</v>
      </c>
      <c r="C466" s="84" t="s">
        <v>16</v>
      </c>
      <c r="D466" s="84"/>
      <c r="E466" s="84"/>
      <c r="F466" s="85"/>
    </row>
    <row r="467" spans="1:40" s="16" customFormat="1" x14ac:dyDescent="0.25">
      <c r="A467" s="4"/>
      <c r="B467" s="140" t="s">
        <v>64</v>
      </c>
      <c r="C467" s="90" t="s">
        <v>363</v>
      </c>
      <c r="D467" s="13"/>
      <c r="E467" s="13"/>
      <c r="F467" s="15"/>
      <c r="G467" s="27"/>
      <c r="H467" s="14"/>
    </row>
    <row r="468" spans="1:40" x14ac:dyDescent="0.25">
      <c r="B468" s="87" t="s">
        <v>15</v>
      </c>
      <c r="C468" s="134" t="s">
        <v>364</v>
      </c>
      <c r="D468" s="39"/>
      <c r="E468" s="83" t="s">
        <v>9</v>
      </c>
      <c r="F468" s="19"/>
      <c r="G468" s="25"/>
      <c r="H468" s="20" t="b">
        <f>IF(D470="x",H$2,H$1)</f>
        <v>0</v>
      </c>
    </row>
    <row r="469" spans="1:40" x14ac:dyDescent="0.25">
      <c r="B469" s="87" t="s">
        <v>15</v>
      </c>
      <c r="C469" s="134" t="s">
        <v>365</v>
      </c>
      <c r="D469" s="39"/>
      <c r="E469" s="83" t="s">
        <v>10</v>
      </c>
      <c r="F469" s="21" t="str">
        <f>IF(H470=1,IF(H468=H$2,H468,""),"")</f>
        <v/>
      </c>
      <c r="G469" s="25"/>
      <c r="H469" s="20" t="str">
        <f>IF(E$529="comprobar",COUNTIF(D468:D472,"x"),"")</f>
        <v/>
      </c>
    </row>
    <row r="470" spans="1:40" x14ac:dyDescent="0.25">
      <c r="B470" s="87" t="s">
        <v>15</v>
      </c>
      <c r="C470" s="134" t="s">
        <v>366</v>
      </c>
      <c r="D470" s="39"/>
      <c r="E470" s="83" t="s">
        <v>11</v>
      </c>
      <c r="F470" s="22" t="str">
        <f>IF(H470=-0.33,IF(H468=H$1,H468,""),"")</f>
        <v/>
      </c>
      <c r="G470" s="25"/>
      <c r="H470" s="23">
        <f>IF(H469=1,IF(H468=H$2,1,-0.33),0)</f>
        <v>0</v>
      </c>
    </row>
    <row r="471" spans="1:40" x14ac:dyDescent="0.25">
      <c r="B471" s="87" t="s">
        <v>15</v>
      </c>
      <c r="C471" s="134" t="s">
        <v>367</v>
      </c>
      <c r="D471" s="39"/>
      <c r="E471" s="83" t="s">
        <v>12</v>
      </c>
      <c r="F471" s="19"/>
      <c r="G471" s="25"/>
      <c r="H471" s="23"/>
    </row>
    <row r="472" spans="1:40" x14ac:dyDescent="0.25">
      <c r="B472" s="43"/>
      <c r="C472" s="134"/>
      <c r="D472" s="39"/>
      <c r="E472" s="83" t="s">
        <v>13</v>
      </c>
      <c r="F472" s="19"/>
      <c r="G472" s="18"/>
      <c r="H472" s="23"/>
    </row>
    <row r="473" spans="1:40" s="16" customFormat="1" x14ac:dyDescent="0.25">
      <c r="A473" s="4"/>
      <c r="B473" s="150" t="s">
        <v>62</v>
      </c>
      <c r="C473" s="12" t="s">
        <v>368</v>
      </c>
      <c r="D473" s="40"/>
      <c r="E473" s="13"/>
      <c r="F473" s="15"/>
      <c r="G473" s="27"/>
      <c r="H473" s="14"/>
    </row>
    <row r="474" spans="1:40" x14ac:dyDescent="0.25">
      <c r="B474" s="87" t="s">
        <v>15</v>
      </c>
      <c r="C474" s="134" t="s">
        <v>369</v>
      </c>
      <c r="D474" s="39"/>
      <c r="E474" s="83" t="s">
        <v>9</v>
      </c>
      <c r="F474" s="19"/>
      <c r="G474" s="25"/>
      <c r="H474" s="20" t="b">
        <f>IF(D474="x",H$2,H$1)</f>
        <v>0</v>
      </c>
    </row>
    <row r="475" spans="1:40" x14ac:dyDescent="0.25">
      <c r="B475" s="87" t="s">
        <v>15</v>
      </c>
      <c r="C475" s="134" t="s">
        <v>370</v>
      </c>
      <c r="D475" s="39"/>
      <c r="E475" s="83" t="s">
        <v>10</v>
      </c>
      <c r="F475" s="21" t="str">
        <f>IF(H476=1,IF(H474=H$2,H474,""),"")</f>
        <v/>
      </c>
      <c r="G475" s="25"/>
      <c r="H475" s="20" t="str">
        <f>IF(E$529="comprobar",COUNTIF(D474:D478,"x"),"")</f>
        <v/>
      </c>
    </row>
    <row r="476" spans="1:40" x14ac:dyDescent="0.25">
      <c r="B476" s="87" t="s">
        <v>15</v>
      </c>
      <c r="C476" t="s">
        <v>371</v>
      </c>
      <c r="D476" s="39"/>
      <c r="E476" s="83" t="s">
        <v>11</v>
      </c>
      <c r="F476" s="22" t="str">
        <f>IF(H476=-0.33,IF(H474=H$1,H474,""),"")</f>
        <v/>
      </c>
      <c r="G476" s="25"/>
      <c r="H476" s="23">
        <f t="shared" ref="H476" si="38">IF(H475=1,IF(H474=H$2,1,-0.33),0)</f>
        <v>0</v>
      </c>
    </row>
    <row r="477" spans="1:40" x14ac:dyDescent="0.25">
      <c r="B477" s="87" t="s">
        <v>15</v>
      </c>
      <c r="C477" s="134" t="s">
        <v>372</v>
      </c>
      <c r="D477" s="39"/>
      <c r="E477" s="83" t="s">
        <v>12</v>
      </c>
      <c r="F477" s="19"/>
      <c r="G477" s="25"/>
      <c r="H477" s="23"/>
    </row>
    <row r="478" spans="1:40" x14ac:dyDescent="0.25">
      <c r="B478" s="87"/>
      <c r="C478" s="134"/>
      <c r="D478" s="39"/>
      <c r="E478" s="83" t="s">
        <v>13</v>
      </c>
      <c r="F478" s="19"/>
      <c r="G478" s="18"/>
      <c r="H478" s="23"/>
    </row>
    <row r="479" spans="1:40" s="16" customFormat="1" x14ac:dyDescent="0.25">
      <c r="A479" s="4"/>
      <c r="B479" s="150" t="s">
        <v>69</v>
      </c>
      <c r="C479" s="135" t="s">
        <v>373</v>
      </c>
      <c r="D479" s="40"/>
      <c r="E479" s="13"/>
      <c r="F479" s="15"/>
      <c r="G479" s="27"/>
      <c r="H479" s="14"/>
    </row>
    <row r="480" spans="1:40" x14ac:dyDescent="0.25">
      <c r="B480" s="87" t="s">
        <v>15</v>
      </c>
      <c r="C480" s="134" t="s">
        <v>374</v>
      </c>
      <c r="D480" s="39"/>
      <c r="E480" s="83" t="s">
        <v>9</v>
      </c>
      <c r="F480" s="19"/>
      <c r="G480" s="25"/>
      <c r="H480" s="20" t="b">
        <f>IF(D482="x",H$2,H$1)</f>
        <v>0</v>
      </c>
    </row>
    <row r="481" spans="1:8" x14ac:dyDescent="0.25">
      <c r="B481" s="87" t="s">
        <v>15</v>
      </c>
      <c r="C481" s="134" t="s">
        <v>375</v>
      </c>
      <c r="D481" s="39"/>
      <c r="E481" s="83" t="s">
        <v>10</v>
      </c>
      <c r="F481" s="21" t="str">
        <f>IF(H482=1,IF(H480=H$2,H480,""),"")</f>
        <v/>
      </c>
      <c r="G481" s="25"/>
      <c r="H481" s="20" t="str">
        <f>IF(E$529="comprobar",COUNTIF(D480:D484,"x"),"")</f>
        <v/>
      </c>
    </row>
    <row r="482" spans="1:8" x14ac:dyDescent="0.25">
      <c r="B482" s="87" t="s">
        <v>15</v>
      </c>
      <c r="C482" s="134" t="s">
        <v>376</v>
      </c>
      <c r="D482" s="39"/>
      <c r="E482" s="83" t="s">
        <v>11</v>
      </c>
      <c r="F482" s="22" t="str">
        <f>IF(H482=-0.33,IF(H480=H$1,H480,""),"")</f>
        <v/>
      </c>
      <c r="G482" s="25"/>
      <c r="H482" s="23">
        <f t="shared" ref="H482" si="39">IF(H481=1,IF(H480=H$2,1,-0.33),0)</f>
        <v>0</v>
      </c>
    </row>
    <row r="483" spans="1:8" x14ac:dyDescent="0.25">
      <c r="B483" s="87" t="s">
        <v>15</v>
      </c>
      <c r="C483" s="134" t="s">
        <v>377</v>
      </c>
      <c r="D483" s="39"/>
      <c r="E483" s="83" t="s">
        <v>12</v>
      </c>
      <c r="F483" s="19"/>
      <c r="G483" s="25"/>
      <c r="H483" s="23"/>
    </row>
    <row r="484" spans="1:8" x14ac:dyDescent="0.25">
      <c r="B484" s="87"/>
      <c r="C484" s="134"/>
      <c r="D484" s="39"/>
      <c r="E484" s="83" t="s">
        <v>13</v>
      </c>
      <c r="F484" s="19"/>
      <c r="G484" s="18"/>
      <c r="H484" s="23"/>
    </row>
    <row r="485" spans="1:8" s="16" customFormat="1" x14ac:dyDescent="0.25">
      <c r="A485" s="4"/>
      <c r="B485" s="150" t="s">
        <v>75</v>
      </c>
      <c r="C485" s="131" t="s">
        <v>378</v>
      </c>
      <c r="D485" s="40"/>
      <c r="E485" s="13"/>
      <c r="F485" s="15"/>
      <c r="G485" s="27"/>
      <c r="H485" s="14"/>
    </row>
    <row r="486" spans="1:8" x14ac:dyDescent="0.25">
      <c r="B486" s="87" t="s">
        <v>15</v>
      </c>
      <c r="C486" s="133" t="s">
        <v>379</v>
      </c>
      <c r="D486" s="39"/>
      <c r="E486" s="83" t="s">
        <v>9</v>
      </c>
      <c r="F486" s="19"/>
      <c r="G486" s="25"/>
      <c r="H486" s="20" t="b">
        <f>IF(D486="x",H$2,H$1)</f>
        <v>0</v>
      </c>
    </row>
    <row r="487" spans="1:8" x14ac:dyDescent="0.25">
      <c r="B487" s="87" t="s">
        <v>15</v>
      </c>
      <c r="C487" s="134" t="s">
        <v>380</v>
      </c>
      <c r="D487" s="39"/>
      <c r="E487" s="83" t="s">
        <v>10</v>
      </c>
      <c r="F487" s="21" t="str">
        <f>IF(H488=1,IF(H486=H$2,H486,""),"")</f>
        <v/>
      </c>
      <c r="G487" s="25"/>
      <c r="H487" s="20" t="str">
        <f>IF(E$529="comprobar",COUNTIF(D486:D490,"x"),"")</f>
        <v/>
      </c>
    </row>
    <row r="488" spans="1:8" x14ac:dyDescent="0.25">
      <c r="B488" s="87" t="s">
        <v>15</v>
      </c>
      <c r="C488" s="134" t="s">
        <v>381</v>
      </c>
      <c r="D488" s="39"/>
      <c r="E488" s="83" t="s">
        <v>11</v>
      </c>
      <c r="F488" s="22" t="str">
        <f>IF(H488=-0.33,IF(H486=H$1,H486,""),"")</f>
        <v/>
      </c>
      <c r="G488" s="25"/>
      <c r="H488" s="23">
        <f t="shared" ref="H488" si="40">IF(H487=1,IF(H486=H$2,1,-0.33),0)</f>
        <v>0</v>
      </c>
    </row>
    <row r="489" spans="1:8" x14ac:dyDescent="0.25">
      <c r="B489" s="87" t="s">
        <v>15</v>
      </c>
      <c r="C489" t="s">
        <v>382</v>
      </c>
      <c r="D489" s="39"/>
      <c r="E489" s="83" t="s">
        <v>12</v>
      </c>
      <c r="F489" s="19"/>
      <c r="G489" s="25"/>
      <c r="H489" s="23"/>
    </row>
    <row r="490" spans="1:8" x14ac:dyDescent="0.25">
      <c r="B490" s="87"/>
      <c r="C490" s="17"/>
      <c r="D490" s="39"/>
      <c r="E490" s="83" t="s">
        <v>13</v>
      </c>
      <c r="F490" s="19"/>
      <c r="G490" s="18"/>
      <c r="H490" s="23"/>
    </row>
    <row r="491" spans="1:8" s="16" customFormat="1" x14ac:dyDescent="0.25">
      <c r="A491" s="4"/>
      <c r="B491" s="150" t="s">
        <v>80</v>
      </c>
      <c r="C491" s="12" t="s">
        <v>383</v>
      </c>
      <c r="D491" s="40"/>
      <c r="E491" s="13"/>
      <c r="F491" s="15"/>
      <c r="G491" s="27"/>
      <c r="H491" s="14"/>
    </row>
    <row r="492" spans="1:8" x14ac:dyDescent="0.25">
      <c r="B492" s="87" t="s">
        <v>15</v>
      </c>
      <c r="C492" s="133" t="s">
        <v>384</v>
      </c>
      <c r="D492" s="39"/>
      <c r="E492" s="83" t="s">
        <v>9</v>
      </c>
      <c r="F492" s="19"/>
      <c r="G492" s="25"/>
      <c r="H492" s="20" t="b">
        <f>IF(D494="x",H$2,H$1)</f>
        <v>0</v>
      </c>
    </row>
    <row r="493" spans="1:8" x14ac:dyDescent="0.25">
      <c r="B493" s="87" t="s">
        <v>15</v>
      </c>
      <c r="C493" s="134" t="s">
        <v>385</v>
      </c>
      <c r="D493" s="39"/>
      <c r="E493" s="83" t="s">
        <v>10</v>
      </c>
      <c r="F493" s="21" t="str">
        <f>IF(H494=1,IF(H492=H$2,H492,""),"")</f>
        <v/>
      </c>
      <c r="G493" s="25"/>
      <c r="H493" s="20" t="str">
        <f>IF(E$529="comprobar",COUNTIF(D492:D496,"x"),"")</f>
        <v/>
      </c>
    </row>
    <row r="494" spans="1:8" x14ac:dyDescent="0.25">
      <c r="B494" s="87" t="s">
        <v>15</v>
      </c>
      <c r="C494" s="134" t="s">
        <v>386</v>
      </c>
      <c r="D494" s="39"/>
      <c r="E494" s="83" t="s">
        <v>11</v>
      </c>
      <c r="F494" s="22" t="str">
        <f>IF(H494=-0.33,IF(H492=H$1,H492,""),"")</f>
        <v/>
      </c>
      <c r="G494" s="25"/>
      <c r="H494" s="23">
        <f t="shared" ref="H494" si="41">IF(H493=1,IF(H492=H$2,1,-0.33),0)</f>
        <v>0</v>
      </c>
    </row>
    <row r="495" spans="1:8" x14ac:dyDescent="0.25">
      <c r="B495" s="87" t="s">
        <v>15</v>
      </c>
      <c r="C495" s="134" t="s">
        <v>387</v>
      </c>
      <c r="D495" s="39"/>
      <c r="E495" s="83" t="s">
        <v>12</v>
      </c>
      <c r="F495" s="19"/>
      <c r="G495" s="25"/>
      <c r="H495" s="23"/>
    </row>
    <row r="496" spans="1:8" x14ac:dyDescent="0.25">
      <c r="B496" s="87"/>
      <c r="C496" s="17"/>
      <c r="D496" s="39"/>
      <c r="E496" s="83" t="s">
        <v>13</v>
      </c>
      <c r="F496" s="19"/>
      <c r="G496" s="18"/>
      <c r="H496" s="23"/>
    </row>
    <row r="497" spans="1:8" s="16" customFormat="1" x14ac:dyDescent="0.25">
      <c r="A497" s="4"/>
      <c r="B497" s="150" t="s">
        <v>85</v>
      </c>
      <c r="C497" s="135" t="s">
        <v>388</v>
      </c>
      <c r="D497" s="40"/>
      <c r="E497" s="13"/>
      <c r="F497" s="15"/>
      <c r="G497" s="27"/>
      <c r="H497" s="14"/>
    </row>
    <row r="498" spans="1:8" x14ac:dyDescent="0.25">
      <c r="B498" s="87" t="s">
        <v>15</v>
      </c>
      <c r="C498" s="133" t="s">
        <v>356</v>
      </c>
      <c r="D498" s="39"/>
      <c r="E498" s="83" t="s">
        <v>9</v>
      </c>
      <c r="F498" s="19"/>
      <c r="G498" s="25"/>
      <c r="H498" s="20" t="b">
        <f>IF(D498="x",H$2,H$1)</f>
        <v>0</v>
      </c>
    </row>
    <row r="499" spans="1:8" x14ac:dyDescent="0.25">
      <c r="B499" s="87" t="s">
        <v>15</v>
      </c>
      <c r="C499" s="134" t="s">
        <v>389</v>
      </c>
      <c r="D499" s="39"/>
      <c r="E499" s="83" t="s">
        <v>10</v>
      </c>
      <c r="F499" s="21" t="str">
        <f>IF(H500=1,IF(H498=H$2,H498,""),"")</f>
        <v/>
      </c>
      <c r="G499" s="25"/>
      <c r="H499" s="20" t="str">
        <f>IF(E$529="comprobar",COUNTIF(D498:D502,"x"),"")</f>
        <v/>
      </c>
    </row>
    <row r="500" spans="1:8" x14ac:dyDescent="0.25">
      <c r="B500" s="87" t="s">
        <v>15</v>
      </c>
      <c r="C500" s="134" t="s">
        <v>390</v>
      </c>
      <c r="D500" s="39"/>
      <c r="E500" s="83" t="s">
        <v>11</v>
      </c>
      <c r="F500" s="22" t="str">
        <f>IF(H500=-0.33,IF(H498=H$1,H498,""),"")</f>
        <v/>
      </c>
      <c r="G500" s="25"/>
      <c r="H500" s="23">
        <f t="shared" ref="H500" si="42">IF(H499=1,IF(H498=H$2,1,-0.33),0)</f>
        <v>0</v>
      </c>
    </row>
    <row r="501" spans="1:8" x14ac:dyDescent="0.25">
      <c r="B501" s="87" t="s">
        <v>15</v>
      </c>
      <c r="C501" s="134" t="s">
        <v>391</v>
      </c>
      <c r="D501" s="39"/>
      <c r="E501" s="83" t="s">
        <v>12</v>
      </c>
      <c r="F501" s="19"/>
      <c r="G501" s="25"/>
      <c r="H501" s="23"/>
    </row>
    <row r="502" spans="1:8" x14ac:dyDescent="0.25">
      <c r="B502" s="43"/>
      <c r="C502" s="17"/>
      <c r="D502" s="39"/>
      <c r="E502" s="83" t="s">
        <v>13</v>
      </c>
      <c r="F502" s="19"/>
      <c r="G502" s="18"/>
      <c r="H502" s="23"/>
    </row>
    <row r="503" spans="1:8" s="16" customFormat="1" x14ac:dyDescent="0.25">
      <c r="A503" s="4"/>
      <c r="B503" s="150" t="s">
        <v>91</v>
      </c>
      <c r="C503" s="12" t="s">
        <v>392</v>
      </c>
      <c r="D503" s="40"/>
      <c r="E503" s="13"/>
      <c r="F503" s="15"/>
      <c r="G503" s="27"/>
      <c r="H503" s="14"/>
    </row>
    <row r="504" spans="1:8" x14ac:dyDescent="0.25">
      <c r="B504" s="87" t="s">
        <v>15</v>
      </c>
      <c r="C504" s="133" t="s">
        <v>393</v>
      </c>
      <c r="D504" s="39"/>
      <c r="E504" s="83" t="s">
        <v>9</v>
      </c>
      <c r="F504" s="19"/>
      <c r="G504" s="25"/>
      <c r="H504" s="20" t="b">
        <f>IF(D506="x",H$2,H$1)</f>
        <v>0</v>
      </c>
    </row>
    <row r="505" spans="1:8" x14ac:dyDescent="0.25">
      <c r="B505" s="87" t="s">
        <v>15</v>
      </c>
      <c r="C505" s="134" t="s">
        <v>394</v>
      </c>
      <c r="D505" s="39"/>
      <c r="E505" s="83" t="s">
        <v>10</v>
      </c>
      <c r="F505" s="21" t="str">
        <f>IF(H506=1,IF(H504=H$2,H504,""),"")</f>
        <v/>
      </c>
      <c r="G505" s="25"/>
      <c r="H505" s="20" t="str">
        <f>IF(E$529="comprobar",COUNTIF(D504:D508,"x"),"")</f>
        <v/>
      </c>
    </row>
    <row r="506" spans="1:8" x14ac:dyDescent="0.25">
      <c r="B506" s="87" t="s">
        <v>15</v>
      </c>
      <c r="C506" s="134" t="s">
        <v>395</v>
      </c>
      <c r="D506" s="39"/>
      <c r="E506" s="83" t="s">
        <v>11</v>
      </c>
      <c r="F506" s="22" t="str">
        <f>IF(H506=-0.33,IF(H504=H$1,H504,""),"")</f>
        <v/>
      </c>
      <c r="G506" s="25"/>
      <c r="H506" s="23">
        <f t="shared" ref="H506" si="43">IF(H505=1,IF(H504=H$2,1,-0.33),0)</f>
        <v>0</v>
      </c>
    </row>
    <row r="507" spans="1:8" x14ac:dyDescent="0.25">
      <c r="B507" s="87" t="s">
        <v>15</v>
      </c>
      <c r="C507" s="133" t="s">
        <v>396</v>
      </c>
      <c r="D507" s="39"/>
      <c r="E507" s="83" t="s">
        <v>12</v>
      </c>
      <c r="F507" s="19"/>
      <c r="G507" s="25"/>
      <c r="H507" s="23"/>
    </row>
    <row r="508" spans="1:8" x14ac:dyDescent="0.25">
      <c r="B508" s="43"/>
      <c r="C508" s="134"/>
      <c r="D508" s="39"/>
      <c r="E508" s="83" t="s">
        <v>13</v>
      </c>
      <c r="F508" s="19"/>
      <c r="G508" s="18"/>
      <c r="H508" s="23"/>
    </row>
    <row r="509" spans="1:8" s="16" customFormat="1" x14ac:dyDescent="0.25">
      <c r="A509" s="4"/>
      <c r="B509" s="150" t="s">
        <v>92</v>
      </c>
      <c r="C509" s="12" t="s">
        <v>397</v>
      </c>
      <c r="D509" s="40"/>
      <c r="E509" s="13"/>
      <c r="F509" s="15"/>
      <c r="G509" s="27"/>
      <c r="H509" s="14"/>
    </row>
    <row r="510" spans="1:8" x14ac:dyDescent="0.25">
      <c r="B510" s="87" t="s">
        <v>15</v>
      </c>
      <c r="C510" s="133" t="s">
        <v>398</v>
      </c>
      <c r="D510" s="39"/>
      <c r="E510" s="83" t="s">
        <v>9</v>
      </c>
      <c r="F510" s="19"/>
      <c r="G510" s="25"/>
      <c r="H510" s="20" t="b">
        <f>IF(D512="x",H$2,H$1)</f>
        <v>0</v>
      </c>
    </row>
    <row r="511" spans="1:8" x14ac:dyDescent="0.25">
      <c r="B511" s="87" t="s">
        <v>15</v>
      </c>
      <c r="C511" s="133" t="s">
        <v>399</v>
      </c>
      <c r="D511" s="39"/>
      <c r="E511" s="83" t="s">
        <v>10</v>
      </c>
      <c r="F511" s="21" t="str">
        <f>IF(H512=1,IF(H510=H$2,H510,""),"")</f>
        <v/>
      </c>
      <c r="G511" s="25"/>
      <c r="H511" s="20" t="str">
        <f>IF(E$529="comprobar",COUNTIF(D510:D514,"x"),"")</f>
        <v/>
      </c>
    </row>
    <row r="512" spans="1:8" x14ac:dyDescent="0.25">
      <c r="B512" s="87" t="s">
        <v>15</v>
      </c>
      <c r="C512" s="133" t="s">
        <v>400</v>
      </c>
      <c r="D512" s="39"/>
      <c r="E512" s="83" t="s">
        <v>11</v>
      </c>
      <c r="F512" s="22" t="str">
        <f>IF(H512=-0.33,IF(H510=H$1,H510,""),"")</f>
        <v/>
      </c>
      <c r="G512" s="25"/>
      <c r="H512" s="23">
        <f t="shared" ref="H512" si="44">IF(H511=1,IF(H510=H$2,1,-0.33),0)</f>
        <v>0</v>
      </c>
    </row>
    <row r="513" spans="2:8" x14ac:dyDescent="0.25">
      <c r="B513" s="87" t="s">
        <v>15</v>
      </c>
      <c r="C513" s="133" t="s">
        <v>401</v>
      </c>
      <c r="D513" s="39"/>
      <c r="E513" s="83" t="s">
        <v>12</v>
      </c>
      <c r="F513" s="19"/>
      <c r="G513" s="25"/>
      <c r="H513" s="23"/>
    </row>
    <row r="514" spans="2:8" x14ac:dyDescent="0.25">
      <c r="B514" s="117"/>
      <c r="C514" s="17"/>
      <c r="D514" s="39"/>
      <c r="E514" s="83" t="s">
        <v>13</v>
      </c>
      <c r="F514" s="19"/>
      <c r="G514" s="18"/>
      <c r="H514" s="23"/>
    </row>
    <row r="515" spans="2:8" x14ac:dyDescent="0.25">
      <c r="B515" s="117"/>
      <c r="C515" s="17"/>
      <c r="D515" s="49"/>
      <c r="E515" s="149"/>
      <c r="F515" s="19"/>
      <c r="G515" s="18"/>
      <c r="H515" s="23"/>
    </row>
    <row r="516" spans="2:8" x14ac:dyDescent="0.25">
      <c r="B516" s="150" t="s">
        <v>199</v>
      </c>
      <c r="C516" s="12" t="s">
        <v>402</v>
      </c>
      <c r="D516" s="40"/>
      <c r="E516" s="13"/>
      <c r="F516" s="15"/>
      <c r="G516" s="27"/>
      <c r="H516" s="14"/>
    </row>
    <row r="517" spans="2:8" x14ac:dyDescent="0.25">
      <c r="B517" s="87" t="s">
        <v>15</v>
      </c>
      <c r="C517" s="133" t="s">
        <v>403</v>
      </c>
      <c r="D517" s="39"/>
      <c r="E517" s="149" t="s">
        <v>9</v>
      </c>
      <c r="F517" s="19"/>
      <c r="G517" s="25"/>
      <c r="H517" s="20" t="b">
        <f>IF(D517="x",H$2,H$1)</f>
        <v>0</v>
      </c>
    </row>
    <row r="518" spans="2:8" x14ac:dyDescent="0.25">
      <c r="B518" s="87" t="s">
        <v>15</v>
      </c>
      <c r="C518" s="133" t="s">
        <v>404</v>
      </c>
      <c r="D518" s="39"/>
      <c r="E518" s="149" t="s">
        <v>10</v>
      </c>
      <c r="F518" s="21" t="str">
        <f>IF(H519=1,IF(H517=H$2,H517,""),"")</f>
        <v/>
      </c>
      <c r="G518" s="25"/>
      <c r="H518" s="20" t="str">
        <f>IF(E$529="comprobar",COUNTIF(D517:D521,"x"),"")</f>
        <v/>
      </c>
    </row>
    <row r="519" spans="2:8" x14ac:dyDescent="0.25">
      <c r="B519" s="87" t="s">
        <v>15</v>
      </c>
      <c r="C519" s="133" t="s">
        <v>405</v>
      </c>
      <c r="D519" s="39"/>
      <c r="E519" s="149" t="s">
        <v>11</v>
      </c>
      <c r="F519" s="22" t="str">
        <f>IF(H519=-0.33,IF(H517=H$1,H517,""),"")</f>
        <v/>
      </c>
      <c r="G519" s="25"/>
      <c r="H519" s="23">
        <f t="shared" ref="H519" si="45">IF(H518=1,IF(H517=H$2,1,-0.33),0)</f>
        <v>0</v>
      </c>
    </row>
    <row r="520" spans="2:8" x14ac:dyDescent="0.25">
      <c r="B520" s="87" t="s">
        <v>15</v>
      </c>
      <c r="C520" s="133" t="s">
        <v>406</v>
      </c>
      <c r="D520" s="39"/>
      <c r="E520" s="149" t="s">
        <v>12</v>
      </c>
      <c r="F520" s="19"/>
      <c r="G520" s="25"/>
      <c r="H520" s="23"/>
    </row>
    <row r="521" spans="2:8" x14ac:dyDescent="0.25">
      <c r="B521" s="117"/>
      <c r="C521" s="17"/>
      <c r="D521" s="39"/>
      <c r="E521" s="149" t="s">
        <v>13</v>
      </c>
      <c r="F521" s="19"/>
      <c r="G521" s="18"/>
      <c r="H521" s="23"/>
    </row>
    <row r="522" spans="2:8" x14ac:dyDescent="0.25">
      <c r="B522" s="117"/>
      <c r="C522" s="17"/>
      <c r="D522" s="49"/>
      <c r="E522" s="149"/>
      <c r="F522" s="19"/>
      <c r="G522" s="18"/>
      <c r="H522" s="23"/>
    </row>
    <row r="523" spans="2:8" x14ac:dyDescent="0.25">
      <c r="B523" s="150" t="s">
        <v>159</v>
      </c>
      <c r="C523" s="12" t="s">
        <v>407</v>
      </c>
      <c r="D523" s="40"/>
      <c r="E523" s="13"/>
      <c r="F523" s="15"/>
      <c r="G523" s="27"/>
      <c r="H523" s="14"/>
    </row>
    <row r="524" spans="2:8" x14ac:dyDescent="0.25">
      <c r="B524" s="87" t="s">
        <v>15</v>
      </c>
      <c r="C524" s="133" t="s">
        <v>408</v>
      </c>
      <c r="D524" s="39"/>
      <c r="E524" s="149" t="s">
        <v>9</v>
      </c>
      <c r="F524" s="19"/>
      <c r="G524" s="25"/>
      <c r="H524" s="20" t="b">
        <f>IF(D526="x",H$2,H$1)</f>
        <v>0</v>
      </c>
    </row>
    <row r="525" spans="2:8" x14ac:dyDescent="0.25">
      <c r="B525" s="87" t="s">
        <v>15</v>
      </c>
      <c r="C525" s="133" t="s">
        <v>409</v>
      </c>
      <c r="D525" s="39"/>
      <c r="E525" s="149" t="s">
        <v>10</v>
      </c>
      <c r="F525" s="21" t="str">
        <f>IF(H526=1,IF(H524=H$2,H524,""),"")</f>
        <v/>
      </c>
      <c r="G525" s="25"/>
      <c r="H525" s="20" t="str">
        <f>IF(E$529="comprobar",COUNTIF(D524:D528,"x"),"")</f>
        <v/>
      </c>
    </row>
    <row r="526" spans="2:8" x14ac:dyDescent="0.25">
      <c r="B526" s="87" t="s">
        <v>15</v>
      </c>
      <c r="C526" s="133" t="s">
        <v>410</v>
      </c>
      <c r="D526" s="39"/>
      <c r="E526" s="149" t="s">
        <v>11</v>
      </c>
      <c r="F526" s="22" t="str">
        <f>IF(H526=-0.33,IF(H524=H$1,H524,""),"")</f>
        <v/>
      </c>
      <c r="G526" s="25"/>
      <c r="H526" s="23">
        <f t="shared" ref="H526" si="46">IF(H525=1,IF(H524=H$2,1,-0.33),0)</f>
        <v>0</v>
      </c>
    </row>
    <row r="527" spans="2:8" x14ac:dyDescent="0.25">
      <c r="B527" s="87" t="s">
        <v>15</v>
      </c>
      <c r="C527" s="133" t="s">
        <v>411</v>
      </c>
      <c r="D527" s="39"/>
      <c r="E527" s="149" t="s">
        <v>12</v>
      </c>
      <c r="F527" s="19"/>
      <c r="G527" s="25"/>
      <c r="H527" s="23"/>
    </row>
    <row r="528" spans="2:8" x14ac:dyDescent="0.25">
      <c r="B528" s="117"/>
      <c r="C528" s="17"/>
      <c r="D528" s="39"/>
      <c r="E528" s="149" t="s">
        <v>13</v>
      </c>
      <c r="F528" s="19"/>
      <c r="G528" s="18"/>
      <c r="H528" s="23"/>
    </row>
    <row r="529" spans="1:8" x14ac:dyDescent="0.25">
      <c r="B529" s="117"/>
      <c r="C529" s="17"/>
      <c r="D529" s="49"/>
      <c r="E529" s="55"/>
      <c r="F529" s="19"/>
      <c r="G529" s="18"/>
      <c r="H529" s="23"/>
    </row>
    <row r="530" spans="1:8" x14ac:dyDescent="0.25">
      <c r="B530" s="43"/>
      <c r="C530" s="8"/>
      <c r="D530" s="49"/>
      <c r="E530" s="60"/>
      <c r="F530" s="29" t="s">
        <v>8</v>
      </c>
      <c r="G530" s="18" t="s">
        <v>6</v>
      </c>
      <c r="H530" s="18" t="s">
        <v>7</v>
      </c>
    </row>
    <row r="531" spans="1:8" ht="19.5" x14ac:dyDescent="0.25">
      <c r="B531" s="43"/>
      <c r="C531" s="8"/>
      <c r="D531" s="170"/>
      <c r="E531" s="170"/>
      <c r="F531" s="30" t="str">
        <f>IF(E$529="comprobar",H512+H506+H500+H494+H488+H482+H476+H470+H519+H526,"")</f>
        <v/>
      </c>
      <c r="G531" s="18">
        <f>10/2</f>
        <v>5</v>
      </c>
      <c r="H531" s="18"/>
    </row>
    <row r="532" spans="1:8" ht="16.5" thickBot="1" x14ac:dyDescent="0.3">
      <c r="B532" s="67"/>
      <c r="C532" s="68"/>
      <c r="D532" s="32"/>
      <c r="E532" s="9"/>
      <c r="F532" s="33" t="str">
        <f>IF(F531&gt;G531,G530,H530)</f>
        <v>APROBADO</v>
      </c>
      <c r="G532" s="18"/>
      <c r="H532" s="18"/>
    </row>
    <row r="533" spans="1:8" ht="28.5" x14ac:dyDescent="0.45">
      <c r="B533" s="62" t="s">
        <v>17</v>
      </c>
      <c r="C533" s="84" t="s">
        <v>412</v>
      </c>
      <c r="D533" s="84"/>
      <c r="E533" s="84"/>
      <c r="F533" s="85"/>
    </row>
    <row r="534" spans="1:8" s="16" customFormat="1" ht="31.5" x14ac:dyDescent="0.25">
      <c r="A534" s="4"/>
      <c r="B534" s="152" t="s">
        <v>64</v>
      </c>
      <c r="C534" s="131" t="s">
        <v>413</v>
      </c>
      <c r="D534" s="13"/>
      <c r="E534" s="13"/>
      <c r="F534" s="15"/>
      <c r="G534" s="138"/>
      <c r="H534" s="14"/>
    </row>
    <row r="535" spans="1:8" x14ac:dyDescent="0.25">
      <c r="B535" s="87" t="s">
        <v>15</v>
      </c>
      <c r="C535" s="133" t="s">
        <v>414</v>
      </c>
      <c r="D535" s="39"/>
      <c r="E535" s="83" t="s">
        <v>9</v>
      </c>
      <c r="F535" s="19"/>
      <c r="G535" s="25"/>
      <c r="H535" s="20" t="b">
        <f>IF(D538="x",H$2,H$1)</f>
        <v>0</v>
      </c>
    </row>
    <row r="536" spans="1:8" x14ac:dyDescent="0.25">
      <c r="B536" s="87" t="s">
        <v>15</v>
      </c>
      <c r="C536" t="s">
        <v>415</v>
      </c>
      <c r="D536" s="39"/>
      <c r="E536" s="83" t="s">
        <v>10</v>
      </c>
      <c r="F536" s="21" t="str">
        <f>IF(H537=1,IF(H535=H$2,H535,""),"")</f>
        <v/>
      </c>
      <c r="G536" s="25"/>
      <c r="H536" s="20" t="str">
        <f>IF(E$594="comprobar",COUNTIF(D535:D539,"x"),"")</f>
        <v/>
      </c>
    </row>
    <row r="537" spans="1:8" x14ac:dyDescent="0.25">
      <c r="B537" s="87" t="s">
        <v>15</v>
      </c>
      <c r="C537" s="134" t="s">
        <v>416</v>
      </c>
      <c r="D537" s="39"/>
      <c r="E537" s="83" t="s">
        <v>11</v>
      </c>
      <c r="F537" s="22" t="str">
        <f>IF(H537=-0.33,IF(H535=H$1,H535,""),"")</f>
        <v/>
      </c>
      <c r="G537" s="25"/>
      <c r="H537" s="23">
        <f>IF(H536=1,IF(H535=H$2,1,-0.33),0)</f>
        <v>0</v>
      </c>
    </row>
    <row r="538" spans="1:8" x14ac:dyDescent="0.25">
      <c r="B538" s="87" t="s">
        <v>15</v>
      </c>
      <c r="C538" s="134" t="s">
        <v>417</v>
      </c>
      <c r="D538" s="39"/>
      <c r="E538" s="83" t="s">
        <v>12</v>
      </c>
      <c r="F538" s="19"/>
      <c r="G538" s="25"/>
      <c r="H538" s="23"/>
    </row>
    <row r="539" spans="1:8" x14ac:dyDescent="0.25">
      <c r="B539" s="132"/>
      <c r="C539" s="17"/>
      <c r="D539" s="39"/>
      <c r="E539" s="83" t="s">
        <v>13</v>
      </c>
      <c r="F539" s="19"/>
      <c r="G539" s="18"/>
      <c r="H539" s="23"/>
    </row>
    <row r="540" spans="1:8" s="16" customFormat="1" x14ac:dyDescent="0.25">
      <c r="A540" s="4"/>
      <c r="B540" s="130" t="s">
        <v>62</v>
      </c>
      <c r="C540" s="153" t="s">
        <v>418</v>
      </c>
      <c r="D540" s="40"/>
      <c r="E540" s="13"/>
      <c r="F540" s="15"/>
      <c r="G540" s="138"/>
      <c r="H540" s="14"/>
    </row>
    <row r="541" spans="1:8" x14ac:dyDescent="0.25">
      <c r="B541" s="87" t="s">
        <v>15</v>
      </c>
      <c r="C541" s="133" t="s">
        <v>419</v>
      </c>
      <c r="D541" s="39"/>
      <c r="E541" s="83" t="s">
        <v>9</v>
      </c>
      <c r="F541" s="19"/>
      <c r="G541" s="25"/>
      <c r="H541" s="20" t="b">
        <f>IF(D542="x",H$2,H$1)</f>
        <v>0</v>
      </c>
    </row>
    <row r="542" spans="1:8" x14ac:dyDescent="0.25">
      <c r="B542" s="87" t="s">
        <v>15</v>
      </c>
      <c r="C542" s="134" t="s">
        <v>420</v>
      </c>
      <c r="D542" s="39"/>
      <c r="E542" s="83" t="s">
        <v>10</v>
      </c>
      <c r="F542" s="21" t="str">
        <f>IF(H543=1,IF(H541=H$2,H541,""),"")</f>
        <v/>
      </c>
      <c r="G542" s="25"/>
      <c r="H542" s="20" t="str">
        <f>IF(E$594="comprobar",COUNTIF(D541:D545,"x"),"")</f>
        <v/>
      </c>
    </row>
    <row r="543" spans="1:8" x14ac:dyDescent="0.25">
      <c r="B543" s="87" t="s">
        <v>15</v>
      </c>
      <c r="C543" s="134" t="s">
        <v>421</v>
      </c>
      <c r="D543" s="39"/>
      <c r="E543" s="83" t="s">
        <v>11</v>
      </c>
      <c r="F543" s="22" t="str">
        <f>IF(H543=-0.33,IF(H541=H$1,H541,""),"")</f>
        <v/>
      </c>
      <c r="G543" s="25"/>
      <c r="H543" s="23">
        <f t="shared" ref="H543" si="47">IF(H542=1,IF(H541=H$2,1,-0.33),0)</f>
        <v>0</v>
      </c>
    </row>
    <row r="544" spans="1:8" x14ac:dyDescent="0.25">
      <c r="B544" s="87" t="s">
        <v>15</v>
      </c>
      <c r="C544" s="134" t="s">
        <v>422</v>
      </c>
      <c r="D544" s="39"/>
      <c r="E544" s="83" t="s">
        <v>12</v>
      </c>
      <c r="F544" s="19"/>
      <c r="G544" s="25"/>
      <c r="H544" s="23"/>
    </row>
    <row r="545" spans="1:8" x14ac:dyDescent="0.25">
      <c r="B545" s="132"/>
      <c r="C545" s="17"/>
      <c r="D545" s="39"/>
      <c r="E545" s="83" t="s">
        <v>13</v>
      </c>
      <c r="F545" s="19"/>
      <c r="G545" s="18"/>
      <c r="H545" s="23"/>
    </row>
    <row r="546" spans="1:8" s="16" customFormat="1" x14ac:dyDescent="0.25">
      <c r="A546" s="4"/>
      <c r="B546" s="130" t="s">
        <v>69</v>
      </c>
      <c r="C546" s="153" t="s">
        <v>423</v>
      </c>
      <c r="D546" s="40"/>
      <c r="E546" s="13"/>
      <c r="F546" s="15"/>
      <c r="G546" s="27"/>
      <c r="H546" s="14"/>
    </row>
    <row r="547" spans="1:8" x14ac:dyDescent="0.25">
      <c r="B547" s="87" t="s">
        <v>15</v>
      </c>
      <c r="C547" s="133" t="s">
        <v>424</v>
      </c>
      <c r="D547" s="39"/>
      <c r="E547" s="83" t="s">
        <v>9</v>
      </c>
      <c r="F547" s="19"/>
      <c r="G547" s="25"/>
      <c r="H547" s="20" t="b">
        <f>IF(D547="x",H$2,H$1)</f>
        <v>0</v>
      </c>
    </row>
    <row r="548" spans="1:8" x14ac:dyDescent="0.25">
      <c r="B548" s="87" t="s">
        <v>15</v>
      </c>
      <c r="C548" s="134" t="s">
        <v>425</v>
      </c>
      <c r="D548" s="39"/>
      <c r="E548" s="83" t="s">
        <v>10</v>
      </c>
      <c r="F548" s="21" t="str">
        <f>IF(H549=1,IF(H547=H$2,H547,""),"")</f>
        <v/>
      </c>
      <c r="G548" s="25"/>
      <c r="H548" s="20" t="str">
        <f>IF(E$594="comprobar",COUNTIF(D547:D551,"x"),"")</f>
        <v/>
      </c>
    </row>
    <row r="549" spans="1:8" x14ac:dyDescent="0.25">
      <c r="B549" s="87" t="s">
        <v>15</v>
      </c>
      <c r="C549" s="134" t="s">
        <v>426</v>
      </c>
      <c r="D549" s="39"/>
      <c r="E549" s="83" t="s">
        <v>11</v>
      </c>
      <c r="F549" s="22" t="str">
        <f>IF(H549=-0.33,IF(H547=H$1,H547,""),"")</f>
        <v/>
      </c>
      <c r="G549" s="25"/>
      <c r="H549" s="23">
        <f t="shared" ref="H549" si="48">IF(H548=1,IF(H547=H$2,1,-0.33),0)</f>
        <v>0</v>
      </c>
    </row>
    <row r="550" spans="1:8" x14ac:dyDescent="0.25">
      <c r="B550" s="87" t="s">
        <v>15</v>
      </c>
      <c r="C550" s="134" t="s">
        <v>427</v>
      </c>
      <c r="D550" s="39"/>
      <c r="E550" s="83" t="s">
        <v>12</v>
      </c>
      <c r="F550" s="19"/>
      <c r="G550" s="25"/>
      <c r="H550" s="23"/>
    </row>
    <row r="551" spans="1:8" x14ac:dyDescent="0.25">
      <c r="B551" s="132"/>
      <c r="C551" s="17"/>
      <c r="D551" s="39"/>
      <c r="E551" s="83" t="s">
        <v>13</v>
      </c>
      <c r="F551" s="19"/>
      <c r="G551" s="18"/>
      <c r="H551" s="23"/>
    </row>
    <row r="552" spans="1:8" s="16" customFormat="1" x14ac:dyDescent="0.25">
      <c r="A552" s="4"/>
      <c r="B552" s="130" t="s">
        <v>75</v>
      </c>
      <c r="C552" s="12" t="s">
        <v>628</v>
      </c>
      <c r="D552" s="40"/>
      <c r="E552" s="13"/>
      <c r="F552" s="15"/>
      <c r="G552" s="27"/>
      <c r="H552" s="14"/>
    </row>
    <row r="553" spans="1:8" x14ac:dyDescent="0.25">
      <c r="B553" s="87" t="s">
        <v>15</v>
      </c>
      <c r="C553" s="133" t="s">
        <v>428</v>
      </c>
      <c r="D553" s="39"/>
      <c r="E553" s="83" t="s">
        <v>9</v>
      </c>
      <c r="F553" s="19"/>
      <c r="G553" s="25"/>
      <c r="H553" s="20" t="b">
        <f>IF(D555="x",H$2,H$1)</f>
        <v>0</v>
      </c>
    </row>
    <row r="554" spans="1:8" x14ac:dyDescent="0.25">
      <c r="B554" s="87" t="s">
        <v>15</v>
      </c>
      <c r="C554" s="134" t="s">
        <v>429</v>
      </c>
      <c r="D554" s="39"/>
      <c r="E554" s="83" t="s">
        <v>10</v>
      </c>
      <c r="F554" s="21" t="str">
        <f>IF(H555=1,IF(H553=H$2,H553,""),"")</f>
        <v/>
      </c>
      <c r="G554" s="25"/>
      <c r="H554" s="20" t="str">
        <f>IF(E$594="comprobar",COUNTIF(D553:D557,"x"),"")</f>
        <v/>
      </c>
    </row>
    <row r="555" spans="1:8" x14ac:dyDescent="0.25">
      <c r="B555" s="87" t="s">
        <v>15</v>
      </c>
      <c r="C555" s="134" t="s">
        <v>430</v>
      </c>
      <c r="D555" s="39"/>
      <c r="E555" s="83" t="s">
        <v>11</v>
      </c>
      <c r="F555" s="22" t="str">
        <f>IF(H555=-0.33,IF(H553=H$1,H553,""),"")</f>
        <v/>
      </c>
      <c r="G555" s="25"/>
      <c r="H555" s="23">
        <f t="shared" ref="H555" si="49">IF(H554=1,IF(H553=H$2,1,-0.33),0)</f>
        <v>0</v>
      </c>
    </row>
    <row r="556" spans="1:8" x14ac:dyDescent="0.25">
      <c r="B556" s="87" t="s">
        <v>15</v>
      </c>
      <c r="C556" s="155">
        <v>192168100216</v>
      </c>
      <c r="D556" s="39"/>
      <c r="E556" s="83" t="s">
        <v>12</v>
      </c>
      <c r="F556" s="19"/>
      <c r="G556" s="25"/>
      <c r="H556" s="23"/>
    </row>
    <row r="557" spans="1:8" x14ac:dyDescent="0.25">
      <c r="B557" s="132"/>
      <c r="C557" s="17"/>
      <c r="D557" s="39"/>
      <c r="E557" s="83" t="s">
        <v>13</v>
      </c>
      <c r="F557" s="19"/>
      <c r="G557" s="18"/>
      <c r="H557" s="23"/>
    </row>
    <row r="558" spans="1:8" s="16" customFormat="1" x14ac:dyDescent="0.25">
      <c r="A558" s="4"/>
      <c r="B558" s="130" t="s">
        <v>80</v>
      </c>
      <c r="C558" s="135" t="s">
        <v>627</v>
      </c>
      <c r="D558" s="40"/>
      <c r="E558" s="13"/>
      <c r="F558" s="15"/>
      <c r="G558" s="27"/>
      <c r="H558" s="14"/>
    </row>
    <row r="559" spans="1:8" x14ac:dyDescent="0.25">
      <c r="B559" s="87" t="s">
        <v>15</v>
      </c>
      <c r="C559" s="133" t="s">
        <v>431</v>
      </c>
      <c r="D559" s="39"/>
      <c r="E559" s="83" t="s">
        <v>9</v>
      </c>
      <c r="F559" s="19"/>
      <c r="G559" s="25"/>
      <c r="H559" s="20" t="b">
        <f>IF(D561="x",H$2,H$1)</f>
        <v>0</v>
      </c>
    </row>
    <row r="560" spans="1:8" x14ac:dyDescent="0.25">
      <c r="B560" s="87" t="s">
        <v>15</v>
      </c>
      <c r="C560" s="134" t="s">
        <v>432</v>
      </c>
      <c r="D560" s="39"/>
      <c r="E560" s="83" t="s">
        <v>10</v>
      </c>
      <c r="F560" s="21" t="str">
        <f>IF(H561=1,IF(H559=H$2,H559,""),"")</f>
        <v/>
      </c>
      <c r="G560" s="25"/>
      <c r="H560" s="20" t="str">
        <f>IF(E$594="comprobar",COUNTIF(D559:D563,"x"),"")</f>
        <v/>
      </c>
    </row>
    <row r="561" spans="1:8" x14ac:dyDescent="0.25">
      <c r="B561" s="87" t="s">
        <v>15</v>
      </c>
      <c r="C561" s="134" t="s">
        <v>433</v>
      </c>
      <c r="D561" s="39"/>
      <c r="E561" s="83" t="s">
        <v>11</v>
      </c>
      <c r="F561" s="22" t="str">
        <f>IF(H561=-0.33,IF(H559=H$1,H559,""),"")</f>
        <v/>
      </c>
      <c r="G561" s="25"/>
      <c r="H561" s="23">
        <f t="shared" ref="H561" si="50">IF(H560=1,IF(H559=H$2,1,-0.33),0)</f>
        <v>0</v>
      </c>
    </row>
    <row r="562" spans="1:8" x14ac:dyDescent="0.25">
      <c r="B562" s="87" t="s">
        <v>15</v>
      </c>
      <c r="C562" s="134" t="s">
        <v>434</v>
      </c>
      <c r="D562" s="39"/>
      <c r="E562" s="83" t="s">
        <v>12</v>
      </c>
      <c r="F562" s="19"/>
      <c r="G562" s="25"/>
      <c r="H562" s="23"/>
    </row>
    <row r="563" spans="1:8" x14ac:dyDescent="0.25">
      <c r="B563" s="132"/>
      <c r="C563" s="17"/>
      <c r="D563" s="39"/>
      <c r="E563" s="83" t="s">
        <v>13</v>
      </c>
      <c r="F563" s="19"/>
      <c r="G563" s="18"/>
      <c r="H563" s="23"/>
    </row>
    <row r="564" spans="1:8" s="16" customFormat="1" x14ac:dyDescent="0.25">
      <c r="A564" s="4"/>
      <c r="B564" s="130" t="s">
        <v>85</v>
      </c>
      <c r="C564" s="154" t="s">
        <v>435</v>
      </c>
      <c r="D564" s="40"/>
      <c r="E564" s="13"/>
      <c r="F564" s="15"/>
      <c r="G564" s="27"/>
      <c r="H564" s="14"/>
    </row>
    <row r="565" spans="1:8" x14ac:dyDescent="0.25">
      <c r="B565" s="87" t="s">
        <v>15</v>
      </c>
      <c r="C565" s="133" t="s">
        <v>436</v>
      </c>
      <c r="D565" s="39"/>
      <c r="E565" s="83" t="s">
        <v>9</v>
      </c>
      <c r="F565" s="19"/>
      <c r="G565" s="25"/>
      <c r="H565" s="20" t="b">
        <f>IF(D565="x",H$2,H$1)</f>
        <v>0</v>
      </c>
    </row>
    <row r="566" spans="1:8" x14ac:dyDescent="0.25">
      <c r="B566" s="87" t="s">
        <v>15</v>
      </c>
      <c r="C566" s="134" t="s">
        <v>437</v>
      </c>
      <c r="D566" s="39"/>
      <c r="E566" s="83" t="s">
        <v>10</v>
      </c>
      <c r="F566" s="21" t="str">
        <f>IF(H567=1,IF(H565=H$2,H565,""),"")</f>
        <v/>
      </c>
      <c r="G566" s="25"/>
      <c r="H566" s="20" t="str">
        <f>IF(E$594="comprobar",COUNTIF(D565:D569,"x"),"")</f>
        <v/>
      </c>
    </row>
    <row r="567" spans="1:8" x14ac:dyDescent="0.25">
      <c r="B567" s="87" t="s">
        <v>15</v>
      </c>
      <c r="C567" s="134" t="s">
        <v>438</v>
      </c>
      <c r="D567" s="39"/>
      <c r="E567" s="83" t="s">
        <v>11</v>
      </c>
      <c r="F567" s="22" t="str">
        <f>IF(H567=-0.33,IF(H565=H$1,H565,""),"")</f>
        <v/>
      </c>
      <c r="G567" s="25"/>
      <c r="H567" s="23">
        <f t="shared" ref="H567" si="51">IF(H566=1,IF(H565=H$2,1,-0.33),0)</f>
        <v>0</v>
      </c>
    </row>
    <row r="568" spans="1:8" x14ac:dyDescent="0.25">
      <c r="B568" s="87" t="s">
        <v>15</v>
      </c>
      <c r="C568" s="134" t="s">
        <v>439</v>
      </c>
      <c r="D568" s="39"/>
      <c r="E568" s="83" t="s">
        <v>12</v>
      </c>
      <c r="F568" s="19"/>
      <c r="G568" s="25"/>
      <c r="H568" s="23"/>
    </row>
    <row r="569" spans="1:8" x14ac:dyDescent="0.25">
      <c r="B569" s="132"/>
      <c r="C569" s="17"/>
      <c r="D569" s="39"/>
      <c r="E569" s="83" t="s">
        <v>13</v>
      </c>
      <c r="F569" s="19"/>
      <c r="G569" s="18"/>
      <c r="H569" s="23"/>
    </row>
    <row r="570" spans="1:8" s="16" customFormat="1" x14ac:dyDescent="0.25">
      <c r="A570" s="4"/>
      <c r="B570" s="130" t="s">
        <v>91</v>
      </c>
      <c r="C570" s="153" t="s">
        <v>440</v>
      </c>
      <c r="D570" s="40"/>
      <c r="E570" s="13"/>
      <c r="F570" s="15"/>
      <c r="G570" s="27"/>
      <c r="H570" s="14"/>
    </row>
    <row r="571" spans="1:8" x14ac:dyDescent="0.25">
      <c r="B571" s="87" t="s">
        <v>15</v>
      </c>
      <c r="C571" s="133" t="s">
        <v>442</v>
      </c>
      <c r="D571" s="39"/>
      <c r="E571" s="83" t="s">
        <v>9</v>
      </c>
      <c r="F571" s="19"/>
      <c r="G571" s="25"/>
      <c r="H571" s="20" t="b">
        <f>IF(D574="x",H$2,H$1)</f>
        <v>0</v>
      </c>
    </row>
    <row r="572" spans="1:8" x14ac:dyDescent="0.25">
      <c r="B572" s="87" t="s">
        <v>15</v>
      </c>
      <c r="C572" s="134" t="s">
        <v>443</v>
      </c>
      <c r="D572" s="39"/>
      <c r="E572" s="83" t="s">
        <v>10</v>
      </c>
      <c r="F572" s="21" t="str">
        <f>IF(H573=1,IF(H571=H$2,H571,""),"")</f>
        <v/>
      </c>
      <c r="G572" s="25"/>
      <c r="H572" s="20" t="str">
        <f>IF(E$594="comprobar",COUNTIF(D571:D575,"x"),"")</f>
        <v/>
      </c>
    </row>
    <row r="573" spans="1:8" x14ac:dyDescent="0.25">
      <c r="B573" s="87" t="s">
        <v>15</v>
      </c>
      <c r="C573" s="134" t="s">
        <v>444</v>
      </c>
      <c r="D573" s="39"/>
      <c r="E573" s="83" t="s">
        <v>11</v>
      </c>
      <c r="F573" s="22" t="str">
        <f>IF(H573=-0.33,IF(H571=H$1,H571,""),"")</f>
        <v/>
      </c>
      <c r="G573" s="25"/>
      <c r="H573" s="23">
        <f t="shared" ref="H573" si="52">IF(H572=1,IF(H571=H$2,1,-0.33),0)</f>
        <v>0</v>
      </c>
    </row>
    <row r="574" spans="1:8" x14ac:dyDescent="0.25">
      <c r="B574" s="87" t="s">
        <v>15</v>
      </c>
      <c r="C574" s="134" t="s">
        <v>441</v>
      </c>
      <c r="D574" s="39"/>
      <c r="E574" s="83" t="s">
        <v>12</v>
      </c>
      <c r="F574" s="19"/>
      <c r="G574" s="25"/>
      <c r="H574" s="23"/>
    </row>
    <row r="575" spans="1:8" x14ac:dyDescent="0.25">
      <c r="B575" s="132"/>
      <c r="C575" s="17"/>
      <c r="D575" s="39"/>
      <c r="E575" s="83" t="s">
        <v>13</v>
      </c>
      <c r="F575" s="19"/>
      <c r="G575" s="18"/>
      <c r="H575" s="23"/>
    </row>
    <row r="576" spans="1:8" s="16" customFormat="1" ht="31.5" customHeight="1" x14ac:dyDescent="0.25">
      <c r="A576" s="4"/>
      <c r="B576" s="130" t="s">
        <v>92</v>
      </c>
      <c r="C576" s="167" t="s">
        <v>445</v>
      </c>
      <c r="D576" s="40"/>
      <c r="E576" s="13"/>
      <c r="F576" s="15"/>
      <c r="G576" s="27"/>
      <c r="H576" s="14"/>
    </row>
    <row r="577" spans="2:9" x14ac:dyDescent="0.25">
      <c r="B577" s="87" t="s">
        <v>15</v>
      </c>
      <c r="C577" s="133" t="s">
        <v>446</v>
      </c>
      <c r="D577" s="39"/>
      <c r="E577" s="83" t="s">
        <v>9</v>
      </c>
      <c r="F577" s="19"/>
      <c r="G577" s="25"/>
      <c r="H577" s="20" t="b">
        <f>IF(D580="x",H$2,H$1)</f>
        <v>0</v>
      </c>
    </row>
    <row r="578" spans="2:9" x14ac:dyDescent="0.25">
      <c r="B578" s="87" t="s">
        <v>15</v>
      </c>
      <c r="C578" s="134" t="s">
        <v>447</v>
      </c>
      <c r="D578" s="39"/>
      <c r="E578" s="83" t="s">
        <v>10</v>
      </c>
      <c r="F578" s="21" t="str">
        <f>IF(H579=1,IF(H577=H$2,H577,""),"")</f>
        <v/>
      </c>
      <c r="G578" s="25"/>
      <c r="H578" s="20" t="str">
        <f>IF(E$594="comprobar",COUNTIF(D577:D581,"x"),"")</f>
        <v/>
      </c>
    </row>
    <row r="579" spans="2:9" x14ac:dyDescent="0.25">
      <c r="B579" s="87" t="s">
        <v>15</v>
      </c>
      <c r="C579" s="134" t="s">
        <v>448</v>
      </c>
      <c r="D579" s="39"/>
      <c r="E579" s="83" t="s">
        <v>11</v>
      </c>
      <c r="F579" s="22" t="str">
        <f>IF(H579=-0.33,IF(H577=H$1,H577,""),"")</f>
        <v/>
      </c>
      <c r="G579" s="25"/>
      <c r="H579" s="23">
        <f t="shared" ref="H579" si="53">IF(H578=1,IF(H577=H$2,1,-0.33),0)</f>
        <v>0</v>
      </c>
    </row>
    <row r="580" spans="2:9" x14ac:dyDescent="0.25">
      <c r="B580" s="87" t="s">
        <v>15</v>
      </c>
      <c r="C580" s="134" t="s">
        <v>449</v>
      </c>
      <c r="D580" s="39"/>
      <c r="E580" s="83" t="s">
        <v>12</v>
      </c>
      <c r="F580" s="19"/>
      <c r="G580" s="25"/>
      <c r="H580" s="23"/>
    </row>
    <row r="581" spans="2:9" x14ac:dyDescent="0.25">
      <c r="B581" s="132"/>
      <c r="C581" s="17"/>
      <c r="D581" s="39"/>
      <c r="E581" s="83" t="s">
        <v>13</v>
      </c>
      <c r="F581" s="19"/>
      <c r="G581" s="18"/>
      <c r="H581" s="23"/>
    </row>
    <row r="582" spans="2:9" x14ac:dyDescent="0.25">
      <c r="B582" s="130" t="s">
        <v>199</v>
      </c>
      <c r="C582" s="153" t="s">
        <v>450</v>
      </c>
      <c r="D582" s="40"/>
      <c r="E582" s="13"/>
      <c r="F582" s="15"/>
      <c r="G582" s="27"/>
      <c r="H582" s="14"/>
      <c r="I582" s="16"/>
    </row>
    <row r="583" spans="2:9" x14ac:dyDescent="0.25">
      <c r="B583" s="87" t="s">
        <v>15</v>
      </c>
      <c r="C583" s="133" t="s">
        <v>451</v>
      </c>
      <c r="D583" s="39"/>
      <c r="E583" s="151" t="s">
        <v>9</v>
      </c>
      <c r="F583" s="19"/>
      <c r="G583" s="25"/>
      <c r="H583" s="20" t="b">
        <f>IF(D583="x",H$2,H$1)</f>
        <v>0</v>
      </c>
    </row>
    <row r="584" spans="2:9" x14ac:dyDescent="0.25">
      <c r="B584" s="87" t="s">
        <v>15</v>
      </c>
      <c r="C584" s="134" t="s">
        <v>452</v>
      </c>
      <c r="D584" s="39"/>
      <c r="E584" s="151" t="s">
        <v>10</v>
      </c>
      <c r="F584" s="21" t="str">
        <f>IF(H585=1,IF(H583=H$2,H583,""),"")</f>
        <v/>
      </c>
      <c r="G584" s="25"/>
      <c r="H584" s="20" t="str">
        <f>IF(E$594="comprobar",COUNTIF(D583:D587,"x"),"")</f>
        <v/>
      </c>
    </row>
    <row r="585" spans="2:9" x14ac:dyDescent="0.25">
      <c r="B585" s="87" t="s">
        <v>15</v>
      </c>
      <c r="C585" s="134" t="s">
        <v>453</v>
      </c>
      <c r="D585" s="39"/>
      <c r="E585" s="151" t="s">
        <v>11</v>
      </c>
      <c r="F585" s="22" t="str">
        <f>IF(H585=-0.33,IF(H583=H$1,H583,""),"")</f>
        <v/>
      </c>
      <c r="G585" s="25"/>
      <c r="H585" s="23">
        <f t="shared" ref="H585" si="54">IF(H584=1,IF(H583=H$2,1,-0.33),0)</f>
        <v>0</v>
      </c>
    </row>
    <row r="586" spans="2:9" x14ac:dyDescent="0.25">
      <c r="B586" s="87" t="s">
        <v>15</v>
      </c>
      <c r="C586" s="134" t="s">
        <v>454</v>
      </c>
      <c r="D586" s="39"/>
      <c r="E586" s="151" t="s">
        <v>12</v>
      </c>
      <c r="F586" s="19"/>
      <c r="G586" s="25"/>
      <c r="H586" s="23"/>
    </row>
    <row r="587" spans="2:9" x14ac:dyDescent="0.25">
      <c r="B587" s="132"/>
      <c r="C587" s="17"/>
      <c r="D587" s="39"/>
      <c r="E587" s="151" t="s">
        <v>13</v>
      </c>
      <c r="F587" s="19"/>
      <c r="G587" s="18"/>
      <c r="H587" s="23"/>
    </row>
    <row r="588" spans="2:9" ht="36.75" customHeight="1" x14ac:dyDescent="0.25">
      <c r="B588" s="130" t="s">
        <v>159</v>
      </c>
      <c r="C588" s="167" t="s">
        <v>455</v>
      </c>
      <c r="D588" s="40"/>
      <c r="E588" s="13"/>
      <c r="F588" s="15"/>
      <c r="G588" s="27"/>
      <c r="H588" s="14"/>
      <c r="I588" s="16"/>
    </row>
    <row r="589" spans="2:9" x14ac:dyDescent="0.25">
      <c r="B589" s="87" t="s">
        <v>15</v>
      </c>
      <c r="C589" s="133" t="s">
        <v>456</v>
      </c>
      <c r="D589" s="39"/>
      <c r="E589" s="151" t="s">
        <v>9</v>
      </c>
      <c r="F589" s="19"/>
      <c r="G589" s="25"/>
      <c r="H589" s="20" t="b">
        <f>IF(D589="x",H$2,H$1)</f>
        <v>0</v>
      </c>
    </row>
    <row r="590" spans="2:9" x14ac:dyDescent="0.25">
      <c r="B590" s="87" t="s">
        <v>15</v>
      </c>
      <c r="C590" s="134" t="s">
        <v>457</v>
      </c>
      <c r="D590" s="39"/>
      <c r="E590" s="151" t="s">
        <v>10</v>
      </c>
      <c r="F590" s="21" t="str">
        <f>IF(H591=1,IF(H589=H$2,H589,""),"")</f>
        <v/>
      </c>
      <c r="G590" s="25"/>
      <c r="H590" s="20" t="str">
        <f>IF(E$594="comprobar",COUNTIF(D589:D593,"x"),"")</f>
        <v/>
      </c>
    </row>
    <row r="591" spans="2:9" x14ac:dyDescent="0.25">
      <c r="B591" s="87" t="s">
        <v>15</v>
      </c>
      <c r="C591" s="134" t="s">
        <v>458</v>
      </c>
      <c r="D591" s="39"/>
      <c r="E591" s="151" t="s">
        <v>11</v>
      </c>
      <c r="F591" s="22" t="str">
        <f>IF(H591=-0.33,IF(H589=H$1,H589,""),"")</f>
        <v/>
      </c>
      <c r="G591" s="25"/>
      <c r="H591" s="23">
        <f t="shared" ref="H591" si="55">IF(H590=1,IF(H589=H$2,1,-0.33),0)</f>
        <v>0</v>
      </c>
    </row>
    <row r="592" spans="2:9" x14ac:dyDescent="0.25">
      <c r="B592" s="87" t="s">
        <v>15</v>
      </c>
      <c r="C592" s="134" t="s">
        <v>459</v>
      </c>
      <c r="D592" s="39"/>
      <c r="E592" s="151" t="s">
        <v>12</v>
      </c>
      <c r="F592" s="19"/>
      <c r="G592" s="25"/>
      <c r="H592" s="23"/>
    </row>
    <row r="593" spans="2:9" x14ac:dyDescent="0.25">
      <c r="B593" s="132"/>
      <c r="C593" s="17"/>
      <c r="D593" s="39"/>
      <c r="E593" s="151" t="s">
        <v>13</v>
      </c>
      <c r="F593" s="19"/>
      <c r="G593" s="18"/>
      <c r="H593" s="23"/>
    </row>
    <row r="594" spans="2:9" x14ac:dyDescent="0.25">
      <c r="B594" s="132"/>
      <c r="C594" s="17"/>
      <c r="D594" s="49"/>
      <c r="E594" s="55"/>
      <c r="F594" s="19"/>
      <c r="G594" s="18"/>
      <c r="H594" s="23"/>
    </row>
    <row r="595" spans="2:9" x14ac:dyDescent="0.25">
      <c r="B595" s="43"/>
      <c r="C595" s="8"/>
      <c r="D595" s="49"/>
      <c r="E595" s="60"/>
      <c r="F595" s="29" t="s">
        <v>8</v>
      </c>
      <c r="G595" s="18" t="s">
        <v>6</v>
      </c>
      <c r="H595" s="18" t="s">
        <v>7</v>
      </c>
    </row>
    <row r="596" spans="2:9" ht="20.25" thickBot="1" x14ac:dyDescent="0.3">
      <c r="B596" s="43"/>
      <c r="C596" s="8"/>
      <c r="D596" s="170"/>
      <c r="E596" s="170"/>
      <c r="F596" s="30" t="str">
        <f>IF(E594="comprobar",H579+H573+H567+H561+H555+H549+H543+H537+H585+H591,"")</f>
        <v/>
      </c>
      <c r="G596" s="18">
        <f>10/2</f>
        <v>5</v>
      </c>
      <c r="H596" s="18"/>
    </row>
    <row r="597" spans="2:9" ht="28.5" x14ac:dyDescent="0.45">
      <c r="B597" s="62" t="s">
        <v>17</v>
      </c>
      <c r="C597" s="157" t="s">
        <v>460</v>
      </c>
      <c r="D597" s="157"/>
      <c r="E597" s="157"/>
      <c r="F597" s="158"/>
    </row>
    <row r="598" spans="2:9" x14ac:dyDescent="0.25">
      <c r="B598" s="152" t="s">
        <v>64</v>
      </c>
      <c r="C598" s="131" t="s">
        <v>461</v>
      </c>
      <c r="D598" s="13"/>
      <c r="E598" s="13"/>
      <c r="F598" s="15"/>
      <c r="G598" s="138"/>
      <c r="H598" s="14"/>
      <c r="I598" s="16"/>
    </row>
    <row r="599" spans="2:9" x14ac:dyDescent="0.25">
      <c r="B599" s="87" t="s">
        <v>15</v>
      </c>
      <c r="C599" s="133" t="s">
        <v>462</v>
      </c>
      <c r="D599" s="39"/>
      <c r="E599" s="156" t="s">
        <v>9</v>
      </c>
      <c r="F599" s="19"/>
      <c r="G599" s="25"/>
      <c r="H599" s="20" t="b">
        <f>IF(D600="x",H$2,H$1)</f>
        <v>0</v>
      </c>
    </row>
    <row r="600" spans="2:9" x14ac:dyDescent="0.25">
      <c r="B600" s="87" t="s">
        <v>15</v>
      </c>
      <c r="C600" s="134" t="s">
        <v>463</v>
      </c>
      <c r="D600" s="39"/>
      <c r="E600" s="156" t="s">
        <v>10</v>
      </c>
      <c r="F600" s="21" t="str">
        <f>IF(H601=1,IF(H599=H$2,H599,""),"")</f>
        <v/>
      </c>
      <c r="G600" s="25"/>
      <c r="H600" s="20" t="str">
        <f>IF(E$658="comprobar",COUNTIF(D599:D603,"x"),"")</f>
        <v/>
      </c>
    </row>
    <row r="601" spans="2:9" x14ac:dyDescent="0.25">
      <c r="B601" s="87" t="s">
        <v>15</v>
      </c>
      <c r="C601" s="134" t="s">
        <v>464</v>
      </c>
      <c r="D601" s="39"/>
      <c r="E601" s="156" t="s">
        <v>11</v>
      </c>
      <c r="F601" s="22" t="str">
        <f>IF(H601=-0.33,IF(H599=H$1,H599,""),"")</f>
        <v/>
      </c>
      <c r="G601" s="25"/>
      <c r="H601" s="23">
        <f>IF(H600=1,IF(H599=H$2,1,-0.33),0)</f>
        <v>0</v>
      </c>
    </row>
    <row r="602" spans="2:9" x14ac:dyDescent="0.25">
      <c r="B602" s="87" t="s">
        <v>15</v>
      </c>
      <c r="C602" s="134" t="s">
        <v>465</v>
      </c>
      <c r="D602" s="39"/>
      <c r="E602" s="156" t="s">
        <v>12</v>
      </c>
      <c r="F602" s="19"/>
      <c r="G602" s="25"/>
      <c r="H602" s="23"/>
    </row>
    <row r="603" spans="2:9" x14ac:dyDescent="0.25">
      <c r="B603" s="132"/>
      <c r="C603" s="17"/>
      <c r="D603" s="39"/>
      <c r="E603" s="156" t="s">
        <v>13</v>
      </c>
      <c r="F603" s="19"/>
      <c r="G603" s="18"/>
      <c r="H603" s="23"/>
    </row>
    <row r="604" spans="2:9" x14ac:dyDescent="0.25">
      <c r="B604" s="130" t="s">
        <v>62</v>
      </c>
      <c r="C604" s="154" t="s">
        <v>466</v>
      </c>
      <c r="D604" s="40"/>
      <c r="E604" s="13"/>
      <c r="F604" s="15"/>
      <c r="G604" s="138"/>
      <c r="H604" s="14"/>
      <c r="I604" s="16"/>
    </row>
    <row r="605" spans="2:9" x14ac:dyDescent="0.25">
      <c r="B605" s="87" t="s">
        <v>15</v>
      </c>
      <c r="C605" s="134" t="s">
        <v>467</v>
      </c>
      <c r="D605" s="39"/>
      <c r="E605" s="156" t="s">
        <v>9</v>
      </c>
      <c r="F605" s="19"/>
      <c r="G605" s="25"/>
      <c r="H605" s="20" t="b">
        <f>IF(D605="x",H$2,H$1)</f>
        <v>0</v>
      </c>
    </row>
    <row r="606" spans="2:9" x14ac:dyDescent="0.25">
      <c r="B606" s="87" t="s">
        <v>15</v>
      </c>
      <c r="C606" s="134" t="s">
        <v>468</v>
      </c>
      <c r="D606" s="39"/>
      <c r="E606" s="156" t="s">
        <v>10</v>
      </c>
      <c r="F606" s="21" t="str">
        <f>IF(H607=1,IF(H605=H$2,H605,""),"")</f>
        <v/>
      </c>
      <c r="G606" s="25"/>
      <c r="H606" s="20" t="str">
        <f>IF(E$658="comprobar",COUNTIF(D605:D609,"x"),"")</f>
        <v/>
      </c>
    </row>
    <row r="607" spans="2:9" x14ac:dyDescent="0.25">
      <c r="B607" s="87" t="s">
        <v>15</v>
      </c>
      <c r="C607" s="134" t="s">
        <v>469</v>
      </c>
      <c r="D607" s="39"/>
      <c r="E607" s="156" t="s">
        <v>11</v>
      </c>
      <c r="F607" s="22" t="str">
        <f>IF(H607=-0.33,IF(H605=H$1,H605,""),"")</f>
        <v/>
      </c>
      <c r="G607" s="25"/>
      <c r="H607" s="23">
        <f t="shared" ref="H607" si="56">IF(H606=1,IF(H605=H$2,1,-0.33),0)</f>
        <v>0</v>
      </c>
    </row>
    <row r="608" spans="2:9" x14ac:dyDescent="0.25">
      <c r="B608" s="87" t="s">
        <v>15</v>
      </c>
      <c r="C608" s="134" t="s">
        <v>470</v>
      </c>
      <c r="D608" s="39"/>
      <c r="E608" s="156" t="s">
        <v>12</v>
      </c>
      <c r="F608" s="19"/>
      <c r="G608" s="25"/>
      <c r="H608" s="23"/>
    </row>
    <row r="609" spans="2:9" x14ac:dyDescent="0.25">
      <c r="B609" s="132"/>
      <c r="C609" s="134"/>
      <c r="D609" s="39"/>
      <c r="E609" s="156" t="s">
        <v>13</v>
      </c>
      <c r="F609" s="19"/>
      <c r="G609" s="18"/>
      <c r="H609" s="23"/>
    </row>
    <row r="610" spans="2:9" x14ac:dyDescent="0.25">
      <c r="B610" s="130" t="s">
        <v>69</v>
      </c>
      <c r="C610" s="154" t="s">
        <v>471</v>
      </c>
      <c r="D610" s="40"/>
      <c r="E610" s="13"/>
      <c r="F610" s="15"/>
      <c r="G610" s="27"/>
      <c r="H610" s="14"/>
      <c r="I610" s="16"/>
    </row>
    <row r="611" spans="2:9" x14ac:dyDescent="0.25">
      <c r="B611" s="87" t="s">
        <v>15</v>
      </c>
      <c r="C611" s="133" t="s">
        <v>472</v>
      </c>
      <c r="D611" s="39"/>
      <c r="E611" s="156" t="s">
        <v>9</v>
      </c>
      <c r="F611" s="19"/>
      <c r="G611" s="25"/>
      <c r="H611" s="20" t="b">
        <f>IF(D612="x",H$2,H$1)</f>
        <v>0</v>
      </c>
    </row>
    <row r="612" spans="2:9" x14ac:dyDescent="0.25">
      <c r="B612" s="87" t="s">
        <v>15</v>
      </c>
      <c r="C612" s="134" t="s">
        <v>473</v>
      </c>
      <c r="D612" s="39"/>
      <c r="E612" s="156" t="s">
        <v>10</v>
      </c>
      <c r="F612" s="21" t="str">
        <f>IF(H613=1,IF(H611=H$2,H611,""),"")</f>
        <v/>
      </c>
      <c r="G612" s="25"/>
      <c r="H612" s="20" t="str">
        <f>IF(E$658="comprobar",COUNTIF(D611:D615,"x"),"")</f>
        <v/>
      </c>
    </row>
    <row r="613" spans="2:9" x14ac:dyDescent="0.25">
      <c r="B613" s="87" t="s">
        <v>15</v>
      </c>
      <c r="C613" s="134" t="s">
        <v>474</v>
      </c>
      <c r="D613" s="39"/>
      <c r="E613" s="156" t="s">
        <v>11</v>
      </c>
      <c r="F613" s="22" t="str">
        <f>IF(H613=-0.33,IF(H611=H$1,H611,""),"")</f>
        <v/>
      </c>
      <c r="G613" s="25"/>
      <c r="H613" s="23">
        <f t="shared" ref="H613" si="57">IF(H612=1,IF(H611=H$2,1,-0.33),0)</f>
        <v>0</v>
      </c>
    </row>
    <row r="614" spans="2:9" x14ac:dyDescent="0.25">
      <c r="B614" s="87" t="s">
        <v>15</v>
      </c>
      <c r="C614" s="134" t="s">
        <v>475</v>
      </c>
      <c r="D614" s="39"/>
      <c r="E614" s="156" t="s">
        <v>12</v>
      </c>
      <c r="F614" s="19"/>
      <c r="G614" s="25"/>
      <c r="H614" s="23"/>
    </row>
    <row r="615" spans="2:9" x14ac:dyDescent="0.25">
      <c r="B615" s="132"/>
      <c r="C615" s="17"/>
      <c r="D615" s="39"/>
      <c r="E615" s="156" t="s">
        <v>13</v>
      </c>
      <c r="F615" s="19"/>
      <c r="G615" s="18"/>
      <c r="H615" s="23"/>
    </row>
    <row r="616" spans="2:9" x14ac:dyDescent="0.25">
      <c r="B616" s="130" t="s">
        <v>75</v>
      </c>
      <c r="C616" s="171" t="s">
        <v>629</v>
      </c>
      <c r="D616" s="40"/>
      <c r="E616" s="13"/>
      <c r="F616" s="15"/>
      <c r="G616" s="27"/>
      <c r="H616" s="14"/>
      <c r="I616" s="16"/>
    </row>
    <row r="617" spans="2:9" x14ac:dyDescent="0.25">
      <c r="B617" s="87" t="s">
        <v>15</v>
      </c>
      <c r="C617" s="133" t="s">
        <v>476</v>
      </c>
      <c r="D617" s="39"/>
      <c r="E617" s="156" t="s">
        <v>9</v>
      </c>
      <c r="F617" s="19"/>
      <c r="G617" s="25"/>
      <c r="H617" s="20" t="b">
        <f>IF(D620="x",H$2,H$1)</f>
        <v>0</v>
      </c>
    </row>
    <row r="618" spans="2:9" x14ac:dyDescent="0.25">
      <c r="B618" s="87" t="s">
        <v>15</v>
      </c>
      <c r="C618" s="134" t="s">
        <v>477</v>
      </c>
      <c r="D618" s="39"/>
      <c r="E618" s="156" t="s">
        <v>10</v>
      </c>
      <c r="F618" s="21" t="str">
        <f>IF(H619=1,IF(H617=H$2,H617,""),"")</f>
        <v/>
      </c>
      <c r="G618" s="25"/>
      <c r="H618" s="20" t="str">
        <f>IF(E$658="comprobar",COUNTIF(D617:D621,"x"),"")</f>
        <v/>
      </c>
    </row>
    <row r="619" spans="2:9" x14ac:dyDescent="0.25">
      <c r="B619" s="87" t="s">
        <v>15</v>
      </c>
      <c r="C619" s="134" t="s">
        <v>478</v>
      </c>
      <c r="D619" s="39"/>
      <c r="E619" s="156" t="s">
        <v>11</v>
      </c>
      <c r="F619" s="22" t="str">
        <f>IF(H619=-0.33,IF(H617=H$1,H617,""),"")</f>
        <v/>
      </c>
      <c r="G619" s="25"/>
      <c r="H619" s="23">
        <f t="shared" ref="H619" si="58">IF(H618=1,IF(H617=H$2,1,-0.33),0)</f>
        <v>0</v>
      </c>
    </row>
    <row r="620" spans="2:9" x14ac:dyDescent="0.25">
      <c r="B620" s="87" t="s">
        <v>15</v>
      </c>
      <c r="C620" s="155" t="s">
        <v>332</v>
      </c>
      <c r="D620" s="39"/>
      <c r="E620" s="156" t="s">
        <v>12</v>
      </c>
      <c r="F620" s="19"/>
      <c r="G620" s="25"/>
      <c r="H620" s="23"/>
    </row>
    <row r="621" spans="2:9" x14ac:dyDescent="0.25">
      <c r="B621" s="132"/>
      <c r="C621" s="17"/>
      <c r="D621" s="39"/>
      <c r="E621" s="156" t="s">
        <v>13</v>
      </c>
      <c r="F621" s="19"/>
      <c r="G621" s="18"/>
      <c r="H621" s="23"/>
    </row>
    <row r="622" spans="2:9" ht="31.5" x14ac:dyDescent="0.25">
      <c r="B622" s="130" t="s">
        <v>80</v>
      </c>
      <c r="C622" s="135" t="s">
        <v>479</v>
      </c>
      <c r="D622" s="40"/>
      <c r="E622" s="13"/>
      <c r="F622" s="15"/>
      <c r="G622" s="27"/>
      <c r="H622" s="14"/>
      <c r="I622" s="16"/>
    </row>
    <row r="623" spans="2:9" x14ac:dyDescent="0.25">
      <c r="B623" s="87" t="s">
        <v>15</v>
      </c>
      <c r="C623" s="133" t="s">
        <v>480</v>
      </c>
      <c r="D623" s="39"/>
      <c r="E623" s="156" t="s">
        <v>9</v>
      </c>
      <c r="F623" s="19"/>
      <c r="G623" s="25"/>
      <c r="H623" s="20" t="b">
        <f>IF(D623="x",H$2,H$1)</f>
        <v>0</v>
      </c>
    </row>
    <row r="624" spans="2:9" x14ac:dyDescent="0.25">
      <c r="B624" s="87" t="s">
        <v>15</v>
      </c>
      <c r="C624" s="134" t="s">
        <v>481</v>
      </c>
      <c r="D624" s="39"/>
      <c r="E624" s="156" t="s">
        <v>10</v>
      </c>
      <c r="F624" s="21" t="str">
        <f>IF(H625=1,IF(H623=H$2,H623,""),"")</f>
        <v/>
      </c>
      <c r="G624" s="25"/>
      <c r="H624" s="20" t="str">
        <f>IF(E$658="comprobar",COUNTIF(D623:D627,"x"),"")</f>
        <v/>
      </c>
    </row>
    <row r="625" spans="2:9" x14ac:dyDescent="0.25">
      <c r="B625" s="87" t="s">
        <v>15</v>
      </c>
      <c r="C625" s="134" t="s">
        <v>482</v>
      </c>
      <c r="D625" s="39"/>
      <c r="E625" s="156" t="s">
        <v>11</v>
      </c>
      <c r="F625" s="22" t="str">
        <f>IF(H625=-0.33,IF(H623=H$1,H623,""),"")</f>
        <v/>
      </c>
      <c r="G625" s="25"/>
      <c r="H625" s="23">
        <f t="shared" ref="H625" si="59">IF(H624=1,IF(H623=H$2,1,-0.33),0)</f>
        <v>0</v>
      </c>
    </row>
    <row r="626" spans="2:9" x14ac:dyDescent="0.25">
      <c r="B626" s="87" t="s">
        <v>15</v>
      </c>
      <c r="C626" s="134" t="s">
        <v>483</v>
      </c>
      <c r="D626" s="39"/>
      <c r="E626" s="156" t="s">
        <v>12</v>
      </c>
      <c r="F626" s="19"/>
      <c r="G626" s="25"/>
      <c r="H626" s="23"/>
    </row>
    <row r="627" spans="2:9" x14ac:dyDescent="0.25">
      <c r="B627" s="132"/>
      <c r="C627" s="17"/>
      <c r="D627" s="39"/>
      <c r="E627" s="156" t="s">
        <v>13</v>
      </c>
      <c r="F627" s="19"/>
      <c r="G627" s="18"/>
      <c r="H627" s="23"/>
    </row>
    <row r="628" spans="2:9" x14ac:dyDescent="0.25">
      <c r="B628" s="130" t="s">
        <v>85</v>
      </c>
      <c r="C628" s="154" t="s">
        <v>484</v>
      </c>
      <c r="D628" s="40"/>
      <c r="E628" s="13"/>
      <c r="F628" s="15"/>
      <c r="G628" s="27"/>
      <c r="H628" s="14"/>
      <c r="I628" s="16"/>
    </row>
    <row r="629" spans="2:9" x14ac:dyDescent="0.25">
      <c r="B629" s="87" t="s">
        <v>15</v>
      </c>
      <c r="C629" s="133" t="s">
        <v>486</v>
      </c>
      <c r="D629" s="39"/>
      <c r="E629" s="156" t="s">
        <v>9</v>
      </c>
      <c r="F629" s="19"/>
      <c r="G629" s="25"/>
      <c r="H629" s="20" t="b">
        <f>IF(D632="x",H$2,H$1)</f>
        <v>0</v>
      </c>
    </row>
    <row r="630" spans="2:9" x14ac:dyDescent="0.25">
      <c r="B630" s="87" t="s">
        <v>15</v>
      </c>
      <c r="C630" s="134" t="s">
        <v>487</v>
      </c>
      <c r="D630" s="39"/>
      <c r="E630" s="156" t="s">
        <v>10</v>
      </c>
      <c r="F630" s="21" t="str">
        <f>IF(H631=1,IF(H629=H$2,H629,""),"")</f>
        <v/>
      </c>
      <c r="G630" s="25"/>
      <c r="H630" s="20" t="str">
        <f>IF(E$658="comprobar",COUNTIF(D629:D633,"x"),"")</f>
        <v/>
      </c>
    </row>
    <row r="631" spans="2:9" x14ac:dyDescent="0.25">
      <c r="B631" s="87" t="s">
        <v>15</v>
      </c>
      <c r="C631" s="134" t="s">
        <v>488</v>
      </c>
      <c r="D631" s="39"/>
      <c r="E631" s="156" t="s">
        <v>11</v>
      </c>
      <c r="F631" s="22" t="str">
        <f>IF(H631=-0.33,IF(H629=H$1,H629,""),"")</f>
        <v/>
      </c>
      <c r="G631" s="25"/>
      <c r="H631" s="23">
        <f t="shared" ref="H631" si="60">IF(H630=1,IF(H629=H$2,1,-0.33),0)</f>
        <v>0</v>
      </c>
    </row>
    <row r="632" spans="2:9" x14ac:dyDescent="0.25">
      <c r="B632" s="87" t="s">
        <v>15</v>
      </c>
      <c r="C632" s="134" t="s">
        <v>485</v>
      </c>
      <c r="D632" s="39"/>
      <c r="E632" s="156" t="s">
        <v>12</v>
      </c>
      <c r="F632" s="19"/>
      <c r="G632" s="25"/>
      <c r="H632" s="23"/>
    </row>
    <row r="633" spans="2:9" x14ac:dyDescent="0.25">
      <c r="B633" s="132"/>
      <c r="C633" s="17"/>
      <c r="D633" s="39"/>
      <c r="E633" s="156" t="s">
        <v>13</v>
      </c>
      <c r="F633" s="19"/>
      <c r="G633" s="18"/>
      <c r="H633" s="23"/>
    </row>
    <row r="634" spans="2:9" x14ac:dyDescent="0.25">
      <c r="B634" s="130" t="s">
        <v>91</v>
      </c>
      <c r="C634" s="153" t="s">
        <v>489</v>
      </c>
      <c r="D634" s="40"/>
      <c r="E634" s="13"/>
      <c r="F634" s="15"/>
      <c r="G634" s="27"/>
      <c r="H634" s="14"/>
      <c r="I634" s="16"/>
    </row>
    <row r="635" spans="2:9" x14ac:dyDescent="0.25">
      <c r="B635" s="87" t="s">
        <v>15</v>
      </c>
      <c r="C635" s="133" t="s">
        <v>491</v>
      </c>
      <c r="D635" s="39"/>
      <c r="E635" s="156" t="s">
        <v>9</v>
      </c>
      <c r="F635" s="19"/>
      <c r="G635" s="25"/>
      <c r="H635" s="20" t="b">
        <f>IF(D636="x",H$2,H$1)</f>
        <v>0</v>
      </c>
    </row>
    <row r="636" spans="2:9" x14ac:dyDescent="0.25">
      <c r="B636" s="87" t="s">
        <v>15</v>
      </c>
      <c r="C636" s="134" t="s">
        <v>490</v>
      </c>
      <c r="D636" s="39"/>
      <c r="E636" s="156" t="s">
        <v>10</v>
      </c>
      <c r="F636" s="21" t="str">
        <f>IF(H637=1,IF(H635=H$2,H635,""),"")</f>
        <v/>
      </c>
      <c r="G636" s="25"/>
      <c r="H636" s="20" t="str">
        <f>IF(E$658="comprobar",COUNTIF(D635:D639,"x"),"")</f>
        <v/>
      </c>
    </row>
    <row r="637" spans="2:9" x14ac:dyDescent="0.25">
      <c r="B637" s="87" t="s">
        <v>15</v>
      </c>
      <c r="C637" s="134" t="s">
        <v>492</v>
      </c>
      <c r="D637" s="39"/>
      <c r="E637" s="156" t="s">
        <v>11</v>
      </c>
      <c r="F637" s="22" t="str">
        <f>IF(H637=-0.33,IF(H635=H$1,H635,""),"")</f>
        <v/>
      </c>
      <c r="G637" s="25"/>
      <c r="H637" s="23">
        <f t="shared" ref="H637" si="61">IF(H636=1,IF(H635=H$2,1,-0.33),0)</f>
        <v>0</v>
      </c>
    </row>
    <row r="638" spans="2:9" x14ac:dyDescent="0.25">
      <c r="B638" s="87" t="s">
        <v>15</v>
      </c>
      <c r="C638" s="134" t="s">
        <v>493</v>
      </c>
      <c r="D638" s="39"/>
      <c r="E638" s="156" t="s">
        <v>12</v>
      </c>
      <c r="F638" s="19"/>
      <c r="G638" s="25"/>
      <c r="H638" s="23"/>
    </row>
    <row r="639" spans="2:9" x14ac:dyDescent="0.25">
      <c r="B639" s="132"/>
      <c r="C639" s="17"/>
      <c r="D639" s="39"/>
      <c r="E639" s="156" t="s">
        <v>13</v>
      </c>
      <c r="F639" s="19"/>
      <c r="G639" s="18"/>
      <c r="H639" s="23"/>
    </row>
    <row r="640" spans="2:9" ht="31.5" x14ac:dyDescent="0.25">
      <c r="B640" s="130" t="s">
        <v>92</v>
      </c>
      <c r="C640" s="131" t="s">
        <v>510</v>
      </c>
      <c r="D640" s="40"/>
      <c r="E640" s="13"/>
      <c r="F640" s="15"/>
      <c r="G640" s="27"/>
      <c r="H640" s="14"/>
      <c r="I640" s="16"/>
    </row>
    <row r="641" spans="2:9" x14ac:dyDescent="0.25">
      <c r="B641" s="87" t="s">
        <v>15</v>
      </c>
      <c r="C641" s="133" t="s">
        <v>495</v>
      </c>
      <c r="D641" s="39"/>
      <c r="E641" s="156" t="s">
        <v>9</v>
      </c>
      <c r="F641" s="19"/>
      <c r="G641" s="25"/>
      <c r="H641" s="20" t="b">
        <f>IF(D643="x",H$2,H$1)</f>
        <v>0</v>
      </c>
    </row>
    <row r="642" spans="2:9" x14ac:dyDescent="0.25">
      <c r="B642" s="87" t="s">
        <v>15</v>
      </c>
      <c r="C642" s="134" t="s">
        <v>496</v>
      </c>
      <c r="D642" s="39"/>
      <c r="E642" s="156" t="s">
        <v>10</v>
      </c>
      <c r="F642" s="21" t="str">
        <f>IF(H643=1,IF(H641=H$2,H641,""),"")</f>
        <v/>
      </c>
      <c r="G642" s="25"/>
      <c r="H642" s="20" t="str">
        <f>IF(E$658="comprobar",COUNTIF(D641:D645,"x"),"")</f>
        <v/>
      </c>
    </row>
    <row r="643" spans="2:9" x14ac:dyDescent="0.25">
      <c r="B643" s="87" t="s">
        <v>15</v>
      </c>
      <c r="C643" s="134" t="s">
        <v>494</v>
      </c>
      <c r="D643" s="39"/>
      <c r="E643" s="156" t="s">
        <v>11</v>
      </c>
      <c r="F643" s="22" t="str">
        <f>IF(H643=-0.33,IF(H641=H$1,H641,""),"")</f>
        <v/>
      </c>
      <c r="G643" s="25"/>
      <c r="H643" s="23">
        <f t="shared" ref="H643" si="62">IF(H642=1,IF(H641=H$2,1,-0.33),0)</f>
        <v>0</v>
      </c>
    </row>
    <row r="644" spans="2:9" x14ac:dyDescent="0.25">
      <c r="B644" s="87" t="s">
        <v>15</v>
      </c>
      <c r="C644" s="134" t="s">
        <v>497</v>
      </c>
      <c r="D644" s="39"/>
      <c r="E644" s="156" t="s">
        <v>12</v>
      </c>
      <c r="F644" s="19"/>
      <c r="G644" s="25"/>
      <c r="H644" s="23"/>
    </row>
    <row r="645" spans="2:9" x14ac:dyDescent="0.25">
      <c r="B645" s="132"/>
      <c r="C645" s="17"/>
      <c r="D645" s="39"/>
      <c r="E645" s="156" t="s">
        <v>13</v>
      </c>
      <c r="F645" s="19"/>
      <c r="G645" s="18"/>
      <c r="H645" s="23"/>
    </row>
    <row r="646" spans="2:9" x14ac:dyDescent="0.25">
      <c r="B646" s="130" t="s">
        <v>199</v>
      </c>
      <c r="C646" s="153" t="s">
        <v>498</v>
      </c>
      <c r="D646" s="40"/>
      <c r="E646" s="13"/>
      <c r="F646" s="15"/>
      <c r="G646" s="27"/>
      <c r="H646" s="14"/>
      <c r="I646" s="16"/>
    </row>
    <row r="647" spans="2:9" x14ac:dyDescent="0.25">
      <c r="B647" s="87" t="s">
        <v>15</v>
      </c>
      <c r="C647" s="133" t="s">
        <v>499</v>
      </c>
      <c r="D647" s="39"/>
      <c r="E647" s="156" t="s">
        <v>9</v>
      </c>
      <c r="F647" s="19"/>
      <c r="G647" s="25"/>
      <c r="H647" s="20" t="b">
        <f>IF(D647="x",H$2,H$1)</f>
        <v>0</v>
      </c>
    </row>
    <row r="648" spans="2:9" x14ac:dyDescent="0.25">
      <c r="B648" s="87" t="s">
        <v>15</v>
      </c>
      <c r="C648" s="134" t="s">
        <v>500</v>
      </c>
      <c r="D648" s="39"/>
      <c r="E648" s="156" t="s">
        <v>10</v>
      </c>
      <c r="F648" s="21" t="str">
        <f>IF(H649=1,IF(H647=H$2,H647,""),"")</f>
        <v/>
      </c>
      <c r="G648" s="25"/>
      <c r="H648" s="20" t="str">
        <f>IF(E$658="comprobar",COUNTIF(D647:D651,"x"),"")</f>
        <v/>
      </c>
    </row>
    <row r="649" spans="2:9" x14ac:dyDescent="0.25">
      <c r="B649" s="87" t="s">
        <v>15</v>
      </c>
      <c r="C649" s="134" t="s">
        <v>501</v>
      </c>
      <c r="D649" s="39"/>
      <c r="E649" s="156" t="s">
        <v>11</v>
      </c>
      <c r="F649" s="22" t="str">
        <f>IF(H649=-0.33,IF(H647=H$1,H647,""),"")</f>
        <v/>
      </c>
      <c r="G649" s="25"/>
      <c r="H649" s="23">
        <f t="shared" ref="H649" si="63">IF(H648=1,IF(H647=H$2,1,-0.33),0)</f>
        <v>0</v>
      </c>
    </row>
    <row r="650" spans="2:9" x14ac:dyDescent="0.25">
      <c r="B650" s="87" t="s">
        <v>15</v>
      </c>
      <c r="C650" s="134" t="s">
        <v>502</v>
      </c>
      <c r="D650" s="39"/>
      <c r="E650" s="156" t="s">
        <v>12</v>
      </c>
      <c r="F650" s="19"/>
      <c r="G650" s="25"/>
      <c r="H650" s="23"/>
    </row>
    <row r="651" spans="2:9" x14ac:dyDescent="0.25">
      <c r="B651" s="132"/>
      <c r="C651" s="17"/>
      <c r="D651" s="39"/>
      <c r="E651" s="156" t="s">
        <v>13</v>
      </c>
      <c r="F651" s="19"/>
      <c r="G651" s="18"/>
      <c r="H651" s="23"/>
    </row>
    <row r="652" spans="2:9" x14ac:dyDescent="0.25">
      <c r="B652" s="130" t="s">
        <v>159</v>
      </c>
      <c r="C652" s="131" t="s">
        <v>503</v>
      </c>
      <c r="D652" s="40"/>
      <c r="E652" s="13"/>
      <c r="F652" s="15"/>
      <c r="G652" s="27"/>
      <c r="H652" s="14"/>
      <c r="I652" s="16"/>
    </row>
    <row r="653" spans="2:9" x14ac:dyDescent="0.25">
      <c r="B653" s="87" t="s">
        <v>15</v>
      </c>
      <c r="C653" s="133" t="s">
        <v>505</v>
      </c>
      <c r="D653" s="39"/>
      <c r="E653" s="156" t="s">
        <v>9</v>
      </c>
      <c r="F653" s="19"/>
      <c r="G653" s="25"/>
      <c r="H653" s="20" t="b">
        <f>IF(D654="x",H$2,H$1)</f>
        <v>0</v>
      </c>
    </row>
    <row r="654" spans="2:9" x14ac:dyDescent="0.25">
      <c r="B654" s="87" t="s">
        <v>15</v>
      </c>
      <c r="C654" s="134" t="s">
        <v>504</v>
      </c>
      <c r="D654" s="39"/>
      <c r="E654" s="156" t="s">
        <v>10</v>
      </c>
      <c r="F654" s="21" t="str">
        <f>IF(H655=1,IF(H653=H$2,H653,""),"")</f>
        <v/>
      </c>
      <c r="G654" s="25"/>
      <c r="H654" s="20" t="str">
        <f>IF(E$658="comprobar",COUNTIF(D653:D657,"x"),"")</f>
        <v/>
      </c>
    </row>
    <row r="655" spans="2:9" x14ac:dyDescent="0.25">
      <c r="B655" s="87" t="s">
        <v>15</v>
      </c>
      <c r="C655" s="134" t="s">
        <v>506</v>
      </c>
      <c r="D655" s="39"/>
      <c r="E655" s="156" t="s">
        <v>11</v>
      </c>
      <c r="F655" s="22" t="str">
        <f>IF(H655=-0.33,IF(H653=H$1,H653,""),"")</f>
        <v/>
      </c>
      <c r="G655" s="25"/>
      <c r="H655" s="23">
        <f t="shared" ref="H655" si="64">IF(H654=1,IF(H653=H$2,1,-0.33),0)</f>
        <v>0</v>
      </c>
    </row>
    <row r="656" spans="2:9" x14ac:dyDescent="0.25">
      <c r="B656" s="87" t="s">
        <v>15</v>
      </c>
      <c r="C656" s="134" t="s">
        <v>507</v>
      </c>
      <c r="D656" s="39"/>
      <c r="E656" s="156" t="s">
        <v>12</v>
      </c>
      <c r="F656" s="19"/>
      <c r="G656" s="25"/>
      <c r="H656" s="23"/>
    </row>
    <row r="657" spans="2:9" x14ac:dyDescent="0.25">
      <c r="B657" s="132"/>
      <c r="C657" s="17"/>
      <c r="D657" s="39"/>
      <c r="E657" s="156" t="s">
        <v>13</v>
      </c>
      <c r="F657" s="19"/>
      <c r="G657" s="18"/>
      <c r="H657" s="23"/>
    </row>
    <row r="658" spans="2:9" x14ac:dyDescent="0.25">
      <c r="B658" s="132"/>
      <c r="C658" s="17"/>
      <c r="D658" s="49"/>
      <c r="E658" s="55"/>
      <c r="F658" s="19"/>
      <c r="G658" s="18"/>
      <c r="H658" s="23"/>
    </row>
    <row r="659" spans="2:9" x14ac:dyDescent="0.25">
      <c r="B659" s="43"/>
      <c r="C659" s="8"/>
      <c r="D659" s="49"/>
      <c r="E659" s="60"/>
      <c r="F659" s="29" t="s">
        <v>8</v>
      </c>
      <c r="G659" s="18" t="s">
        <v>6</v>
      </c>
      <c r="H659" s="18" t="s">
        <v>7</v>
      </c>
    </row>
    <row r="660" spans="2:9" ht="19.5" x14ac:dyDescent="0.25">
      <c r="B660" s="43"/>
      <c r="C660" s="8"/>
      <c r="D660" s="170"/>
      <c r="E660" s="170"/>
      <c r="F660" s="30" t="str">
        <f>IF(E658="comprobar",H643+H637+H631+H625+H619+H613+H607+H601+H649+H655,"")</f>
        <v/>
      </c>
      <c r="G660" s="18">
        <f>10/2</f>
        <v>5</v>
      </c>
      <c r="H660" s="18"/>
    </row>
    <row r="661" spans="2:9" x14ac:dyDescent="0.25">
      <c r="B661" s="43"/>
      <c r="C661" s="8"/>
      <c r="D661" s="159"/>
      <c r="E661" s="159"/>
      <c r="F661" s="19"/>
      <c r="G661" s="18"/>
      <c r="H661" s="18"/>
    </row>
    <row r="662" spans="2:9" x14ac:dyDescent="0.25">
      <c r="B662" s="43"/>
      <c r="C662" s="8"/>
      <c r="D662" s="159"/>
      <c r="E662" s="159"/>
      <c r="F662" s="19"/>
      <c r="G662" s="18"/>
      <c r="H662" s="18"/>
    </row>
    <row r="663" spans="2:9" ht="16.5" thickBot="1" x14ac:dyDescent="0.3">
      <c r="B663" s="43"/>
      <c r="C663" s="8"/>
      <c r="D663" s="159"/>
      <c r="E663" s="159"/>
      <c r="F663" s="19"/>
      <c r="G663" s="18"/>
      <c r="H663" s="18"/>
    </row>
    <row r="664" spans="2:9" ht="28.5" x14ac:dyDescent="0.45">
      <c r="B664" s="62" t="s">
        <v>17</v>
      </c>
      <c r="C664" s="160" t="s">
        <v>511</v>
      </c>
      <c r="D664" s="160"/>
      <c r="E664" s="160"/>
      <c r="F664" s="161"/>
    </row>
    <row r="665" spans="2:9" x14ac:dyDescent="0.25">
      <c r="B665" s="152" t="s">
        <v>64</v>
      </c>
      <c r="C665" s="131" t="s">
        <v>512</v>
      </c>
      <c r="D665" s="13"/>
      <c r="E665" s="13"/>
      <c r="F665" s="15"/>
      <c r="G665" s="138"/>
      <c r="H665" s="14"/>
      <c r="I665" s="16"/>
    </row>
    <row r="666" spans="2:9" x14ac:dyDescent="0.25">
      <c r="B666" s="87" t="s">
        <v>15</v>
      </c>
      <c r="C666" s="133" t="s">
        <v>306</v>
      </c>
      <c r="D666" s="39"/>
      <c r="E666" s="159" t="s">
        <v>9</v>
      </c>
      <c r="F666" s="19"/>
      <c r="G666" s="25"/>
      <c r="H666" s="20" t="b">
        <f>IF(D667="x",H$2,H$1)</f>
        <v>0</v>
      </c>
    </row>
    <row r="667" spans="2:9" x14ac:dyDescent="0.25">
      <c r="B667" s="87" t="s">
        <v>15</v>
      </c>
      <c r="C667" s="134" t="s">
        <v>304</v>
      </c>
      <c r="D667" s="39"/>
      <c r="E667" s="159" t="s">
        <v>10</v>
      </c>
      <c r="F667" s="21" t="str">
        <f>IF(H668=1,IF(H666=H$2,H666,""),"")</f>
        <v/>
      </c>
      <c r="G667" s="25"/>
      <c r="H667" s="20" t="str">
        <f>IF(E$785="comprobar",COUNTIF(D666:D670,"x"),"")</f>
        <v/>
      </c>
    </row>
    <row r="668" spans="2:9" x14ac:dyDescent="0.25">
      <c r="B668" s="87" t="s">
        <v>15</v>
      </c>
      <c r="C668" s="134" t="s">
        <v>513</v>
      </c>
      <c r="D668" s="39"/>
      <c r="E668" s="159" t="s">
        <v>11</v>
      </c>
      <c r="F668" s="22" t="str">
        <f>IF(H668=-0.33,IF(H666=H$1,H666,""),"")</f>
        <v/>
      </c>
      <c r="G668" s="25"/>
      <c r="H668" s="23">
        <f>IF(H667=1,IF(H666=H$2,1,-0.33),0)</f>
        <v>0</v>
      </c>
    </row>
    <row r="669" spans="2:9" x14ac:dyDescent="0.25">
      <c r="B669" s="87" t="s">
        <v>15</v>
      </c>
      <c r="C669" s="134" t="s">
        <v>305</v>
      </c>
      <c r="D669" s="39"/>
      <c r="E669" s="159" t="s">
        <v>12</v>
      </c>
      <c r="F669" s="19"/>
      <c r="G669" s="25"/>
      <c r="H669" s="23"/>
    </row>
    <row r="670" spans="2:9" x14ac:dyDescent="0.25">
      <c r="B670" s="132"/>
      <c r="C670" s="17"/>
      <c r="D670" s="39"/>
      <c r="E670" s="159" t="s">
        <v>13</v>
      </c>
      <c r="F670" s="19"/>
      <c r="G670" s="18"/>
      <c r="H670" s="23"/>
    </row>
    <row r="671" spans="2:9" x14ac:dyDescent="0.25">
      <c r="B671" s="130" t="s">
        <v>62</v>
      </c>
      <c r="C671" s="154" t="s">
        <v>514</v>
      </c>
      <c r="D671" s="40"/>
      <c r="E671" s="13"/>
      <c r="F671" s="15"/>
      <c r="G671" s="138"/>
      <c r="H671" s="14"/>
      <c r="I671" s="16"/>
    </row>
    <row r="672" spans="2:9" x14ac:dyDescent="0.25">
      <c r="B672" s="87" t="s">
        <v>15</v>
      </c>
      <c r="C672" s="134" t="s">
        <v>515</v>
      </c>
      <c r="D672" s="39"/>
      <c r="E672" s="159" t="s">
        <v>9</v>
      </c>
      <c r="F672" s="19"/>
      <c r="G672" s="25"/>
      <c r="H672" s="20" t="b">
        <f>IF(D672="x",H$2,H$1)</f>
        <v>0</v>
      </c>
    </row>
    <row r="673" spans="2:9" x14ac:dyDescent="0.25">
      <c r="B673" s="87" t="s">
        <v>15</v>
      </c>
      <c r="C673" s="134" t="s">
        <v>516</v>
      </c>
      <c r="D673" s="39"/>
      <c r="E673" s="159" t="s">
        <v>10</v>
      </c>
      <c r="F673" s="21" t="str">
        <f>IF(H674=1,IF(H672=H$2,H672,""),"")</f>
        <v/>
      </c>
      <c r="G673" s="25"/>
      <c r="H673" s="20" t="str">
        <f>IF(E$785="comprobar",COUNTIF(D672:D676,"x"),"")</f>
        <v/>
      </c>
    </row>
    <row r="674" spans="2:9" x14ac:dyDescent="0.25">
      <c r="B674" s="87" t="s">
        <v>15</v>
      </c>
      <c r="C674" s="134" t="s">
        <v>517</v>
      </c>
      <c r="D674" s="39"/>
      <c r="E674" s="159" t="s">
        <v>11</v>
      </c>
      <c r="F674" s="22" t="str">
        <f>IF(H674=-0.33,IF(H672=H$1,H672,""),"")</f>
        <v/>
      </c>
      <c r="G674" s="25"/>
      <c r="H674" s="23">
        <f t="shared" ref="H674" si="65">IF(H673=1,IF(H672=H$2,1,-0.33),0)</f>
        <v>0</v>
      </c>
    </row>
    <row r="675" spans="2:9" x14ac:dyDescent="0.25">
      <c r="B675" s="87" t="s">
        <v>15</v>
      </c>
      <c r="C675" s="134" t="s">
        <v>518</v>
      </c>
      <c r="D675" s="39"/>
      <c r="E675" s="159" t="s">
        <v>12</v>
      </c>
      <c r="F675" s="19"/>
      <c r="G675" s="25"/>
      <c r="H675" s="23"/>
    </row>
    <row r="676" spans="2:9" x14ac:dyDescent="0.25">
      <c r="B676" s="132"/>
      <c r="C676" s="134"/>
      <c r="D676" s="39"/>
      <c r="E676" s="159" t="s">
        <v>13</v>
      </c>
      <c r="F676" s="19"/>
      <c r="G676" s="18"/>
      <c r="H676" s="23"/>
    </row>
    <row r="677" spans="2:9" x14ac:dyDescent="0.25">
      <c r="B677" s="130" t="s">
        <v>69</v>
      </c>
      <c r="C677" s="154" t="s">
        <v>519</v>
      </c>
      <c r="D677" s="40"/>
      <c r="E677" s="13"/>
      <c r="F677" s="15"/>
      <c r="G677" s="27"/>
      <c r="H677" s="14"/>
      <c r="I677" s="16"/>
    </row>
    <row r="678" spans="2:9" x14ac:dyDescent="0.25">
      <c r="B678" s="87" t="s">
        <v>15</v>
      </c>
      <c r="C678" s="133" t="s">
        <v>520</v>
      </c>
      <c r="D678" s="39"/>
      <c r="E678" s="159" t="s">
        <v>9</v>
      </c>
      <c r="F678" s="19"/>
      <c r="G678" s="25"/>
      <c r="H678" s="20" t="b">
        <f>IF(D679="x",H$2,H$1)</f>
        <v>0</v>
      </c>
    </row>
    <row r="679" spans="2:9" x14ac:dyDescent="0.25">
      <c r="B679" s="87" t="s">
        <v>15</v>
      </c>
      <c r="C679" s="134" t="s">
        <v>521</v>
      </c>
      <c r="D679" s="39"/>
      <c r="E679" s="159" t="s">
        <v>10</v>
      </c>
      <c r="F679" s="21" t="str">
        <f>IF(H680=1,IF(H678=H$2,H678,""),"")</f>
        <v/>
      </c>
      <c r="G679" s="25"/>
      <c r="H679" s="20" t="str">
        <f>IF(E$785="comprobar",COUNTIF(D678:D682,"x"),"")</f>
        <v/>
      </c>
    </row>
    <row r="680" spans="2:9" x14ac:dyDescent="0.25">
      <c r="B680" s="87" t="s">
        <v>15</v>
      </c>
      <c r="C680" s="134" t="s">
        <v>522</v>
      </c>
      <c r="D680" s="39"/>
      <c r="E680" s="159" t="s">
        <v>11</v>
      </c>
      <c r="F680" s="22" t="str">
        <f>IF(H680=-0.33,IF(H678=H$1,H678,""),"")</f>
        <v/>
      </c>
      <c r="G680" s="25"/>
      <c r="H680" s="23">
        <f t="shared" ref="H680" si="66">IF(H679=1,IF(H678=H$2,1,-0.33),0)</f>
        <v>0</v>
      </c>
    </row>
    <row r="681" spans="2:9" x14ac:dyDescent="0.25">
      <c r="B681" s="87" t="s">
        <v>15</v>
      </c>
      <c r="C681" s="134" t="s">
        <v>523</v>
      </c>
      <c r="D681" s="39"/>
      <c r="E681" s="159" t="s">
        <v>12</v>
      </c>
      <c r="F681" s="19"/>
      <c r="G681" s="25"/>
      <c r="H681" s="23"/>
    </row>
    <row r="682" spans="2:9" x14ac:dyDescent="0.25">
      <c r="B682" s="132"/>
      <c r="C682" s="17"/>
      <c r="D682" s="39"/>
      <c r="E682" s="159" t="s">
        <v>13</v>
      </c>
      <c r="F682" s="19"/>
      <c r="G682" s="18"/>
      <c r="H682" s="23"/>
    </row>
    <row r="683" spans="2:9" x14ac:dyDescent="0.25">
      <c r="B683" s="130" t="s">
        <v>75</v>
      </c>
      <c r="C683" s="153" t="s">
        <v>524</v>
      </c>
      <c r="D683" s="40"/>
      <c r="E683" s="13"/>
      <c r="F683" s="15"/>
      <c r="G683" s="27"/>
      <c r="H683" s="14"/>
      <c r="I683" s="16"/>
    </row>
    <row r="684" spans="2:9" x14ac:dyDescent="0.25">
      <c r="B684" s="87" t="s">
        <v>15</v>
      </c>
      <c r="C684" s="133" t="s">
        <v>525</v>
      </c>
      <c r="D684" s="39"/>
      <c r="E684" s="159" t="s">
        <v>9</v>
      </c>
      <c r="F684" s="19"/>
      <c r="G684" s="25"/>
      <c r="H684" s="20" t="b">
        <f>IF(D687="x",H$2,H$1)</f>
        <v>0</v>
      </c>
    </row>
    <row r="685" spans="2:9" x14ac:dyDescent="0.25">
      <c r="B685" s="87" t="s">
        <v>15</v>
      </c>
      <c r="C685" s="134" t="s">
        <v>526</v>
      </c>
      <c r="D685" s="39"/>
      <c r="E685" s="159" t="s">
        <v>10</v>
      </c>
      <c r="F685" s="21" t="str">
        <f>IF(H686=1,IF(H684=H$2,H684,""),"")</f>
        <v/>
      </c>
      <c r="G685" s="25"/>
      <c r="H685" s="20" t="str">
        <f>IF(E$785="comprobar",COUNTIF(D684:D688,"x"),"")</f>
        <v/>
      </c>
    </row>
    <row r="686" spans="2:9" x14ac:dyDescent="0.25">
      <c r="B686" s="87" t="s">
        <v>15</v>
      </c>
      <c r="C686" s="134" t="s">
        <v>527</v>
      </c>
      <c r="D686" s="39"/>
      <c r="E686" s="159" t="s">
        <v>11</v>
      </c>
      <c r="F686" s="22" t="str">
        <f>IF(H686=-0.33,IF(H684=H$1,H684,""),"")</f>
        <v/>
      </c>
      <c r="G686" s="25"/>
      <c r="H686" s="23">
        <f t="shared" ref="H686" si="67">IF(H685=1,IF(H684=H$2,1,-0.33),0)</f>
        <v>0</v>
      </c>
    </row>
    <row r="687" spans="2:9" x14ac:dyDescent="0.25">
      <c r="B687" s="87" t="s">
        <v>15</v>
      </c>
      <c r="C687" s="155" t="s">
        <v>382</v>
      </c>
      <c r="D687" s="39"/>
      <c r="E687" s="159" t="s">
        <v>12</v>
      </c>
      <c r="F687" s="19"/>
      <c r="G687" s="25"/>
      <c r="H687" s="23"/>
    </row>
    <row r="688" spans="2:9" x14ac:dyDescent="0.25">
      <c r="B688" s="132"/>
      <c r="C688" s="17"/>
      <c r="D688" s="39"/>
      <c r="E688" s="159" t="s">
        <v>13</v>
      </c>
      <c r="F688" s="19"/>
      <c r="G688" s="18"/>
      <c r="H688" s="23"/>
    </row>
    <row r="689" spans="2:9" x14ac:dyDescent="0.25">
      <c r="B689" s="130" t="s">
        <v>80</v>
      </c>
      <c r="C689" s="135" t="s">
        <v>528</v>
      </c>
      <c r="D689" s="40"/>
      <c r="E689" s="13"/>
      <c r="F689" s="15"/>
      <c r="G689" s="27"/>
      <c r="H689" s="14"/>
      <c r="I689" s="16"/>
    </row>
    <row r="690" spans="2:9" x14ac:dyDescent="0.25">
      <c r="B690" s="87" t="s">
        <v>15</v>
      </c>
      <c r="C690" s="133" t="s">
        <v>529</v>
      </c>
      <c r="D690" s="39"/>
      <c r="E690" s="159" t="s">
        <v>9</v>
      </c>
      <c r="F690" s="19"/>
      <c r="G690" s="25"/>
      <c r="H690" s="20" t="b">
        <f>IF(D690="x",H$2,H$1)</f>
        <v>0</v>
      </c>
    </row>
    <row r="691" spans="2:9" x14ac:dyDescent="0.25">
      <c r="B691" s="87" t="s">
        <v>15</v>
      </c>
      <c r="C691" s="134" t="s">
        <v>530</v>
      </c>
      <c r="D691" s="39"/>
      <c r="E691" s="159" t="s">
        <v>10</v>
      </c>
      <c r="F691" s="21" t="str">
        <f>IF(H692=1,IF(H690=H$2,H690,""),"")</f>
        <v/>
      </c>
      <c r="G691" s="25"/>
      <c r="H691" s="20" t="str">
        <f>IF(E$785="comprobar",COUNTIF(D690:D694,"x"),"")</f>
        <v/>
      </c>
    </row>
    <row r="692" spans="2:9" x14ac:dyDescent="0.25">
      <c r="B692" s="87" t="s">
        <v>15</v>
      </c>
      <c r="C692" s="134" t="s">
        <v>531</v>
      </c>
      <c r="D692" s="39"/>
      <c r="E692" s="159" t="s">
        <v>11</v>
      </c>
      <c r="F692" s="22" t="str">
        <f>IF(H692=-0.33,IF(H690=H$1,H690,""),"")</f>
        <v/>
      </c>
      <c r="G692" s="25"/>
      <c r="H692" s="23">
        <f t="shared" ref="H692" si="68">IF(H691=1,IF(H690=H$2,1,-0.33),0)</f>
        <v>0</v>
      </c>
    </row>
    <row r="693" spans="2:9" x14ac:dyDescent="0.25">
      <c r="B693" s="87" t="s">
        <v>15</v>
      </c>
      <c r="C693" s="134" t="s">
        <v>532</v>
      </c>
      <c r="D693" s="39"/>
      <c r="E693" s="159" t="s">
        <v>12</v>
      </c>
      <c r="F693" s="19"/>
      <c r="G693" s="25"/>
      <c r="H693" s="23"/>
    </row>
    <row r="694" spans="2:9" x14ac:dyDescent="0.25">
      <c r="B694" s="132"/>
      <c r="C694" s="17"/>
      <c r="D694" s="39"/>
      <c r="E694" s="159" t="s">
        <v>13</v>
      </c>
      <c r="F694" s="19"/>
      <c r="G694" s="18"/>
      <c r="H694" s="23"/>
    </row>
    <row r="695" spans="2:9" x14ac:dyDescent="0.25">
      <c r="B695" s="130" t="s">
        <v>85</v>
      </c>
      <c r="C695" s="154" t="s">
        <v>533</v>
      </c>
      <c r="D695" s="40"/>
      <c r="E695" s="13"/>
      <c r="F695" s="15"/>
      <c r="G695" s="27"/>
      <c r="H695" s="14"/>
      <c r="I695" s="16"/>
    </row>
    <row r="696" spans="2:9" x14ac:dyDescent="0.25">
      <c r="B696" s="87" t="s">
        <v>15</v>
      </c>
      <c r="C696" s="133" t="s">
        <v>534</v>
      </c>
      <c r="D696" s="39"/>
      <c r="E696" s="159" t="s">
        <v>9</v>
      </c>
      <c r="F696" s="19"/>
      <c r="G696" s="25"/>
      <c r="H696" s="20" t="b">
        <f>IF(D699="x",H$2,H$1)</f>
        <v>0</v>
      </c>
    </row>
    <row r="697" spans="2:9" x14ac:dyDescent="0.25">
      <c r="B697" s="87" t="s">
        <v>15</v>
      </c>
      <c r="C697" s="134" t="s">
        <v>535</v>
      </c>
      <c r="D697" s="39"/>
      <c r="E697" s="159" t="s">
        <v>10</v>
      </c>
      <c r="F697" s="21" t="str">
        <f>IF(H698=1,IF(H696=H$2,H696,""),"")</f>
        <v/>
      </c>
      <c r="G697" s="25"/>
      <c r="H697" s="20" t="str">
        <f>IF(E$785="comprobar",COUNTIF(D696:D700,"x"),"")</f>
        <v/>
      </c>
    </row>
    <row r="698" spans="2:9" x14ac:dyDescent="0.25">
      <c r="B698" s="87" t="s">
        <v>15</v>
      </c>
      <c r="C698" s="134" t="s">
        <v>536</v>
      </c>
      <c r="D698" s="39"/>
      <c r="E698" s="159" t="s">
        <v>11</v>
      </c>
      <c r="F698" s="22" t="str">
        <f>IF(H698=-0.33,IF(H696=H$1,H696,""),"")</f>
        <v/>
      </c>
      <c r="G698" s="25"/>
      <c r="H698" s="23">
        <f t="shared" ref="H698" si="69">IF(H697=1,IF(H696=H$2,1,-0.33),0)</f>
        <v>0</v>
      </c>
    </row>
    <row r="699" spans="2:9" x14ac:dyDescent="0.25">
      <c r="B699" s="87" t="s">
        <v>15</v>
      </c>
      <c r="C699" s="134" t="s">
        <v>537</v>
      </c>
      <c r="D699" s="39"/>
      <c r="E699" s="159" t="s">
        <v>12</v>
      </c>
      <c r="F699" s="19"/>
      <c r="G699" s="25"/>
      <c r="H699" s="23"/>
    </row>
    <row r="700" spans="2:9" x14ac:dyDescent="0.25">
      <c r="B700" s="132"/>
      <c r="C700" s="17"/>
      <c r="D700" s="39"/>
      <c r="E700" s="159" t="s">
        <v>13</v>
      </c>
      <c r="F700" s="19"/>
      <c r="G700" s="18"/>
      <c r="H700" s="23"/>
    </row>
    <row r="701" spans="2:9" x14ac:dyDescent="0.25">
      <c r="B701" s="130" t="s">
        <v>91</v>
      </c>
      <c r="C701" s="153" t="s">
        <v>538</v>
      </c>
      <c r="D701" s="40"/>
      <c r="E701" s="13"/>
      <c r="F701" s="15"/>
      <c r="G701" s="27"/>
      <c r="H701" s="14"/>
      <c r="I701" s="16"/>
    </row>
    <row r="702" spans="2:9" x14ac:dyDescent="0.25">
      <c r="B702" s="87" t="s">
        <v>15</v>
      </c>
      <c r="C702" s="133" t="s">
        <v>539</v>
      </c>
      <c r="D702" s="39"/>
      <c r="E702" s="159" t="s">
        <v>9</v>
      </c>
      <c r="F702" s="19"/>
      <c r="G702" s="25"/>
      <c r="H702" s="20" t="b">
        <f>IF(D703="x",H$2,H$1)</f>
        <v>0</v>
      </c>
    </row>
    <row r="703" spans="2:9" x14ac:dyDescent="0.25">
      <c r="B703" s="87" t="s">
        <v>15</v>
      </c>
      <c r="C703" s="134" t="s">
        <v>540</v>
      </c>
      <c r="D703" s="39"/>
      <c r="E703" s="159" t="s">
        <v>10</v>
      </c>
      <c r="F703" s="21" t="str">
        <f>IF(H704=1,IF(H702=H$2,H702,""),"")</f>
        <v/>
      </c>
      <c r="G703" s="25"/>
      <c r="H703" s="20" t="str">
        <f>IF(E$785="comprobar",COUNTIF(D702:D706,"x"),"")</f>
        <v/>
      </c>
    </row>
    <row r="704" spans="2:9" x14ac:dyDescent="0.25">
      <c r="B704" s="87" t="s">
        <v>15</v>
      </c>
      <c r="C704" s="134" t="s">
        <v>541</v>
      </c>
      <c r="D704" s="39"/>
      <c r="E704" s="159" t="s">
        <v>11</v>
      </c>
      <c r="F704" s="22" t="str">
        <f>IF(H704=-0.33,IF(H702=H$1,H702,""),"")</f>
        <v/>
      </c>
      <c r="G704" s="25"/>
      <c r="H704" s="23">
        <f t="shared" ref="H704" si="70">IF(H703=1,IF(H702=H$2,1,-0.33),0)</f>
        <v>0</v>
      </c>
    </row>
    <row r="705" spans="2:9" x14ac:dyDescent="0.25">
      <c r="B705" s="87" t="s">
        <v>15</v>
      </c>
      <c r="C705" s="134" t="s">
        <v>542</v>
      </c>
      <c r="D705" s="39"/>
      <c r="E705" s="159" t="s">
        <v>12</v>
      </c>
      <c r="F705" s="19"/>
      <c r="G705" s="25"/>
      <c r="H705" s="23"/>
    </row>
    <row r="706" spans="2:9" x14ac:dyDescent="0.25">
      <c r="B706" s="132"/>
      <c r="C706" s="17"/>
      <c r="D706" s="39"/>
      <c r="E706" s="159" t="s">
        <v>13</v>
      </c>
      <c r="F706" s="19"/>
      <c r="G706" s="18"/>
      <c r="H706" s="23"/>
    </row>
    <row r="707" spans="2:9" x14ac:dyDescent="0.25">
      <c r="B707" s="130" t="s">
        <v>92</v>
      </c>
      <c r="C707" s="131" t="s">
        <v>543</v>
      </c>
      <c r="D707" s="40"/>
      <c r="E707" s="13"/>
      <c r="F707" s="15"/>
      <c r="G707" s="27"/>
      <c r="H707" s="14"/>
      <c r="I707" s="16"/>
    </row>
    <row r="708" spans="2:9" x14ac:dyDescent="0.25">
      <c r="B708" s="87" t="s">
        <v>15</v>
      </c>
      <c r="C708" s="133" t="s">
        <v>544</v>
      </c>
      <c r="D708" s="39"/>
      <c r="E708" s="159" t="s">
        <v>9</v>
      </c>
      <c r="F708" s="19"/>
      <c r="G708" s="25"/>
      <c r="H708" s="20" t="b">
        <f>IF(D710="x",H$2,H$1)</f>
        <v>0</v>
      </c>
    </row>
    <row r="709" spans="2:9" x14ac:dyDescent="0.25">
      <c r="B709" s="87" t="s">
        <v>15</v>
      </c>
      <c r="C709" s="134" t="s">
        <v>545</v>
      </c>
      <c r="D709" s="39"/>
      <c r="E709" s="159" t="s">
        <v>10</v>
      </c>
      <c r="F709" s="21" t="str">
        <f>IF(H710=1,IF(H708=H$2,H708,""),"")</f>
        <v/>
      </c>
      <c r="G709" s="25"/>
      <c r="H709" s="20" t="str">
        <f>IF(E$785="comprobar",COUNTIF(D708:D712,"x"),"")</f>
        <v/>
      </c>
    </row>
    <row r="710" spans="2:9" ht="18" customHeight="1" x14ac:dyDescent="0.25">
      <c r="B710" s="87" t="s">
        <v>15</v>
      </c>
      <c r="C710" s="164" t="s">
        <v>546</v>
      </c>
      <c r="D710" s="39"/>
      <c r="E710" s="159" t="s">
        <v>11</v>
      </c>
      <c r="F710" s="22" t="str">
        <f>IF(H710=-0.33,IF(H708=H$1,H708,""),"")</f>
        <v/>
      </c>
      <c r="G710" s="25"/>
      <c r="H710" s="23">
        <f t="shared" ref="H710" si="71">IF(H709=1,IF(H708=H$2,1,-0.33),0)</f>
        <v>0</v>
      </c>
    </row>
    <row r="711" spans="2:9" x14ac:dyDescent="0.25">
      <c r="B711" s="87" t="s">
        <v>15</v>
      </c>
      <c r="C711" s="134" t="s">
        <v>547</v>
      </c>
      <c r="D711" s="39"/>
      <c r="E711" s="159" t="s">
        <v>12</v>
      </c>
      <c r="F711" s="19"/>
      <c r="G711" s="25"/>
      <c r="H711" s="23"/>
    </row>
    <row r="712" spans="2:9" x14ac:dyDescent="0.25">
      <c r="B712" s="132"/>
      <c r="C712" s="17"/>
      <c r="D712" s="39"/>
      <c r="E712" s="159" t="s">
        <v>13</v>
      </c>
      <c r="F712" s="19"/>
      <c r="G712" s="18"/>
      <c r="H712" s="23"/>
    </row>
    <row r="713" spans="2:9" x14ac:dyDescent="0.25">
      <c r="B713" s="130" t="s">
        <v>199</v>
      </c>
      <c r="C713" s="153" t="s">
        <v>548</v>
      </c>
      <c r="D713" s="40"/>
      <c r="E713" s="13"/>
      <c r="F713" s="15"/>
      <c r="G713" s="27"/>
      <c r="H713" s="14"/>
      <c r="I713" s="16"/>
    </row>
    <row r="714" spans="2:9" x14ac:dyDescent="0.25">
      <c r="B714" s="87" t="s">
        <v>15</v>
      </c>
      <c r="C714" s="133" t="s">
        <v>549</v>
      </c>
      <c r="D714" s="39"/>
      <c r="E714" s="159" t="s">
        <v>9</v>
      </c>
      <c r="F714" s="19"/>
      <c r="G714" s="25"/>
      <c r="H714" s="20" t="b">
        <f>IF(D714="x",H$2,H$1)</f>
        <v>0</v>
      </c>
    </row>
    <row r="715" spans="2:9" x14ac:dyDescent="0.25">
      <c r="B715" s="87" t="s">
        <v>15</v>
      </c>
      <c r="C715" s="134" t="s">
        <v>550</v>
      </c>
      <c r="D715" s="39"/>
      <c r="E715" s="159" t="s">
        <v>10</v>
      </c>
      <c r="F715" s="21" t="str">
        <f>IF(H716=1,IF(H714=H$2,H714,""),"")</f>
        <v/>
      </c>
      <c r="G715" s="25"/>
      <c r="H715" s="20" t="str">
        <f>IF(E$785="comprobar",COUNTIF(D714:D718,"x"),"")</f>
        <v/>
      </c>
    </row>
    <row r="716" spans="2:9" x14ac:dyDescent="0.25">
      <c r="B716" s="87" t="s">
        <v>15</v>
      </c>
      <c r="C716" s="134" t="s">
        <v>551</v>
      </c>
      <c r="D716" s="39"/>
      <c r="E716" s="159" t="s">
        <v>11</v>
      </c>
      <c r="F716" s="22" t="str">
        <f>IF(H716=-0.33,IF(H714=H$1,H714,""),"")</f>
        <v/>
      </c>
      <c r="G716" s="25"/>
      <c r="H716" s="23">
        <f t="shared" ref="H716" si="72">IF(H715=1,IF(H714=H$2,1,-0.33),0)</f>
        <v>0</v>
      </c>
    </row>
    <row r="717" spans="2:9" x14ac:dyDescent="0.25">
      <c r="B717" s="87" t="s">
        <v>15</v>
      </c>
      <c r="C717" s="134" t="s">
        <v>393</v>
      </c>
      <c r="D717" s="39"/>
      <c r="E717" s="159" t="s">
        <v>12</v>
      </c>
      <c r="F717" s="19"/>
      <c r="G717" s="25"/>
      <c r="H717" s="23"/>
    </row>
    <row r="718" spans="2:9" x14ac:dyDescent="0.25">
      <c r="B718" s="132"/>
      <c r="C718" s="17"/>
      <c r="D718" s="39"/>
      <c r="E718" s="159" t="s">
        <v>13</v>
      </c>
      <c r="F718" s="19"/>
      <c r="G718" s="18"/>
      <c r="H718" s="23"/>
    </row>
    <row r="719" spans="2:9" x14ac:dyDescent="0.25">
      <c r="B719" s="130" t="s">
        <v>159</v>
      </c>
      <c r="C719" s="131" t="s">
        <v>562</v>
      </c>
      <c r="D719" s="40"/>
      <c r="E719" s="13"/>
      <c r="F719" s="15"/>
      <c r="G719" s="27"/>
      <c r="H719" s="14"/>
      <c r="I719" s="16"/>
    </row>
    <row r="720" spans="2:9" x14ac:dyDescent="0.25">
      <c r="B720" s="87" t="s">
        <v>15</v>
      </c>
      <c r="C720" s="133" t="s">
        <v>563</v>
      </c>
      <c r="D720" s="39"/>
      <c r="E720" s="159" t="s">
        <v>9</v>
      </c>
      <c r="F720" s="19"/>
      <c r="G720" s="25"/>
      <c r="H720" s="20" t="b">
        <f>IF(D721="x",H$2,H$1)</f>
        <v>0</v>
      </c>
    </row>
    <row r="721" spans="2:9" x14ac:dyDescent="0.25">
      <c r="B721" s="87" t="s">
        <v>15</v>
      </c>
      <c r="C721" s="134" t="s">
        <v>564</v>
      </c>
      <c r="D721" s="39"/>
      <c r="E721" s="159" t="s">
        <v>10</v>
      </c>
      <c r="F721" s="21" t="str">
        <f>IF(H722=1,IF(H720=H$2,H720,""),"")</f>
        <v/>
      </c>
      <c r="G721" s="25"/>
      <c r="H721" s="20" t="str">
        <f>IF(E$785="comprobar",COUNTIF(D720:D724,"x"),"")</f>
        <v/>
      </c>
    </row>
    <row r="722" spans="2:9" x14ac:dyDescent="0.25">
      <c r="B722" s="87" t="s">
        <v>15</v>
      </c>
      <c r="C722" s="134" t="s">
        <v>565</v>
      </c>
      <c r="D722" s="39"/>
      <c r="E722" s="159" t="s">
        <v>11</v>
      </c>
      <c r="F722" s="22" t="str">
        <f>IF(H722=-0.33,IF(H720=H$1,H720,""),"")</f>
        <v/>
      </c>
      <c r="G722" s="25"/>
      <c r="H722" s="23">
        <f t="shared" ref="H722" si="73">IF(H721=1,IF(H720=H$2,1,-0.33),0)</f>
        <v>0</v>
      </c>
    </row>
    <row r="723" spans="2:9" x14ac:dyDescent="0.25">
      <c r="B723" s="87" t="s">
        <v>15</v>
      </c>
      <c r="C723" s="134" t="s">
        <v>566</v>
      </c>
      <c r="D723" s="39"/>
      <c r="E723" s="159" t="s">
        <v>12</v>
      </c>
      <c r="F723" s="19"/>
      <c r="G723" s="25"/>
      <c r="H723" s="23"/>
    </row>
    <row r="724" spans="2:9" x14ac:dyDescent="0.25">
      <c r="B724" s="132"/>
      <c r="C724" s="17"/>
      <c r="D724" s="39"/>
      <c r="E724" s="159" t="s">
        <v>13</v>
      </c>
      <c r="F724" s="19"/>
      <c r="G724" s="18"/>
      <c r="H724" s="23"/>
    </row>
    <row r="725" spans="2:9" x14ac:dyDescent="0.25">
      <c r="B725" s="130" t="s">
        <v>557</v>
      </c>
      <c r="C725" s="131" t="s">
        <v>567</v>
      </c>
      <c r="D725" s="40"/>
      <c r="E725" s="13"/>
      <c r="F725" s="15"/>
      <c r="G725" s="27"/>
      <c r="H725" s="14"/>
      <c r="I725" s="16"/>
    </row>
    <row r="726" spans="2:9" x14ac:dyDescent="0.25">
      <c r="B726" s="87" t="s">
        <v>15</v>
      </c>
      <c r="C726" s="133" t="s">
        <v>357</v>
      </c>
      <c r="D726" s="39"/>
      <c r="E726" s="159" t="s">
        <v>9</v>
      </c>
      <c r="F726" s="19"/>
      <c r="G726" s="25"/>
      <c r="H726" s="20" t="b">
        <f>IF(D727="x",H$2,H$1)</f>
        <v>0</v>
      </c>
    </row>
    <row r="727" spans="2:9" x14ac:dyDescent="0.25">
      <c r="B727" s="87" t="s">
        <v>15</v>
      </c>
      <c r="C727" s="134" t="s">
        <v>355</v>
      </c>
      <c r="D727" s="39"/>
      <c r="E727" s="159" t="s">
        <v>10</v>
      </c>
      <c r="F727" s="21" t="str">
        <f>IF(H728=1,IF(H726=H$2,H726,""),"")</f>
        <v/>
      </c>
      <c r="G727" s="25"/>
      <c r="H727" s="20" t="str">
        <f>IF(E$785="comprobar",COUNTIF(D726:D730,"x"),"")</f>
        <v/>
      </c>
    </row>
    <row r="728" spans="2:9" x14ac:dyDescent="0.25">
      <c r="B728" s="87" t="s">
        <v>15</v>
      </c>
      <c r="C728" s="134" t="s">
        <v>354</v>
      </c>
      <c r="D728" s="39"/>
      <c r="E728" s="159" t="s">
        <v>11</v>
      </c>
      <c r="F728" s="22" t="str">
        <f>IF(H728=-0.33,IF(H726=H$1,H726,""),"")</f>
        <v/>
      </c>
      <c r="G728" s="25"/>
      <c r="H728" s="23">
        <f t="shared" ref="H728" si="74">IF(H727=1,IF(H726=H$2,1,-0.33),0)</f>
        <v>0</v>
      </c>
    </row>
    <row r="729" spans="2:9" x14ac:dyDescent="0.25">
      <c r="B729" s="87" t="s">
        <v>15</v>
      </c>
      <c r="C729" s="134" t="s">
        <v>356</v>
      </c>
      <c r="D729" s="39"/>
      <c r="E729" s="159" t="s">
        <v>12</v>
      </c>
      <c r="F729" s="19"/>
      <c r="G729" s="25"/>
      <c r="H729" s="23"/>
    </row>
    <row r="730" spans="2:9" x14ac:dyDescent="0.25">
      <c r="B730" s="132"/>
      <c r="C730" s="17"/>
      <c r="D730" s="39"/>
      <c r="E730" s="159" t="s">
        <v>13</v>
      </c>
      <c r="F730" s="19"/>
      <c r="G730" s="18"/>
      <c r="H730" s="23"/>
    </row>
    <row r="731" spans="2:9" x14ac:dyDescent="0.25">
      <c r="B731" s="130" t="s">
        <v>558</v>
      </c>
      <c r="C731" s="131" t="s">
        <v>568</v>
      </c>
      <c r="D731" s="40"/>
      <c r="E731" s="13"/>
      <c r="F731" s="15"/>
      <c r="G731" s="27"/>
      <c r="H731" s="14"/>
      <c r="I731" s="16"/>
    </row>
    <row r="732" spans="2:9" x14ac:dyDescent="0.25">
      <c r="B732" s="87" t="s">
        <v>15</v>
      </c>
      <c r="C732" s="133" t="s">
        <v>369</v>
      </c>
      <c r="D732" s="39"/>
      <c r="E732" s="159" t="s">
        <v>9</v>
      </c>
      <c r="F732" s="19"/>
      <c r="G732" s="25"/>
      <c r="H732" s="20" t="b">
        <f>IF(D733="x",H$2,H$1)</f>
        <v>0</v>
      </c>
    </row>
    <row r="733" spans="2:9" x14ac:dyDescent="0.25">
      <c r="B733" s="87" t="s">
        <v>15</v>
      </c>
      <c r="C733" s="134" t="s">
        <v>569</v>
      </c>
      <c r="D733" s="39"/>
      <c r="E733" s="159" t="s">
        <v>10</v>
      </c>
      <c r="F733" s="21" t="str">
        <f>IF(H734=1,IF(H732=H$2,H732,""),"")</f>
        <v/>
      </c>
      <c r="G733" s="25"/>
      <c r="H733" s="20" t="str">
        <f>IF(E$785="comprobar",COUNTIF(D732:D736,"x"),"")</f>
        <v/>
      </c>
    </row>
    <row r="734" spans="2:9" ht="14.25" customHeight="1" x14ac:dyDescent="0.25">
      <c r="B734" s="87" t="s">
        <v>15</v>
      </c>
      <c r="C734" s="164" t="s">
        <v>570</v>
      </c>
      <c r="D734" s="39"/>
      <c r="E734" s="159" t="s">
        <v>11</v>
      </c>
      <c r="F734" s="22" t="str">
        <f>IF(H734=-0.33,IF(H732=H$1,H732,""),"")</f>
        <v/>
      </c>
      <c r="G734" s="25"/>
      <c r="H734" s="23">
        <f t="shared" ref="H734" si="75">IF(H733=1,IF(H732=H$2,1,-0.33),0)</f>
        <v>0</v>
      </c>
    </row>
    <row r="735" spans="2:9" ht="19.5" customHeight="1" x14ac:dyDescent="0.25">
      <c r="B735" s="87" t="s">
        <v>15</v>
      </c>
      <c r="C735" s="164" t="s">
        <v>571</v>
      </c>
      <c r="D735" s="39"/>
      <c r="E735" s="159" t="s">
        <v>12</v>
      </c>
      <c r="F735" s="19"/>
      <c r="G735" s="25"/>
      <c r="H735" s="23"/>
    </row>
    <row r="736" spans="2:9" x14ac:dyDescent="0.25">
      <c r="B736" s="132"/>
      <c r="C736" s="17"/>
      <c r="D736" s="39"/>
      <c r="E736" s="159" t="s">
        <v>13</v>
      </c>
      <c r="F736" s="19"/>
      <c r="G736" s="18"/>
      <c r="H736" s="23"/>
    </row>
    <row r="737" spans="2:9" x14ac:dyDescent="0.25">
      <c r="B737" s="130" t="s">
        <v>559</v>
      </c>
      <c r="C737" s="131" t="s">
        <v>572</v>
      </c>
      <c r="D737" s="40"/>
      <c r="E737" s="13"/>
      <c r="F737" s="15"/>
      <c r="G737" s="27"/>
      <c r="H737" s="14"/>
      <c r="I737" s="16"/>
    </row>
    <row r="738" spans="2:9" x14ac:dyDescent="0.25">
      <c r="B738" s="87" t="s">
        <v>15</v>
      </c>
      <c r="C738" s="133" t="s">
        <v>271</v>
      </c>
      <c r="D738" s="39"/>
      <c r="E738" s="159" t="s">
        <v>9</v>
      </c>
      <c r="F738" s="19"/>
      <c r="G738" s="25"/>
      <c r="H738" s="20" t="b">
        <f>IF(D739="x",H$2,H$1)</f>
        <v>0</v>
      </c>
    </row>
    <row r="739" spans="2:9" x14ac:dyDescent="0.25">
      <c r="B739" s="87" t="s">
        <v>15</v>
      </c>
      <c r="C739" s="134" t="s">
        <v>268</v>
      </c>
      <c r="D739" s="39"/>
      <c r="E739" s="159" t="s">
        <v>10</v>
      </c>
      <c r="F739" s="21" t="str">
        <f>IF(H740=1,IF(H738=H$2,H738,""),"")</f>
        <v/>
      </c>
      <c r="G739" s="25"/>
      <c r="H739" s="20" t="str">
        <f>IF(E$785="comprobar",COUNTIF(D738:D742,"x"),"")</f>
        <v/>
      </c>
    </row>
    <row r="740" spans="2:9" ht="18" customHeight="1" x14ac:dyDescent="0.25">
      <c r="B740" s="87" t="s">
        <v>15</v>
      </c>
      <c r="C740" s="164" t="s">
        <v>573</v>
      </c>
      <c r="D740" s="39"/>
      <c r="E740" s="159" t="s">
        <v>11</v>
      </c>
      <c r="F740" s="22" t="str">
        <f>IF(H740=-0.33,IF(H738=H$1,H738,""),"")</f>
        <v/>
      </c>
      <c r="G740" s="25"/>
      <c r="H740" s="23">
        <f t="shared" ref="H740" si="76">IF(H739=1,IF(H738=H$2,1,-0.33),0)</f>
        <v>0</v>
      </c>
    </row>
    <row r="741" spans="2:9" ht="17.25" customHeight="1" x14ac:dyDescent="0.25">
      <c r="B741" s="87" t="s">
        <v>15</v>
      </c>
      <c r="C741" s="164" t="s">
        <v>574</v>
      </c>
      <c r="D741" s="39"/>
      <c r="E741" s="159" t="s">
        <v>12</v>
      </c>
      <c r="F741" s="19"/>
      <c r="G741" s="25"/>
      <c r="H741" s="23"/>
    </row>
    <row r="742" spans="2:9" x14ac:dyDescent="0.25">
      <c r="B742" s="132"/>
      <c r="C742" s="17"/>
      <c r="D742" s="39"/>
      <c r="E742" s="159" t="s">
        <v>13</v>
      </c>
      <c r="F742" s="19"/>
      <c r="G742" s="18"/>
      <c r="H742" s="23"/>
    </row>
    <row r="743" spans="2:9" x14ac:dyDescent="0.25">
      <c r="B743" s="130" t="s">
        <v>552</v>
      </c>
      <c r="C743" s="131" t="s">
        <v>575</v>
      </c>
      <c r="D743" s="40"/>
      <c r="E743" s="13"/>
      <c r="F743" s="15"/>
      <c r="G743" s="27"/>
      <c r="H743" s="14"/>
      <c r="I743" s="16"/>
    </row>
    <row r="744" spans="2:9" x14ac:dyDescent="0.25">
      <c r="B744" s="87" t="s">
        <v>15</v>
      </c>
      <c r="C744" s="133" t="s">
        <v>576</v>
      </c>
      <c r="D744" s="39"/>
      <c r="E744" s="159" t="s">
        <v>9</v>
      </c>
      <c r="F744" s="19"/>
      <c r="G744" s="25"/>
      <c r="H744" s="20" t="b">
        <f>IF(D745="x",H$2,H$1)</f>
        <v>0</v>
      </c>
    </row>
    <row r="745" spans="2:9" x14ac:dyDescent="0.25">
      <c r="B745" s="87" t="s">
        <v>15</v>
      </c>
      <c r="C745" s="134" t="s">
        <v>577</v>
      </c>
      <c r="D745" s="39"/>
      <c r="E745" s="159" t="s">
        <v>10</v>
      </c>
      <c r="F745" s="21" t="str">
        <f>IF(H746=1,IF(H744=H$2,H744,""),"")</f>
        <v/>
      </c>
      <c r="G745" s="25"/>
      <c r="H745" s="20" t="str">
        <f>IF(E$785="comprobar",COUNTIF(D744:D748,"x"),"")</f>
        <v/>
      </c>
    </row>
    <row r="746" spans="2:9" x14ac:dyDescent="0.25">
      <c r="B746" s="87" t="s">
        <v>15</v>
      </c>
      <c r="C746" s="134" t="s">
        <v>578</v>
      </c>
      <c r="D746" s="39"/>
      <c r="E746" s="159" t="s">
        <v>11</v>
      </c>
      <c r="F746" s="22" t="str">
        <f>IF(H746=-0.33,IF(H744=H$1,H744,""),"")</f>
        <v/>
      </c>
      <c r="G746" s="25"/>
      <c r="H746" s="23">
        <f t="shared" ref="H746" si="77">IF(H745=1,IF(H744=H$2,1,-0.33),0)</f>
        <v>0</v>
      </c>
    </row>
    <row r="747" spans="2:9" x14ac:dyDescent="0.25">
      <c r="B747" s="87" t="s">
        <v>15</v>
      </c>
      <c r="C747" s="134" t="s">
        <v>579</v>
      </c>
      <c r="D747" s="39"/>
      <c r="E747" s="159" t="s">
        <v>12</v>
      </c>
      <c r="F747" s="19"/>
      <c r="G747" s="25"/>
      <c r="H747" s="23"/>
    </row>
    <row r="748" spans="2:9" x14ac:dyDescent="0.25">
      <c r="B748" s="132"/>
      <c r="C748" s="17"/>
      <c r="D748" s="39"/>
      <c r="E748" s="159" t="s">
        <v>13</v>
      </c>
      <c r="F748" s="19"/>
      <c r="G748" s="18"/>
      <c r="H748" s="23"/>
    </row>
    <row r="749" spans="2:9" x14ac:dyDescent="0.25">
      <c r="B749" s="130" t="s">
        <v>553</v>
      </c>
      <c r="C749" s="131" t="s">
        <v>308</v>
      </c>
      <c r="D749" s="40"/>
      <c r="E749" s="13"/>
      <c r="F749" s="15"/>
      <c r="G749" s="27"/>
      <c r="H749" s="14"/>
      <c r="I749" s="16"/>
    </row>
    <row r="750" spans="2:9" x14ac:dyDescent="0.25">
      <c r="B750" s="87" t="s">
        <v>15</v>
      </c>
      <c r="C750" s="133" t="s">
        <v>580</v>
      </c>
      <c r="D750" s="39"/>
      <c r="E750" s="159" t="s">
        <v>9</v>
      </c>
      <c r="F750" s="19"/>
      <c r="G750" s="25"/>
      <c r="H750" s="20" t="b">
        <f>IF(D751="x",H$2,H$1)</f>
        <v>0</v>
      </c>
    </row>
    <row r="751" spans="2:9" x14ac:dyDescent="0.25">
      <c r="B751" s="87" t="s">
        <v>15</v>
      </c>
      <c r="C751" s="134" t="s">
        <v>581</v>
      </c>
      <c r="D751" s="39"/>
      <c r="E751" s="159" t="s">
        <v>10</v>
      </c>
      <c r="F751" s="21" t="str">
        <f>IF(H752=1,IF(H750=H$2,H750,""),"")</f>
        <v/>
      </c>
      <c r="G751" s="25"/>
      <c r="H751" s="20" t="str">
        <f>IF(E$785="comprobar",COUNTIF(D750:D754,"x"),"")</f>
        <v/>
      </c>
    </row>
    <row r="752" spans="2:9" ht="15.75" customHeight="1" x14ac:dyDescent="0.25">
      <c r="B752" s="87" t="s">
        <v>15</v>
      </c>
      <c r="C752" s="164" t="s">
        <v>583</v>
      </c>
      <c r="D752" s="39"/>
      <c r="E752" s="159" t="s">
        <v>11</v>
      </c>
      <c r="F752" s="22" t="str">
        <f>IF(H752=-0.33,IF(H750=H$1,H750,""),"")</f>
        <v/>
      </c>
      <c r="G752" s="25"/>
      <c r="H752" s="23">
        <f t="shared" ref="H752" si="78">IF(H751=1,IF(H750=H$2,1,-0.33),0)</f>
        <v>0</v>
      </c>
    </row>
    <row r="753" spans="2:9" x14ac:dyDescent="0.25">
      <c r="B753" s="87" t="s">
        <v>15</v>
      </c>
      <c r="C753" s="134" t="s">
        <v>582</v>
      </c>
      <c r="D753" s="39"/>
      <c r="E753" s="159" t="s">
        <v>12</v>
      </c>
      <c r="F753" s="19"/>
      <c r="G753" s="25"/>
      <c r="H753" s="23"/>
    </row>
    <row r="754" spans="2:9" x14ac:dyDescent="0.25">
      <c r="B754" s="132"/>
      <c r="C754" s="17"/>
      <c r="D754" s="39"/>
      <c r="E754" s="159" t="s">
        <v>13</v>
      </c>
      <c r="F754" s="19"/>
      <c r="G754" s="18"/>
      <c r="H754" s="23"/>
    </row>
    <row r="755" spans="2:9" x14ac:dyDescent="0.25">
      <c r="B755" s="130" t="s">
        <v>554</v>
      </c>
      <c r="C755" s="131" t="s">
        <v>584</v>
      </c>
      <c r="D755" s="40"/>
      <c r="E755" s="13"/>
      <c r="F755" s="15"/>
      <c r="G755" s="27"/>
      <c r="H755" s="14"/>
      <c r="I755" s="16"/>
    </row>
    <row r="756" spans="2:9" x14ac:dyDescent="0.25">
      <c r="B756" s="87" t="s">
        <v>15</v>
      </c>
      <c r="C756" s="133" t="s">
        <v>585</v>
      </c>
      <c r="D756" s="39"/>
      <c r="E756" s="159" t="s">
        <v>9</v>
      </c>
      <c r="F756" s="19"/>
      <c r="G756" s="25"/>
      <c r="H756" s="20" t="b">
        <f>IF(D757="x",H$2,H$1)</f>
        <v>0</v>
      </c>
    </row>
    <row r="757" spans="2:9" x14ac:dyDescent="0.25">
      <c r="B757" s="87" t="s">
        <v>15</v>
      </c>
      <c r="C757" s="134" t="s">
        <v>586</v>
      </c>
      <c r="D757" s="39"/>
      <c r="E757" s="159" t="s">
        <v>10</v>
      </c>
      <c r="F757" s="21" t="str">
        <f>IF(H758=1,IF(H756=H$2,H756,""),"")</f>
        <v/>
      </c>
      <c r="G757" s="25"/>
      <c r="H757" s="20" t="str">
        <f>IF(E$785="comprobar",COUNTIF(D756:D760,"x"),"")</f>
        <v/>
      </c>
    </row>
    <row r="758" spans="2:9" x14ac:dyDescent="0.25">
      <c r="B758" s="87" t="s">
        <v>15</v>
      </c>
      <c r="C758" s="134" t="s">
        <v>587</v>
      </c>
      <c r="D758" s="39"/>
      <c r="E758" s="159" t="s">
        <v>11</v>
      </c>
      <c r="F758" s="22" t="str">
        <f>IF(H758=-0.33,IF(H756=H$1,H756,""),"")</f>
        <v/>
      </c>
      <c r="G758" s="25"/>
      <c r="H758" s="23">
        <f t="shared" ref="H758" si="79">IF(H757=1,IF(H756=H$2,1,-0.33),0)</f>
        <v>0</v>
      </c>
    </row>
    <row r="759" spans="2:9" x14ac:dyDescent="0.25">
      <c r="B759" s="87" t="s">
        <v>15</v>
      </c>
      <c r="C759" s="134" t="s">
        <v>588</v>
      </c>
      <c r="D759" s="39"/>
      <c r="E759" s="159" t="s">
        <v>12</v>
      </c>
      <c r="F759" s="19"/>
      <c r="G759" s="25"/>
      <c r="H759" s="23"/>
    </row>
    <row r="760" spans="2:9" x14ac:dyDescent="0.25">
      <c r="B760" s="132"/>
      <c r="C760" s="17"/>
      <c r="D760" s="39"/>
      <c r="E760" s="159" t="s">
        <v>13</v>
      </c>
      <c r="F760" s="19"/>
      <c r="G760" s="18"/>
      <c r="H760" s="23"/>
    </row>
    <row r="761" spans="2:9" x14ac:dyDescent="0.25">
      <c r="B761" s="130" t="s">
        <v>555</v>
      </c>
      <c r="C761" s="131" t="s">
        <v>589</v>
      </c>
      <c r="D761" s="40"/>
      <c r="E761" s="13"/>
      <c r="F761" s="15"/>
      <c r="G761" s="27"/>
      <c r="H761" s="14"/>
      <c r="I761" s="16"/>
    </row>
    <row r="762" spans="2:9" x14ac:dyDescent="0.25">
      <c r="B762" s="87" t="s">
        <v>15</v>
      </c>
      <c r="C762" s="133" t="s">
        <v>590</v>
      </c>
      <c r="D762" s="39"/>
      <c r="E762" s="159" t="s">
        <v>9</v>
      </c>
      <c r="F762" s="19"/>
      <c r="G762" s="25"/>
      <c r="H762" s="20" t="b">
        <f>IF(D763="x",H$2,H$1)</f>
        <v>0</v>
      </c>
    </row>
    <row r="763" spans="2:9" ht="18.75" customHeight="1" x14ac:dyDescent="0.25">
      <c r="B763" s="87" t="s">
        <v>15</v>
      </c>
      <c r="C763" s="164" t="s">
        <v>592</v>
      </c>
      <c r="D763" s="39"/>
      <c r="E763" s="159" t="s">
        <v>10</v>
      </c>
      <c r="F763" s="21" t="str">
        <f>IF(H764=1,IF(H762=H$2,H762,""),"")</f>
        <v/>
      </c>
      <c r="G763" s="25"/>
      <c r="H763" s="20" t="str">
        <f>IF(E$785="comprobar",COUNTIF(D762:D766,"x"),"")</f>
        <v/>
      </c>
    </row>
    <row r="764" spans="2:9" ht="17.25" customHeight="1" x14ac:dyDescent="0.25">
      <c r="B764" s="87" t="s">
        <v>15</v>
      </c>
      <c r="C764" s="164" t="s">
        <v>591</v>
      </c>
      <c r="D764" s="39"/>
      <c r="E764" s="159" t="s">
        <v>11</v>
      </c>
      <c r="F764" s="22" t="str">
        <f>IF(H764=-0.33,IF(H762=H$1,H762,""),"")</f>
        <v/>
      </c>
      <c r="G764" s="25"/>
      <c r="H764" s="23">
        <f t="shared" ref="H764" si="80">IF(H763=1,IF(H762=H$2,1,-0.33),0)</f>
        <v>0</v>
      </c>
    </row>
    <row r="765" spans="2:9" x14ac:dyDescent="0.25">
      <c r="B765" s="87" t="s">
        <v>15</v>
      </c>
      <c r="C765" s="134" t="s">
        <v>593</v>
      </c>
      <c r="D765" s="39"/>
      <c r="E765" s="159" t="s">
        <v>12</v>
      </c>
      <c r="F765" s="19"/>
      <c r="G765" s="25"/>
      <c r="H765" s="23"/>
    </row>
    <row r="766" spans="2:9" x14ac:dyDescent="0.25">
      <c r="B766" s="132"/>
      <c r="C766" s="17"/>
      <c r="D766" s="39"/>
      <c r="E766" s="159" t="s">
        <v>13</v>
      </c>
      <c r="F766" s="19"/>
      <c r="G766" s="18"/>
      <c r="H766" s="23"/>
    </row>
    <row r="767" spans="2:9" x14ac:dyDescent="0.25">
      <c r="B767" s="130" t="s">
        <v>556</v>
      </c>
      <c r="C767" s="131" t="s">
        <v>594</v>
      </c>
      <c r="D767" s="40"/>
      <c r="E767" s="13"/>
      <c r="F767" s="15"/>
      <c r="G767" s="27"/>
      <c r="H767" s="14"/>
      <c r="I767" s="16"/>
    </row>
    <row r="768" spans="2:9" x14ac:dyDescent="0.25">
      <c r="B768" s="87" t="s">
        <v>15</v>
      </c>
      <c r="C768" s="133" t="s">
        <v>389</v>
      </c>
      <c r="D768" s="39"/>
      <c r="E768" s="159" t="s">
        <v>9</v>
      </c>
      <c r="F768" s="19"/>
      <c r="G768" s="25"/>
      <c r="H768" s="20" t="b">
        <f>IF(D769="x",H$2,H$1)</f>
        <v>0</v>
      </c>
    </row>
    <row r="769" spans="2:9" x14ac:dyDescent="0.25">
      <c r="B769" s="87" t="s">
        <v>15</v>
      </c>
      <c r="C769" s="134" t="s">
        <v>356</v>
      </c>
      <c r="D769" s="39"/>
      <c r="E769" s="159" t="s">
        <v>10</v>
      </c>
      <c r="F769" s="21" t="str">
        <f>IF(H770=1,IF(H768=H$2,H768,""),"")</f>
        <v/>
      </c>
      <c r="G769" s="25"/>
      <c r="H769" s="20" t="str">
        <f>IF(E$785="comprobar",COUNTIF(D768:D772,"x"),"")</f>
        <v/>
      </c>
    </row>
    <row r="770" spans="2:9" x14ac:dyDescent="0.25">
      <c r="B770" s="87" t="s">
        <v>15</v>
      </c>
      <c r="C770" s="134" t="s">
        <v>391</v>
      </c>
      <c r="D770" s="39"/>
      <c r="E770" s="159" t="s">
        <v>11</v>
      </c>
      <c r="F770" s="22" t="str">
        <f>IF(H770=-0.33,IF(H768=H$1,H768,""),"")</f>
        <v/>
      </c>
      <c r="G770" s="25"/>
      <c r="H770" s="23">
        <f t="shared" ref="H770" si="81">IF(H769=1,IF(H768=H$2,1,-0.33),0)</f>
        <v>0</v>
      </c>
    </row>
    <row r="771" spans="2:9" x14ac:dyDescent="0.25">
      <c r="B771" s="87" t="s">
        <v>15</v>
      </c>
      <c r="C771" s="134" t="s">
        <v>390</v>
      </c>
      <c r="D771" s="39"/>
      <c r="E771" s="159" t="s">
        <v>12</v>
      </c>
      <c r="F771" s="19"/>
      <c r="G771" s="25"/>
      <c r="H771" s="23"/>
    </row>
    <row r="772" spans="2:9" x14ac:dyDescent="0.25">
      <c r="B772" s="132"/>
      <c r="C772" s="17"/>
      <c r="D772" s="39"/>
      <c r="E772" s="159" t="s">
        <v>13</v>
      </c>
      <c r="F772" s="19"/>
      <c r="G772" s="18"/>
      <c r="H772" s="23"/>
    </row>
    <row r="773" spans="2:9" x14ac:dyDescent="0.25">
      <c r="B773" s="130" t="s">
        <v>560</v>
      </c>
      <c r="C773" s="131" t="s">
        <v>595</v>
      </c>
      <c r="D773" s="40"/>
      <c r="E773" s="13"/>
      <c r="F773" s="15"/>
      <c r="G773" s="27"/>
      <c r="H773" s="14"/>
      <c r="I773" s="16"/>
    </row>
    <row r="774" spans="2:9" x14ac:dyDescent="0.25">
      <c r="B774" s="87" t="s">
        <v>15</v>
      </c>
      <c r="C774" s="133" t="s">
        <v>596</v>
      </c>
      <c r="D774" s="39"/>
      <c r="E774" s="159" t="s">
        <v>9</v>
      </c>
      <c r="F774" s="19"/>
      <c r="G774" s="25"/>
      <c r="H774" s="20" t="b">
        <f>IF(D775="x",H$2,H$1)</f>
        <v>0</v>
      </c>
    </row>
    <row r="775" spans="2:9" x14ac:dyDescent="0.25">
      <c r="B775" s="87" t="s">
        <v>15</v>
      </c>
      <c r="C775" s="134" t="s">
        <v>597</v>
      </c>
      <c r="D775" s="39"/>
      <c r="E775" s="159" t="s">
        <v>10</v>
      </c>
      <c r="F775" s="21" t="str">
        <f>IF(H776=1,IF(H774=H$2,H774,""),"")</f>
        <v/>
      </c>
      <c r="G775" s="25"/>
      <c r="H775" s="20" t="str">
        <f>IF(E$785="comprobar",COUNTIF(D774:D778,"x"),"")</f>
        <v/>
      </c>
    </row>
    <row r="776" spans="2:9" x14ac:dyDescent="0.25">
      <c r="B776" s="87" t="s">
        <v>15</v>
      </c>
      <c r="C776" s="134" t="s">
        <v>598</v>
      </c>
      <c r="D776" s="39"/>
      <c r="E776" s="159" t="s">
        <v>11</v>
      </c>
      <c r="F776" s="22" t="str">
        <f>IF(H776=-0.33,IF(H774=H$1,H774,""),"")</f>
        <v/>
      </c>
      <c r="G776" s="25"/>
      <c r="H776" s="23">
        <f t="shared" ref="H776" si="82">IF(H775=1,IF(H774=H$2,1,-0.33),0)</f>
        <v>0</v>
      </c>
    </row>
    <row r="777" spans="2:9" x14ac:dyDescent="0.25">
      <c r="B777" s="87" t="s">
        <v>15</v>
      </c>
      <c r="C777" s="134" t="s">
        <v>599</v>
      </c>
      <c r="D777" s="39"/>
      <c r="E777" s="159" t="s">
        <v>12</v>
      </c>
      <c r="F777" s="19"/>
      <c r="G777" s="25"/>
      <c r="H777" s="23"/>
    </row>
    <row r="778" spans="2:9" x14ac:dyDescent="0.25">
      <c r="B778" s="132"/>
      <c r="C778" s="17"/>
      <c r="D778" s="39"/>
      <c r="E778" s="159" t="s">
        <v>13</v>
      </c>
      <c r="F778" s="19"/>
      <c r="G778" s="18"/>
      <c r="H778" s="23"/>
    </row>
    <row r="779" spans="2:9" x14ac:dyDescent="0.25">
      <c r="B779" s="130" t="s">
        <v>561</v>
      </c>
      <c r="C779" s="131" t="s">
        <v>600</v>
      </c>
      <c r="D779" s="40"/>
      <c r="E779" s="13"/>
      <c r="F779" s="15"/>
      <c r="G779" s="27"/>
      <c r="H779" s="14"/>
      <c r="I779" s="16"/>
    </row>
    <row r="780" spans="2:9" ht="20.25" customHeight="1" x14ac:dyDescent="0.25">
      <c r="B780" s="87" t="s">
        <v>15</v>
      </c>
      <c r="C780" s="163" t="s">
        <v>322</v>
      </c>
      <c r="D780" s="39"/>
      <c r="E780" s="159" t="s">
        <v>9</v>
      </c>
      <c r="F780" s="19"/>
      <c r="G780" s="25"/>
      <c r="H780" s="20" t="b">
        <f>IF(D781="x",H$2,H$1)</f>
        <v>0</v>
      </c>
    </row>
    <row r="781" spans="2:9" ht="19.5" customHeight="1" x14ac:dyDescent="0.25">
      <c r="B781" s="87" t="s">
        <v>15</v>
      </c>
      <c r="C781" s="164" t="s">
        <v>601</v>
      </c>
      <c r="D781" s="39"/>
      <c r="E781" s="159" t="s">
        <v>10</v>
      </c>
      <c r="F781" s="21" t="str">
        <f>IF(H782=1,IF(H780=H$2,H780,""),"")</f>
        <v/>
      </c>
      <c r="G781" s="25"/>
      <c r="H781" s="20" t="str">
        <f>IF(E$785="comprobar",COUNTIF(D780:D784,"x"),"")</f>
        <v/>
      </c>
    </row>
    <row r="782" spans="2:9" ht="18" customHeight="1" x14ac:dyDescent="0.25">
      <c r="B782" s="87" t="s">
        <v>15</v>
      </c>
      <c r="C782" s="164" t="s">
        <v>602</v>
      </c>
      <c r="D782" s="39"/>
      <c r="E782" s="159" t="s">
        <v>11</v>
      </c>
      <c r="F782" s="22" t="str">
        <f>IF(H782=-0.33,IF(H780=H$1,H780,""),"")</f>
        <v/>
      </c>
      <c r="G782" s="25"/>
      <c r="H782" s="23">
        <f t="shared" ref="H782" si="83">IF(H781=1,IF(H780=H$2,1,-0.33),0)</f>
        <v>0</v>
      </c>
    </row>
    <row r="783" spans="2:9" ht="15.75" customHeight="1" x14ac:dyDescent="0.25">
      <c r="B783" s="87" t="s">
        <v>15</v>
      </c>
      <c r="C783" s="164" t="s">
        <v>603</v>
      </c>
      <c r="D783" s="39"/>
      <c r="E783" s="159" t="s">
        <v>12</v>
      </c>
      <c r="F783" s="19"/>
      <c r="G783" s="25"/>
      <c r="H783" s="23"/>
    </row>
    <row r="784" spans="2:9" x14ac:dyDescent="0.25">
      <c r="B784" s="132"/>
      <c r="C784" s="17"/>
      <c r="D784" s="39"/>
      <c r="E784" s="159" t="s">
        <v>13</v>
      </c>
      <c r="F784" s="19"/>
      <c r="G784" s="18"/>
      <c r="H784" s="23"/>
    </row>
    <row r="785" spans="2:8" x14ac:dyDescent="0.25">
      <c r="B785" s="132"/>
      <c r="C785" s="17"/>
      <c r="D785" s="49"/>
      <c r="E785" s="55"/>
      <c r="F785" s="19"/>
      <c r="G785" s="18"/>
      <c r="H785" s="23"/>
    </row>
    <row r="786" spans="2:8" x14ac:dyDescent="0.25">
      <c r="B786" s="43"/>
      <c r="C786" s="8"/>
      <c r="D786" s="49"/>
      <c r="E786" s="60"/>
      <c r="F786" s="29" t="s">
        <v>8</v>
      </c>
      <c r="G786" s="18" t="s">
        <v>6</v>
      </c>
      <c r="H786" s="18" t="s">
        <v>7</v>
      </c>
    </row>
    <row r="787" spans="2:8" ht="19.5" x14ac:dyDescent="0.25">
      <c r="B787" s="43"/>
      <c r="C787" s="8"/>
      <c r="D787" s="170"/>
      <c r="E787" s="170"/>
      <c r="F787" s="30" t="str">
        <f>IF(E$785="comprobar",H710+H704+H698+H692+H686+H680+H674+H668+H716+H722+H728+H734+H740+H746+H752+H758+H764+H770+H776+H782,"")</f>
        <v/>
      </c>
      <c r="G787" s="18">
        <f>20/2</f>
        <v>10</v>
      </c>
      <c r="H787" s="18"/>
    </row>
    <row r="788" spans="2:8" ht="16.5" thickBot="1" x14ac:dyDescent="0.3">
      <c r="B788" s="67"/>
      <c r="C788" s="68"/>
      <c r="D788" s="32"/>
      <c r="E788" s="9"/>
      <c r="F788" s="33"/>
      <c r="G788" s="18"/>
      <c r="H788" s="18"/>
    </row>
  </sheetData>
  <mergeCells count="7">
    <mergeCell ref="C6:F6"/>
    <mergeCell ref="C71:F71"/>
    <mergeCell ref="D787:E787"/>
    <mergeCell ref="D660:E660"/>
    <mergeCell ref="D596:E596"/>
    <mergeCell ref="D531:E531"/>
    <mergeCell ref="D69:E69"/>
  </mergeCells>
  <phoneticPr fontId="8" type="noConversion"/>
  <hyperlinks>
    <hyperlink ref="C215" r:id="rId1"/>
    <hyperlink ref="C216" r:id="rId2"/>
    <hyperlink ref="C217" r:id="rId3"/>
  </hyperlinks>
  <printOptions horizontalCentered="1" verticalCentered="1"/>
  <pageMargins left="0" right="0" top="0" bottom="0" header="0" footer="0"/>
  <pageSetup paperSize="9" scale="43" fitToHeight="2" orientation="portrait" horizontalDpi="4294967293" verticalDpi="1200" r:id="rId4"/>
  <headerFooter>
    <oddHeader>&amp;C&amp;"Calibri,Normal"&amp;K000000=A1</oddHeader>
  </headerFooter>
  <drawing r:id="rId5"/>
  <legacyDrawing r:id="rId6"/>
  <mc:AlternateContent xmlns:mc="http://schemas.openxmlformats.org/markup-compatibility/2006">
    <mc:Choice Requires="x14">
      <controls>
        <mc:AlternateContent xmlns:mc="http://schemas.openxmlformats.org/markup-compatibility/2006">
          <mc:Choice Requires="x14">
            <control shapeId="1029" r:id="rId7" name="Button 5">
              <controlPr defaultSize="0" autoFill="0" autoPict="0" macro="[0]!tema1" altText="Borrar">
                <anchor moveWithCells="1" sizeWithCells="1">
                  <from>
                    <xdr:col>2</xdr:col>
                    <xdr:colOff>9305925</xdr:colOff>
                    <xdr:row>67</xdr:row>
                    <xdr:rowOff>152400</xdr:rowOff>
                  </from>
                  <to>
                    <xdr:col>2</xdr:col>
                    <xdr:colOff>9915525</xdr:colOff>
                    <xdr:row>68</xdr:row>
                    <xdr:rowOff>228600</xdr:rowOff>
                  </to>
                </anchor>
              </controlPr>
            </control>
          </mc:Choice>
        </mc:AlternateContent>
        <mc:AlternateContent xmlns:mc="http://schemas.openxmlformats.org/markup-compatibility/2006">
          <mc:Choice Requires="x14">
            <control shapeId="1031" r:id="rId8" name="Button 7">
              <controlPr defaultSize="0" autoFill="0" autoPict="0" macro="[0]!tema2" altText="Borrar">
                <anchor moveWithCells="1" sizeWithCells="1">
                  <from>
                    <xdr:col>2</xdr:col>
                    <xdr:colOff>9267825</xdr:colOff>
                    <xdr:row>133</xdr:row>
                    <xdr:rowOff>28575</xdr:rowOff>
                  </from>
                  <to>
                    <xdr:col>2</xdr:col>
                    <xdr:colOff>9858375</xdr:colOff>
                    <xdr:row>134</xdr:row>
                    <xdr:rowOff>104775</xdr:rowOff>
                  </to>
                </anchor>
              </controlPr>
            </control>
          </mc:Choice>
        </mc:AlternateContent>
        <mc:AlternateContent xmlns:mc="http://schemas.openxmlformats.org/markup-compatibility/2006">
          <mc:Choice Requires="x14">
            <control shapeId="1032" r:id="rId9" name="Button 8">
              <controlPr defaultSize="0" autoFill="0" autoPict="0" macro="[0]!tema3" altText="Borrar">
                <anchor moveWithCells="1" sizeWithCells="1">
                  <from>
                    <xdr:col>2</xdr:col>
                    <xdr:colOff>9191625</xdr:colOff>
                    <xdr:row>198</xdr:row>
                    <xdr:rowOff>9525</xdr:rowOff>
                  </from>
                  <to>
                    <xdr:col>2</xdr:col>
                    <xdr:colOff>9763125</xdr:colOff>
                    <xdr:row>199</xdr:row>
                    <xdr:rowOff>38100</xdr:rowOff>
                  </to>
                </anchor>
              </controlPr>
            </control>
          </mc:Choice>
        </mc:AlternateContent>
        <mc:AlternateContent xmlns:mc="http://schemas.openxmlformats.org/markup-compatibility/2006">
          <mc:Choice Requires="x14">
            <control shapeId="1034" r:id="rId10" name="Button 10">
              <controlPr defaultSize="0" autoFill="0" autoPict="0" macro="[0]!tema4" altText="Borrar">
                <anchor moveWithCells="1" sizeWithCells="1">
                  <from>
                    <xdr:col>2</xdr:col>
                    <xdr:colOff>9229725</xdr:colOff>
                    <xdr:row>262</xdr:row>
                    <xdr:rowOff>190500</xdr:rowOff>
                  </from>
                  <to>
                    <xdr:col>2</xdr:col>
                    <xdr:colOff>9801225</xdr:colOff>
                    <xdr:row>264</xdr:row>
                    <xdr:rowOff>76200</xdr:rowOff>
                  </to>
                </anchor>
              </controlPr>
            </control>
          </mc:Choice>
        </mc:AlternateContent>
        <mc:AlternateContent xmlns:mc="http://schemas.openxmlformats.org/markup-compatibility/2006">
          <mc:Choice Requires="x14">
            <control shapeId="1035" r:id="rId11" name="Button 11">
              <controlPr defaultSize="0" autoFill="0" autoPict="0" macro="[0]!tema5" altText="Borrar">
                <anchor moveWithCells="1" sizeWithCells="1">
                  <from>
                    <xdr:col>2</xdr:col>
                    <xdr:colOff>9410700</xdr:colOff>
                    <xdr:row>330</xdr:row>
                    <xdr:rowOff>47625</xdr:rowOff>
                  </from>
                  <to>
                    <xdr:col>2</xdr:col>
                    <xdr:colOff>9991725</xdr:colOff>
                    <xdr:row>331</xdr:row>
                    <xdr:rowOff>228600</xdr:rowOff>
                  </to>
                </anchor>
              </controlPr>
            </control>
          </mc:Choice>
        </mc:AlternateContent>
        <mc:AlternateContent xmlns:mc="http://schemas.openxmlformats.org/markup-compatibility/2006">
          <mc:Choice Requires="x14">
            <control shapeId="1036" r:id="rId12" name="Button 12">
              <controlPr defaultSize="0" autoFill="0" autoPict="0" macro="[0]!tema6" altText="Borrar">
                <anchor moveWithCells="1" sizeWithCells="1">
                  <from>
                    <xdr:col>2</xdr:col>
                    <xdr:colOff>9229725</xdr:colOff>
                    <xdr:row>398</xdr:row>
                    <xdr:rowOff>0</xdr:rowOff>
                  </from>
                  <to>
                    <xdr:col>2</xdr:col>
                    <xdr:colOff>9820275</xdr:colOff>
                    <xdr:row>399</xdr:row>
                    <xdr:rowOff>0</xdr:rowOff>
                  </to>
                </anchor>
              </controlPr>
            </control>
          </mc:Choice>
        </mc:AlternateContent>
        <mc:AlternateContent xmlns:mc="http://schemas.openxmlformats.org/markup-compatibility/2006">
          <mc:Choice Requires="x14">
            <control shapeId="1037" r:id="rId13" name="Button 13">
              <controlPr defaultSize="0" autoFill="0" autoPict="0" macro="[0]!tema7" altText="Borrar">
                <anchor moveWithCells="1" sizeWithCells="1">
                  <from>
                    <xdr:col>2</xdr:col>
                    <xdr:colOff>9172575</xdr:colOff>
                    <xdr:row>462</xdr:row>
                    <xdr:rowOff>190500</xdr:rowOff>
                  </from>
                  <to>
                    <xdr:col>2</xdr:col>
                    <xdr:colOff>9791700</xdr:colOff>
                    <xdr:row>463</xdr:row>
                    <xdr:rowOff>238125</xdr:rowOff>
                  </to>
                </anchor>
              </controlPr>
            </control>
          </mc:Choice>
        </mc:AlternateContent>
        <mc:AlternateContent xmlns:mc="http://schemas.openxmlformats.org/markup-compatibility/2006">
          <mc:Choice Requires="x14">
            <control shapeId="1038" r:id="rId14" name="Button 14">
              <controlPr defaultSize="0" autoFill="0" autoPict="0" macro="[0]!compro7">
                <anchor moveWithCells="1" sizeWithCells="1">
                  <from>
                    <xdr:col>2</xdr:col>
                    <xdr:colOff>7781925</xdr:colOff>
                    <xdr:row>462</xdr:row>
                    <xdr:rowOff>200025</xdr:rowOff>
                  </from>
                  <to>
                    <xdr:col>2</xdr:col>
                    <xdr:colOff>9096375</xdr:colOff>
                    <xdr:row>463</xdr:row>
                    <xdr:rowOff>238125</xdr:rowOff>
                  </to>
                </anchor>
              </controlPr>
            </control>
          </mc:Choice>
        </mc:AlternateContent>
        <mc:AlternateContent xmlns:mc="http://schemas.openxmlformats.org/markup-compatibility/2006">
          <mc:Choice Requires="x14">
            <control shapeId="1039" r:id="rId15" name="Button 15">
              <controlPr defaultSize="0" autoFill="0" autoPict="0" macro="[0]!Compro6">
                <anchor moveWithCells="1" sizeWithCells="1">
                  <from>
                    <xdr:col>2</xdr:col>
                    <xdr:colOff>7781925</xdr:colOff>
                    <xdr:row>398</xdr:row>
                    <xdr:rowOff>9525</xdr:rowOff>
                  </from>
                  <to>
                    <xdr:col>2</xdr:col>
                    <xdr:colOff>9096375</xdr:colOff>
                    <xdr:row>399</xdr:row>
                    <xdr:rowOff>0</xdr:rowOff>
                  </to>
                </anchor>
              </controlPr>
            </control>
          </mc:Choice>
        </mc:AlternateContent>
        <mc:AlternateContent xmlns:mc="http://schemas.openxmlformats.org/markup-compatibility/2006">
          <mc:Choice Requires="x14">
            <control shapeId="1040" r:id="rId16" name="Button 16">
              <controlPr defaultSize="0" autoFill="0" autoPict="0" macro="[0]!Compro5">
                <anchor moveWithCells="1" sizeWithCells="1">
                  <from>
                    <xdr:col>2</xdr:col>
                    <xdr:colOff>7991475</xdr:colOff>
                    <xdr:row>330</xdr:row>
                    <xdr:rowOff>66675</xdr:rowOff>
                  </from>
                  <to>
                    <xdr:col>2</xdr:col>
                    <xdr:colOff>9296400</xdr:colOff>
                    <xdr:row>331</xdr:row>
                    <xdr:rowOff>219075</xdr:rowOff>
                  </to>
                </anchor>
              </controlPr>
            </control>
          </mc:Choice>
        </mc:AlternateContent>
        <mc:AlternateContent xmlns:mc="http://schemas.openxmlformats.org/markup-compatibility/2006">
          <mc:Choice Requires="x14">
            <control shapeId="1041" r:id="rId17" name="Button 17">
              <controlPr defaultSize="0" autoFill="0" autoPict="0" macro="[0]!Compro4">
                <anchor moveWithCells="1" sizeWithCells="1">
                  <from>
                    <xdr:col>2</xdr:col>
                    <xdr:colOff>7781925</xdr:colOff>
                    <xdr:row>262</xdr:row>
                    <xdr:rowOff>190500</xdr:rowOff>
                  </from>
                  <to>
                    <xdr:col>2</xdr:col>
                    <xdr:colOff>9096375</xdr:colOff>
                    <xdr:row>264</xdr:row>
                    <xdr:rowOff>38100</xdr:rowOff>
                  </to>
                </anchor>
              </controlPr>
            </control>
          </mc:Choice>
        </mc:AlternateContent>
        <mc:AlternateContent xmlns:mc="http://schemas.openxmlformats.org/markup-compatibility/2006">
          <mc:Choice Requires="x14">
            <control shapeId="1042" r:id="rId18" name="Button 18">
              <controlPr defaultSize="0" autoFill="0" autoPict="0" macro="[0]!Compro3">
                <anchor moveWithCells="1" sizeWithCells="1">
                  <from>
                    <xdr:col>2</xdr:col>
                    <xdr:colOff>7781925</xdr:colOff>
                    <xdr:row>198</xdr:row>
                    <xdr:rowOff>28575</xdr:rowOff>
                  </from>
                  <to>
                    <xdr:col>2</xdr:col>
                    <xdr:colOff>9096375</xdr:colOff>
                    <xdr:row>198</xdr:row>
                    <xdr:rowOff>257175</xdr:rowOff>
                  </to>
                </anchor>
              </controlPr>
            </control>
          </mc:Choice>
        </mc:AlternateContent>
        <mc:AlternateContent xmlns:mc="http://schemas.openxmlformats.org/markup-compatibility/2006">
          <mc:Choice Requires="x14">
            <control shapeId="1043" r:id="rId19" name="Button 19">
              <controlPr defaultSize="0" autoFill="0" autoPict="0" macro="[0]!Compro2">
                <anchor moveWithCells="1" sizeWithCells="1">
                  <from>
                    <xdr:col>2</xdr:col>
                    <xdr:colOff>7781925</xdr:colOff>
                    <xdr:row>133</xdr:row>
                    <xdr:rowOff>38100</xdr:rowOff>
                  </from>
                  <to>
                    <xdr:col>2</xdr:col>
                    <xdr:colOff>9096375</xdr:colOff>
                    <xdr:row>134</xdr:row>
                    <xdr:rowOff>66675</xdr:rowOff>
                  </to>
                </anchor>
              </controlPr>
            </control>
          </mc:Choice>
        </mc:AlternateContent>
        <mc:AlternateContent xmlns:mc="http://schemas.openxmlformats.org/markup-compatibility/2006">
          <mc:Choice Requires="x14">
            <control shapeId="1044" r:id="rId20" name="Button 20">
              <controlPr defaultSize="0" autoFill="0" autoPict="0" macro="[0]!Compro1">
                <anchor moveWithCells="1" sizeWithCells="1">
                  <from>
                    <xdr:col>2</xdr:col>
                    <xdr:colOff>7781925</xdr:colOff>
                    <xdr:row>67</xdr:row>
                    <xdr:rowOff>180975</xdr:rowOff>
                  </from>
                  <to>
                    <xdr:col>2</xdr:col>
                    <xdr:colOff>9096375</xdr:colOff>
                    <xdr:row>68</xdr:row>
                    <xdr:rowOff>190500</xdr:rowOff>
                  </to>
                </anchor>
              </controlPr>
            </control>
          </mc:Choice>
        </mc:AlternateContent>
        <mc:AlternateContent xmlns:mc="http://schemas.openxmlformats.org/markup-compatibility/2006">
          <mc:Choice Requires="x14">
            <control shapeId="1155" r:id="rId21" name="Button 131">
              <controlPr defaultSize="0" autoFill="0" autoPict="0" macro="[0]!Tema8" altText="Borrar">
                <anchor moveWithCells="1" sizeWithCells="1">
                  <from>
                    <xdr:col>2</xdr:col>
                    <xdr:colOff>9953625</xdr:colOff>
                    <xdr:row>529</xdr:row>
                    <xdr:rowOff>76200</xdr:rowOff>
                  </from>
                  <to>
                    <xdr:col>2</xdr:col>
                    <xdr:colOff>10563225</xdr:colOff>
                    <xdr:row>530</xdr:row>
                    <xdr:rowOff>66675</xdr:rowOff>
                  </to>
                </anchor>
              </controlPr>
            </control>
          </mc:Choice>
        </mc:AlternateContent>
        <mc:AlternateContent xmlns:mc="http://schemas.openxmlformats.org/markup-compatibility/2006">
          <mc:Choice Requires="x14">
            <control shapeId="1156" r:id="rId22" name="Button 132">
              <controlPr defaultSize="0" autoFill="0" autoPict="0" macro="[0]!Compro8">
                <anchor moveWithCells="1" sizeWithCells="1">
                  <from>
                    <xdr:col>2</xdr:col>
                    <xdr:colOff>8572500</xdr:colOff>
                    <xdr:row>529</xdr:row>
                    <xdr:rowOff>76200</xdr:rowOff>
                  </from>
                  <to>
                    <xdr:col>2</xdr:col>
                    <xdr:colOff>9877425</xdr:colOff>
                    <xdr:row>530</xdr:row>
                    <xdr:rowOff>66675</xdr:rowOff>
                  </to>
                </anchor>
              </controlPr>
            </control>
          </mc:Choice>
        </mc:AlternateContent>
        <mc:AlternateContent xmlns:mc="http://schemas.openxmlformats.org/markup-compatibility/2006">
          <mc:Choice Requires="x14">
            <control shapeId="1158" r:id="rId23" name="Button 134">
              <controlPr defaultSize="0" autoFill="0" autoPict="0" macro="[0]!Módulo8.PEC1_BORRAR" altText="Borrar">
                <anchor moveWithCells="1" sizeWithCells="1">
                  <from>
                    <xdr:col>2</xdr:col>
                    <xdr:colOff>9953625</xdr:colOff>
                    <xdr:row>594</xdr:row>
                    <xdr:rowOff>76200</xdr:rowOff>
                  </from>
                  <to>
                    <xdr:col>2</xdr:col>
                    <xdr:colOff>10563225</xdr:colOff>
                    <xdr:row>595</xdr:row>
                    <xdr:rowOff>66675</xdr:rowOff>
                  </to>
                </anchor>
              </controlPr>
            </control>
          </mc:Choice>
        </mc:AlternateContent>
        <mc:AlternateContent xmlns:mc="http://schemas.openxmlformats.org/markup-compatibility/2006">
          <mc:Choice Requires="x14">
            <control shapeId="1159" r:id="rId24" name="Button 135">
              <controlPr defaultSize="0" autoFill="0" autoPict="0" macro="[0]!Módulo8.PEC1_COMPRO">
                <anchor moveWithCells="1" sizeWithCells="1">
                  <from>
                    <xdr:col>2</xdr:col>
                    <xdr:colOff>8572500</xdr:colOff>
                    <xdr:row>594</xdr:row>
                    <xdr:rowOff>76200</xdr:rowOff>
                  </from>
                  <to>
                    <xdr:col>2</xdr:col>
                    <xdr:colOff>9877425</xdr:colOff>
                    <xdr:row>595</xdr:row>
                    <xdr:rowOff>66675</xdr:rowOff>
                  </to>
                </anchor>
              </controlPr>
            </control>
          </mc:Choice>
        </mc:AlternateContent>
        <mc:AlternateContent xmlns:mc="http://schemas.openxmlformats.org/markup-compatibility/2006">
          <mc:Choice Requires="x14">
            <control shapeId="1160" r:id="rId25" name="Button 136">
              <controlPr defaultSize="0" autoFill="0" autoPict="0" macro="[0]!Módulo8.PEC2_BORRAR" altText="Borrar">
                <anchor moveWithCells="1" sizeWithCells="1">
                  <from>
                    <xdr:col>2</xdr:col>
                    <xdr:colOff>9953625</xdr:colOff>
                    <xdr:row>658</xdr:row>
                    <xdr:rowOff>76200</xdr:rowOff>
                  </from>
                  <to>
                    <xdr:col>2</xdr:col>
                    <xdr:colOff>10563225</xdr:colOff>
                    <xdr:row>659</xdr:row>
                    <xdr:rowOff>66675</xdr:rowOff>
                  </to>
                </anchor>
              </controlPr>
            </control>
          </mc:Choice>
        </mc:AlternateContent>
        <mc:AlternateContent xmlns:mc="http://schemas.openxmlformats.org/markup-compatibility/2006">
          <mc:Choice Requires="x14">
            <control shapeId="1161" r:id="rId26" name="Button 137">
              <controlPr defaultSize="0" autoFill="0" autoPict="0" macro="[0]!Módulo8.PEC2_COMPRO">
                <anchor moveWithCells="1" sizeWithCells="1">
                  <from>
                    <xdr:col>2</xdr:col>
                    <xdr:colOff>8572500</xdr:colOff>
                    <xdr:row>658</xdr:row>
                    <xdr:rowOff>76200</xdr:rowOff>
                  </from>
                  <to>
                    <xdr:col>2</xdr:col>
                    <xdr:colOff>9877425</xdr:colOff>
                    <xdr:row>659</xdr:row>
                    <xdr:rowOff>66675</xdr:rowOff>
                  </to>
                </anchor>
              </controlPr>
            </control>
          </mc:Choice>
        </mc:AlternateContent>
        <mc:AlternateContent xmlns:mc="http://schemas.openxmlformats.org/markup-compatibility/2006">
          <mc:Choice Requires="x14">
            <control shapeId="1162" r:id="rId27" name="Button 138">
              <controlPr defaultSize="0" autoFill="0" autoPict="0" macro="[0]!PEC3_BORRAR" altText="Borrar">
                <anchor moveWithCells="1" sizeWithCells="1">
                  <from>
                    <xdr:col>2</xdr:col>
                    <xdr:colOff>9953625</xdr:colOff>
                    <xdr:row>785</xdr:row>
                    <xdr:rowOff>76200</xdr:rowOff>
                  </from>
                  <to>
                    <xdr:col>2</xdr:col>
                    <xdr:colOff>10563225</xdr:colOff>
                    <xdr:row>786</xdr:row>
                    <xdr:rowOff>66675</xdr:rowOff>
                  </to>
                </anchor>
              </controlPr>
            </control>
          </mc:Choice>
        </mc:AlternateContent>
        <mc:AlternateContent xmlns:mc="http://schemas.openxmlformats.org/markup-compatibility/2006">
          <mc:Choice Requires="x14">
            <control shapeId="1163" r:id="rId28" name="Button 139">
              <controlPr defaultSize="0" autoFill="0" autoPict="0" macro="[0]!PEC3_COMPRO">
                <anchor moveWithCells="1" sizeWithCells="1">
                  <from>
                    <xdr:col>2</xdr:col>
                    <xdr:colOff>8572500</xdr:colOff>
                    <xdr:row>785</xdr:row>
                    <xdr:rowOff>76200</xdr:rowOff>
                  </from>
                  <to>
                    <xdr:col>2</xdr:col>
                    <xdr:colOff>9877425</xdr:colOff>
                    <xdr:row>786</xdr:row>
                    <xdr:rowOff>66675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vt:i4>
      </vt:variant>
      <vt:variant>
        <vt:lpstr>Rangos con nombre</vt:lpstr>
      </vt:variant>
      <vt:variant>
        <vt:i4>2</vt:i4>
      </vt:variant>
    </vt:vector>
  </HeadingPairs>
  <TitlesOfParts>
    <vt:vector size="3" baseType="lpstr">
      <vt:lpstr>SRI</vt:lpstr>
      <vt:lpstr>SRI!Área_de_impresión</vt:lpstr>
      <vt:lpstr>SRI!OLE_LINK2</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Usuario de Microsoft Office</dc:creator>
  <cp:keywords/>
  <dc:description/>
  <cp:lastModifiedBy>Miguel Aparicio Vicente</cp:lastModifiedBy>
  <cp:revision/>
  <dcterms:created xsi:type="dcterms:W3CDTF">2016-11-17T08:46:58Z</dcterms:created>
  <dcterms:modified xsi:type="dcterms:W3CDTF">2018-05-29T17:35:16Z</dcterms:modified>
  <cp:category/>
  <cp:contentStatus/>
</cp:coreProperties>
</file>