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D:\ASIR_UNED_AVANZADO\"/>
    </mc:Choice>
  </mc:AlternateContent>
  <xr:revisionPtr revIDLastSave="0" documentId="10_ncr:100000_{EB30C3E8-842D-4BC6-972F-4A2E4BD137BC}" xr6:coauthVersionLast="31" xr6:coauthVersionMax="31" xr10:uidLastSave="{00000000-0000-0000-0000-000000000000}"/>
  <bookViews>
    <workbookView xWindow="0" yWindow="0" windowWidth="5340" windowHeight="0" tabRatio="500" xr2:uid="{00000000-000D-0000-FFFF-FFFF00000000}"/>
  </bookViews>
  <sheets>
    <sheet name="SRI" sheetId="6" r:id="rId1"/>
  </sheets>
  <definedNames>
    <definedName name="_xlnm.Print_Area" localSheetId="0">SRI!$B$1:$H$70</definedName>
    <definedName name="OLE_LINK2" localSheetId="0">SRI!$B$72</definedName>
  </definedNames>
  <calcPr calcId="17901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774" i="6" l="1"/>
  <c r="H768" i="6"/>
  <c r="H762" i="6"/>
  <c r="H750" i="6"/>
  <c r="H738" i="6"/>
  <c r="H732" i="6"/>
  <c r="H726" i="6"/>
  <c r="H720" i="6"/>
  <c r="H714" i="6"/>
  <c r="H708" i="6"/>
  <c r="H702" i="6"/>
  <c r="H690" i="6"/>
  <c r="H684" i="6"/>
  <c r="H672" i="6"/>
  <c r="H666" i="6"/>
  <c r="H290" i="6" l="1"/>
  <c r="H769" i="6" l="1"/>
  <c r="H770" i="6" s="1"/>
  <c r="F770" i="6" s="1"/>
  <c r="H775" i="6"/>
  <c r="H776" i="6" s="1"/>
  <c r="H781" i="6"/>
  <c r="H782" i="6" s="1"/>
  <c r="H780" i="6"/>
  <c r="H763" i="6"/>
  <c r="H764" i="6" s="1"/>
  <c r="F763" i="6" s="1"/>
  <c r="H757" i="6"/>
  <c r="H758" i="6" s="1"/>
  <c r="H751" i="6"/>
  <c r="H752" i="6" s="1"/>
  <c r="F751" i="6" s="1"/>
  <c r="H745" i="6"/>
  <c r="H746" i="6" s="1"/>
  <c r="H739" i="6"/>
  <c r="H740" i="6" s="1"/>
  <c r="F739" i="6" s="1"/>
  <c r="H733" i="6"/>
  <c r="H734" i="6" s="1"/>
  <c r="H727" i="6"/>
  <c r="H728" i="6" s="1"/>
  <c r="F727" i="6" s="1"/>
  <c r="H721" i="6"/>
  <c r="H722" i="6" s="1"/>
  <c r="H715" i="6"/>
  <c r="H716" i="6" s="1"/>
  <c r="F715" i="6" s="1"/>
  <c r="H709" i="6"/>
  <c r="H710" i="6" s="1"/>
  <c r="H703" i="6"/>
  <c r="H697" i="6"/>
  <c r="H698" i="6" s="1"/>
  <c r="H691" i="6"/>
  <c r="H692" i="6" s="1"/>
  <c r="F691" i="6" s="1"/>
  <c r="H685" i="6"/>
  <c r="H686" i="6" s="1"/>
  <c r="H679" i="6"/>
  <c r="H680" i="6" s="1"/>
  <c r="F679" i="6" s="1"/>
  <c r="H673" i="6"/>
  <c r="H674" i="6" s="1"/>
  <c r="H667" i="6"/>
  <c r="H668" i="6" s="1"/>
  <c r="G787" i="6"/>
  <c r="H756" i="6"/>
  <c r="H744" i="6"/>
  <c r="H704" i="6"/>
  <c r="F703" i="6" s="1"/>
  <c r="H696" i="6"/>
  <c r="H678" i="6"/>
  <c r="H109" i="6"/>
  <c r="H571" i="6"/>
  <c r="H565" i="6"/>
  <c r="H559" i="6"/>
  <c r="H553" i="6"/>
  <c r="H653" i="6"/>
  <c r="H641" i="6"/>
  <c r="H635" i="6"/>
  <c r="H617" i="6"/>
  <c r="H611" i="6"/>
  <c r="H605" i="6"/>
  <c r="H654" i="6"/>
  <c r="H648" i="6"/>
  <c r="H642" i="6"/>
  <c r="H636" i="6"/>
  <c r="H630" i="6"/>
  <c r="H624" i="6"/>
  <c r="H625" i="6" s="1"/>
  <c r="H618" i="6"/>
  <c r="H619" i="6" s="1"/>
  <c r="H612" i="6"/>
  <c r="H606" i="6"/>
  <c r="H599" i="6"/>
  <c r="H600" i="6"/>
  <c r="H601" i="6" s="1"/>
  <c r="H607" i="6"/>
  <c r="F606" i="6" s="1"/>
  <c r="H613" i="6"/>
  <c r="F613" i="6" s="1"/>
  <c r="F612" i="6"/>
  <c r="H623" i="6"/>
  <c r="H629" i="6"/>
  <c r="H631" i="6"/>
  <c r="F630" i="6"/>
  <c r="F631" i="6"/>
  <c r="H637" i="6"/>
  <c r="F636" i="6"/>
  <c r="F637" i="6"/>
  <c r="H643" i="6"/>
  <c r="F642" i="6" s="1"/>
  <c r="H647" i="6"/>
  <c r="H649" i="6"/>
  <c r="F648" i="6" s="1"/>
  <c r="H655" i="6"/>
  <c r="F655" i="6" s="1"/>
  <c r="F660" i="6"/>
  <c r="G660" i="6"/>
  <c r="H536" i="6"/>
  <c r="H537" i="6" s="1"/>
  <c r="H542" i="6"/>
  <c r="H548" i="6"/>
  <c r="H549" i="6" s="1"/>
  <c r="H554" i="6"/>
  <c r="H560" i="6"/>
  <c r="H566" i="6"/>
  <c r="H567" i="6" s="1"/>
  <c r="H572" i="6"/>
  <c r="H573" i="6" s="1"/>
  <c r="H578" i="6"/>
  <c r="H584" i="6"/>
  <c r="H590" i="6"/>
  <c r="H591" i="6" s="1"/>
  <c r="H577" i="6"/>
  <c r="H579" i="6"/>
  <c r="H561" i="6"/>
  <c r="F561" i="6" s="1"/>
  <c r="H555" i="6"/>
  <c r="H547" i="6"/>
  <c r="H541" i="6"/>
  <c r="H543" i="6"/>
  <c r="F543" i="6" s="1"/>
  <c r="H535" i="6"/>
  <c r="H583" i="6"/>
  <c r="H585" i="6"/>
  <c r="H589" i="6"/>
  <c r="F596" i="6"/>
  <c r="G596" i="6"/>
  <c r="F585" i="6"/>
  <c r="F584" i="6"/>
  <c r="H404" i="6"/>
  <c r="H405" i="6" s="1"/>
  <c r="H403" i="6"/>
  <c r="H410" i="6"/>
  <c r="H411" i="6" s="1"/>
  <c r="F410" i="6" s="1"/>
  <c r="H409" i="6"/>
  <c r="H416" i="6"/>
  <c r="H417" i="6" s="1"/>
  <c r="F417" i="6" s="1"/>
  <c r="H415" i="6"/>
  <c r="H422" i="6"/>
  <c r="H423" i="6" s="1"/>
  <c r="H421" i="6"/>
  <c r="H428" i="6"/>
  <c r="H427" i="6"/>
  <c r="H429" i="6"/>
  <c r="F429" i="6" s="1"/>
  <c r="H434" i="6"/>
  <c r="H435" i="6" s="1"/>
  <c r="H433" i="6"/>
  <c r="H440" i="6"/>
  <c r="H441" i="6" s="1"/>
  <c r="H439" i="6"/>
  <c r="H446" i="6"/>
  <c r="H445" i="6"/>
  <c r="H447" i="6"/>
  <c r="F447" i="6" s="1"/>
  <c r="H452" i="6"/>
  <c r="H453" i="6" s="1"/>
  <c r="H451" i="6"/>
  <c r="H458" i="6"/>
  <c r="H459" i="6" s="1"/>
  <c r="F458" i="6" s="1"/>
  <c r="H457" i="6"/>
  <c r="F464" i="6"/>
  <c r="F465" i="6" s="1"/>
  <c r="H393" i="6"/>
  <c r="H394" i="6" s="1"/>
  <c r="F393" i="6" s="1"/>
  <c r="H392" i="6"/>
  <c r="H387" i="6"/>
  <c r="H388" i="6" s="1"/>
  <c r="F388" i="6" s="1"/>
  <c r="H386" i="6"/>
  <c r="H381" i="6"/>
  <c r="H382" i="6" s="1"/>
  <c r="H380" i="6"/>
  <c r="H375" i="6"/>
  <c r="H374" i="6"/>
  <c r="H376" i="6"/>
  <c r="F375" i="6" s="1"/>
  <c r="H369" i="6"/>
  <c r="H370" i="6" s="1"/>
  <c r="F369" i="6" s="1"/>
  <c r="H368" i="6"/>
  <c r="H363" i="6"/>
  <c r="H364" i="6" s="1"/>
  <c r="H362" i="6"/>
  <c r="H357" i="6"/>
  <c r="H358" i="6" s="1"/>
  <c r="H356" i="6"/>
  <c r="H351" i="6"/>
  <c r="H352" i="6" s="1"/>
  <c r="H350" i="6"/>
  <c r="H345" i="6"/>
  <c r="H346" i="6" s="1"/>
  <c r="F345" i="6" s="1"/>
  <c r="H344" i="6"/>
  <c r="H339" i="6"/>
  <c r="H340" i="6" s="1"/>
  <c r="F340" i="6" s="1"/>
  <c r="H338" i="6"/>
  <c r="F399" i="6"/>
  <c r="H327" i="6"/>
  <c r="H328" i="6" s="1"/>
  <c r="F328" i="6" s="1"/>
  <c r="H326" i="6"/>
  <c r="H321" i="6"/>
  <c r="H322" i="6" s="1"/>
  <c r="H320" i="6"/>
  <c r="H315" i="6"/>
  <c r="H314" i="6"/>
  <c r="H316" i="6"/>
  <c r="F315" i="6" s="1"/>
  <c r="H309" i="6"/>
  <c r="H310" i="6" s="1"/>
  <c r="F310" i="6" s="1"/>
  <c r="H308" i="6"/>
  <c r="H303" i="6"/>
  <c r="H304" i="6" s="1"/>
  <c r="F303" i="6" s="1"/>
  <c r="H302" i="6"/>
  <c r="H297" i="6"/>
  <c r="H296" i="6"/>
  <c r="H298" i="6"/>
  <c r="F297" i="6" s="1"/>
  <c r="H291" i="6"/>
  <c r="H292" i="6" s="1"/>
  <c r="H285" i="6"/>
  <c r="H284" i="6"/>
  <c r="H286" i="6"/>
  <c r="F285" i="6" s="1"/>
  <c r="H279" i="6"/>
  <c r="H280" i="6" s="1"/>
  <c r="F280" i="6" s="1"/>
  <c r="H278" i="6"/>
  <c r="H272" i="6"/>
  <c r="H273" i="6" s="1"/>
  <c r="F273" i="6" s="1"/>
  <c r="H271" i="6"/>
  <c r="H511" i="6"/>
  <c r="H512" i="6" s="1"/>
  <c r="F512" i="6" s="1"/>
  <c r="H510" i="6"/>
  <c r="H505" i="6"/>
  <c r="H504" i="6"/>
  <c r="H506" i="6"/>
  <c r="H499" i="6"/>
  <c r="H500" i="6" s="1"/>
  <c r="H498" i="6"/>
  <c r="H493" i="6"/>
  <c r="H494" i="6" s="1"/>
  <c r="F494" i="6" s="1"/>
  <c r="H492" i="6"/>
  <c r="H487" i="6"/>
  <c r="H488" i="6" s="1"/>
  <c r="H486" i="6"/>
  <c r="H481" i="6"/>
  <c r="H482" i="6" s="1"/>
  <c r="H480" i="6"/>
  <c r="H475" i="6"/>
  <c r="H474" i="6"/>
  <c r="H476" i="6"/>
  <c r="F476" i="6" s="1"/>
  <c r="H469" i="6"/>
  <c r="H470" i="6" s="1"/>
  <c r="F470" i="6" s="1"/>
  <c r="H468" i="6"/>
  <c r="H518" i="6"/>
  <c r="H519" i="6" s="1"/>
  <c r="F518" i="6" s="1"/>
  <c r="H517" i="6"/>
  <c r="H525" i="6"/>
  <c r="H524" i="6"/>
  <c r="H526" i="6"/>
  <c r="F526" i="6" s="1"/>
  <c r="F531" i="6"/>
  <c r="H258" i="6"/>
  <c r="H259" i="6" s="1"/>
  <c r="F258" i="6" s="1"/>
  <c r="H257" i="6"/>
  <c r="H252" i="6"/>
  <c r="H251" i="6"/>
  <c r="H253" i="6"/>
  <c r="F252" i="6" s="1"/>
  <c r="H246" i="6"/>
  <c r="H247" i="6" s="1"/>
  <c r="F246" i="6" s="1"/>
  <c r="H245" i="6"/>
  <c r="H240" i="6"/>
  <c r="H241" i="6" s="1"/>
  <c r="F241" i="6" s="1"/>
  <c r="H239" i="6"/>
  <c r="H234" i="6"/>
  <c r="H233" i="6"/>
  <c r="H235" i="6"/>
  <c r="F234" i="6" s="1"/>
  <c r="H228" i="6"/>
  <c r="H229" i="6" s="1"/>
  <c r="H222" i="6"/>
  <c r="H223" i="6" s="1"/>
  <c r="F223" i="6" s="1"/>
  <c r="H221" i="6"/>
  <c r="H216" i="6"/>
  <c r="H217" i="6" s="1"/>
  <c r="F216" i="6" s="1"/>
  <c r="H215" i="6"/>
  <c r="H210" i="6"/>
  <c r="H211" i="6" s="1"/>
  <c r="F210" i="6" s="1"/>
  <c r="H209" i="6"/>
  <c r="H204" i="6"/>
  <c r="H205" i="6" s="1"/>
  <c r="F204" i="6" s="1"/>
  <c r="H203" i="6"/>
  <c r="F264" i="6"/>
  <c r="G531" i="6"/>
  <c r="F525" i="6"/>
  <c r="G464" i="6"/>
  <c r="F459" i="6"/>
  <c r="F446" i="6"/>
  <c r="F435" i="6"/>
  <c r="F434" i="6"/>
  <c r="H227" i="6"/>
  <c r="H192" i="6"/>
  <c r="H186" i="6"/>
  <c r="H180" i="6"/>
  <c r="H174" i="6"/>
  <c r="H168" i="6"/>
  <c r="H162" i="6"/>
  <c r="H150" i="6"/>
  <c r="H144" i="6"/>
  <c r="H138" i="6"/>
  <c r="H127" i="6"/>
  <c r="H121" i="6"/>
  <c r="H115" i="6"/>
  <c r="H103" i="6"/>
  <c r="H91" i="6"/>
  <c r="H85" i="6"/>
  <c r="H79" i="6"/>
  <c r="H56" i="6"/>
  <c r="H50" i="6"/>
  <c r="H44" i="6"/>
  <c r="H38" i="6"/>
  <c r="H26" i="6"/>
  <c r="H27" i="6"/>
  <c r="H28" i="6" s="1"/>
  <c r="H33" i="6"/>
  <c r="H34" i="6" s="1"/>
  <c r="F34" i="6" s="1"/>
  <c r="H32" i="6"/>
  <c r="H39" i="6"/>
  <c r="H40" i="6" s="1"/>
  <c r="H45" i="6"/>
  <c r="H46" i="6" s="1"/>
  <c r="H51" i="6"/>
  <c r="H52" i="6" s="1"/>
  <c r="H57" i="6"/>
  <c r="H58" i="6" s="1"/>
  <c r="H63" i="6"/>
  <c r="H64" i="6" s="1"/>
  <c r="F63" i="6" s="1"/>
  <c r="H62" i="6"/>
  <c r="H21" i="6"/>
  <c r="H22" i="6" s="1"/>
  <c r="H20" i="6"/>
  <c r="H15" i="6"/>
  <c r="H16" i="6" s="1"/>
  <c r="H14" i="6"/>
  <c r="H9" i="6"/>
  <c r="H10" i="6" s="1"/>
  <c r="F9" i="6" s="1"/>
  <c r="H8" i="6"/>
  <c r="F69" i="6"/>
  <c r="G69" i="6"/>
  <c r="F579" i="6"/>
  <c r="F578" i="6"/>
  <c r="F560" i="6"/>
  <c r="F555" i="6"/>
  <c r="F554" i="6"/>
  <c r="F542" i="6"/>
  <c r="H156" i="6"/>
  <c r="H145" i="6"/>
  <c r="H146" i="6" s="1"/>
  <c r="H97" i="6"/>
  <c r="H73" i="6"/>
  <c r="G134" i="6"/>
  <c r="F135" i="6" s="1"/>
  <c r="H128" i="6"/>
  <c r="H129" i="6" s="1"/>
  <c r="H122" i="6"/>
  <c r="H123" i="6"/>
  <c r="F122" i="6" s="1"/>
  <c r="H116" i="6"/>
  <c r="H117" i="6" s="1"/>
  <c r="H110" i="6"/>
  <c r="H111" i="6"/>
  <c r="H104" i="6"/>
  <c r="H105" i="6" s="1"/>
  <c r="H98" i="6"/>
  <c r="H99" i="6"/>
  <c r="F98" i="6" s="1"/>
  <c r="H92" i="6"/>
  <c r="H93" i="6" s="1"/>
  <c r="H86" i="6"/>
  <c r="H87" i="6"/>
  <c r="H80" i="6"/>
  <c r="H81" i="6" s="1"/>
  <c r="H74" i="6"/>
  <c r="H75" i="6"/>
  <c r="F74" i="6" s="1"/>
  <c r="F134" i="6"/>
  <c r="G399" i="6"/>
  <c r="G332" i="6"/>
  <c r="G264" i="6"/>
  <c r="F265" i="6" s="1"/>
  <c r="G199" i="6"/>
  <c r="H193" i="6"/>
  <c r="H194" i="6"/>
  <c r="F193" i="6" s="1"/>
  <c r="H187" i="6"/>
  <c r="H188" i="6" s="1"/>
  <c r="F187" i="6" s="1"/>
  <c r="H181" i="6"/>
  <c r="H182" i="6" s="1"/>
  <c r="H175" i="6"/>
  <c r="H176" i="6" s="1"/>
  <c r="F175" i="6" s="1"/>
  <c r="H169" i="6"/>
  <c r="H170" i="6"/>
  <c r="F169" i="6" s="1"/>
  <c r="H163" i="6"/>
  <c r="H164" i="6" s="1"/>
  <c r="F163" i="6" s="1"/>
  <c r="H157" i="6"/>
  <c r="H158" i="6"/>
  <c r="H151" i="6"/>
  <c r="H152" i="6" s="1"/>
  <c r="F151" i="6" s="1"/>
  <c r="H139" i="6"/>
  <c r="H140" i="6" s="1"/>
  <c r="F199" i="6"/>
  <c r="F200" i="6" s="1"/>
  <c r="F416" i="6"/>
  <c r="F411" i="6"/>
  <c r="F400" i="6"/>
  <c r="F394" i="6"/>
  <c r="F364" i="6"/>
  <c r="F363" i="6"/>
  <c r="F346" i="6"/>
  <c r="F309" i="6"/>
  <c r="F298" i="6"/>
  <c r="F253" i="6"/>
  <c r="F247" i="6"/>
  <c r="F240" i="6"/>
  <c r="F235" i="6"/>
  <c r="F222" i="6"/>
  <c r="F176" i="6"/>
  <c r="F164" i="6"/>
  <c r="F64" i="6"/>
  <c r="F511" i="6"/>
  <c r="F506" i="6"/>
  <c r="F505" i="6"/>
  <c r="F493" i="6"/>
  <c r="F488" i="6"/>
  <c r="F487" i="6"/>
  <c r="F469" i="6"/>
  <c r="F51" i="6" l="1"/>
  <c r="F52" i="6"/>
  <c r="F46" i="6"/>
  <c r="F45" i="6"/>
  <c r="F27" i="6"/>
  <c r="F28" i="6"/>
  <c r="F58" i="6"/>
  <c r="F57" i="6"/>
  <c r="F21" i="6"/>
  <c r="F22" i="6"/>
  <c r="F15" i="6"/>
  <c r="F16" i="6"/>
  <c r="F39" i="6"/>
  <c r="F40" i="6"/>
  <c r="F10" i="6"/>
  <c r="F33" i="6"/>
  <c r="F116" i="6"/>
  <c r="F117" i="6"/>
  <c r="F104" i="6"/>
  <c r="F105" i="6"/>
  <c r="F92" i="6"/>
  <c r="F93" i="6"/>
  <c r="F80" i="6"/>
  <c r="F81" i="6"/>
  <c r="F128" i="6"/>
  <c r="F129" i="6"/>
  <c r="F99" i="6"/>
  <c r="F75" i="6"/>
  <c r="F194" i="6"/>
  <c r="F228" i="6"/>
  <c r="F229" i="6"/>
  <c r="F322" i="6"/>
  <c r="F321" i="6"/>
  <c r="F274" i="6"/>
  <c r="F316" i="6"/>
  <c r="F357" i="6"/>
  <c r="F358" i="6"/>
  <c r="F381" i="6"/>
  <c r="F382" i="6"/>
  <c r="F352" i="6"/>
  <c r="F351" i="6"/>
  <c r="F376" i="6"/>
  <c r="F405" i="6"/>
  <c r="F404" i="6"/>
  <c r="F422" i="6"/>
  <c r="F423" i="6"/>
  <c r="F428" i="6"/>
  <c r="F482" i="6"/>
  <c r="F481" i="6"/>
  <c r="F500" i="6"/>
  <c r="F499" i="6"/>
  <c r="F532" i="6"/>
  <c r="F475" i="6"/>
  <c r="F567" i="6"/>
  <c r="F566" i="6"/>
  <c r="F590" i="6"/>
  <c r="F591" i="6"/>
  <c r="F643" i="6"/>
  <c r="F649" i="6"/>
  <c r="F745" i="6"/>
  <c r="F746" i="6"/>
  <c r="F721" i="6"/>
  <c r="F722" i="6"/>
  <c r="F697" i="6"/>
  <c r="F698" i="6"/>
  <c r="F673" i="6"/>
  <c r="F674" i="6"/>
  <c r="F787" i="6"/>
  <c r="F704" i="6"/>
  <c r="F716" i="6"/>
  <c r="F752" i="6"/>
  <c r="F764" i="6"/>
  <c r="F680" i="6"/>
  <c r="F692" i="6"/>
  <c r="F728" i="6"/>
  <c r="F740" i="6"/>
  <c r="F667" i="6"/>
  <c r="F668" i="6"/>
  <c r="F181" i="6"/>
  <c r="F182" i="6"/>
  <c r="F146" i="6"/>
  <c r="F145" i="6"/>
  <c r="F157" i="6"/>
  <c r="F158" i="6"/>
  <c r="F86" i="6"/>
  <c r="F87" i="6"/>
  <c r="F211" i="6"/>
  <c r="F339" i="6"/>
  <c r="F453" i="6"/>
  <c r="F452" i="6"/>
  <c r="F624" i="6"/>
  <c r="F625" i="6"/>
  <c r="F685" i="6"/>
  <c r="F686" i="6"/>
  <c r="F709" i="6"/>
  <c r="F710" i="6"/>
  <c r="F733" i="6"/>
  <c r="F734" i="6"/>
  <c r="F757" i="6"/>
  <c r="F758" i="6"/>
  <c r="F782" i="6"/>
  <c r="F781" i="6"/>
  <c r="F776" i="6"/>
  <c r="F775" i="6"/>
  <c r="F170" i="6"/>
  <c r="F205" i="6"/>
  <c r="F279" i="6"/>
  <c r="F110" i="6"/>
  <c r="F111" i="6"/>
  <c r="F70" i="6"/>
  <c r="F441" i="6"/>
  <c r="F440" i="6"/>
  <c r="F537" i="6"/>
  <c r="F536" i="6"/>
  <c r="F600" i="6"/>
  <c r="F601" i="6"/>
  <c r="F618" i="6"/>
  <c r="F619" i="6"/>
  <c r="F370" i="6"/>
  <c r="F387" i="6"/>
  <c r="F123" i="6"/>
  <c r="F152" i="6"/>
  <c r="F188" i="6"/>
  <c r="F217" i="6"/>
  <c r="F519" i="6"/>
  <c r="F573" i="6"/>
  <c r="F572" i="6"/>
  <c r="F549" i="6"/>
  <c r="F548" i="6"/>
  <c r="F259" i="6"/>
  <c r="F286" i="6"/>
  <c r="F654" i="6"/>
  <c r="F607" i="6"/>
  <c r="F769" i="6"/>
  <c r="F139" i="6"/>
  <c r="F140" i="6"/>
  <c r="F304" i="6"/>
  <c r="F332" i="6"/>
  <c r="F333" i="6" s="1"/>
  <c r="F327" i="6"/>
  <c r="F292" i="6"/>
  <c r="F291" i="6"/>
</calcChain>
</file>

<file path=xl/sharedStrings.xml><?xml version="1.0" encoding="utf-8"?>
<sst xmlns="http://schemas.openxmlformats.org/spreadsheetml/2006/main" count="1857" uniqueCount="630">
  <si>
    <t>TEMA 1</t>
  </si>
  <si>
    <t>Marca con una X la respuesta correcta</t>
  </si>
  <si>
    <t>CORRECTO</t>
  </si>
  <si>
    <t>Preguntas correctas = 1 punto</t>
  </si>
  <si>
    <t>Preguntas falladas = -0.33 puntos</t>
  </si>
  <si>
    <t>Preguntas no respondida = 0 puntos</t>
  </si>
  <si>
    <t>APROBADO</t>
  </si>
  <si>
    <t>SUSPENDIDO</t>
  </si>
  <si>
    <t>NOTA</t>
  </si>
  <si>
    <t>a</t>
  </si>
  <si>
    <t>b</t>
  </si>
  <si>
    <t>c</t>
  </si>
  <si>
    <t>d</t>
  </si>
  <si>
    <t>e</t>
  </si>
  <si>
    <t>E</t>
  </si>
  <si>
    <t>•</t>
  </si>
  <si>
    <t>TEMA 8</t>
  </si>
  <si>
    <t>SRI</t>
  </si>
  <si>
    <t>Transporte</t>
  </si>
  <si>
    <t>Aplicación</t>
  </si>
  <si>
    <t>Presentacion</t>
  </si>
  <si>
    <t>Internet</t>
  </si>
  <si>
    <t>192.168.0.1/16</t>
  </si>
  <si>
    <t>21.255.254.255/24</t>
  </si>
  <si>
    <t>145.34.1.0/16</t>
  </si>
  <si>
    <t>10.0.0.255/8</t>
  </si>
  <si>
    <t>10.10.10.1/8</t>
  </si>
  <si>
    <t>172.26.3.1/16</t>
  </si>
  <si>
    <t>172.168.4.1/16</t>
  </si>
  <si>
    <t>192.168.0.3/24</t>
  </si>
  <si>
    <t>No existe tabla de encaminamiento en los host porque el encaminamiento depende exclusivamente de los routers</t>
  </si>
  <si>
    <t>Todos los host de una misma red deben tener obligatoriamente entradas idénticas en sus tablas de encaminamiento</t>
  </si>
  <si>
    <t>Un router solo puede encaminar hacia las redes a las que está directamente conectado</t>
  </si>
  <si>
    <t>La tabla de encaminamiento de un host debe contener al menos dos entradas, una para la red local y otra para salir de la red local</t>
  </si>
  <si>
    <t>Los puertos de encaminamiento ofrecen la interfaz por el que los procesos del nivel de aplicación acceden a las transmisiones de datos</t>
  </si>
  <si>
    <t>La principal utilidad de la numeración de los puertos de comunicación es distinguir los puertos del protocolo TCP de los puertos del protocolo UDP</t>
  </si>
  <si>
    <t>Los puertos permiten a los equipos mantener varias comunicaciones extremo a extremo pero no simultáneamente</t>
  </si>
  <si>
    <t>Existen puertos de comunicaciones exclusivos de TCP, otros exclusivos de UDP y otros mixtos, válidos para TCP y UDP</t>
  </si>
  <si>
    <t>Un router consulta la dirección IP de origen del datagrama a la hora de encaminarlo</t>
  </si>
  <si>
    <t>Un router consulta la dirección IP de destino del datagrama a la hora de encaminarlo</t>
  </si>
  <si>
    <t>Un router descarta los datagramas IP que van dirigidos a una red a la que están directamente conectados</t>
  </si>
  <si>
    <t>Para encaminar, un router necesita conocer las rutas para todas las redes públicas.</t>
  </si>
  <si>
    <t>El Servidor permanece siempre a la escucha en un puerto y puede atender varias solicitudes simultánea</t>
  </si>
  <si>
    <t>Los servidores son los que inician la comunicación con el cliente.</t>
  </si>
  <si>
    <t>El Cliente permanece siempre a la escucha en un puerto para atender las posibles peticiones del servidor.</t>
  </si>
  <si>
    <t>Los servidores y los clientes comparten recursos por igual.</t>
  </si>
  <si>
    <t>Los protocolos de aplicación y las aplicaciones son lo mismo.</t>
  </si>
  <si>
    <t>Cada Aplicación utiliza un único protocolo, específico de dicha aplicación,  que comunica la interfaz de usuario con la red.</t>
  </si>
  <si>
    <t>Una aplicación utiliza uno o varios protocolos del nivel de aplicación, que le comunican directamente con las demás aplicaciones, pues no puede comunicarse con protocolos de otros niveles.</t>
  </si>
  <si>
    <t>Una aplicación utiliza protocolos del nivel de aplicación, que a su vez utilizan protocolos de niveles inferiores para poder transmitirse.</t>
  </si>
  <si>
    <t>Es la interfaz de red a la que el router envía los datagramas descartados.</t>
  </si>
  <si>
    <t>Es la interfaz de red a la que se envían los datagramas para salir de la red local.</t>
  </si>
  <si>
    <t>Es la interfaz de red a la que se envían los datagramas que salen a Internet.</t>
  </si>
  <si>
    <t>Es la interfaz de red a la que se envían todos los datagramas para ser encaminados.</t>
  </si>
  <si>
    <t>Tendrá primero que conectarse a la IP pública de su router, que le remitirá a la web de google.es</t>
  </si>
  <si>
    <t>Tendrá primero que comunicarse con la IP privada de su router, que hará NAT para poder enviar el mensaje a google.es</t>
  </si>
  <si>
    <t>Podrá comunicarse directamente con google.es puesto que desde que hay IPv6 los equipos pueden conectarse extremo a extremo.</t>
  </si>
  <si>
    <t>No podrá comunicarse con google.es porque tenemos que configurar manualmente un port forwarding en el router para que los mensajes de vuelta lleguen al equipo</t>
  </si>
  <si>
    <t>Configurar manualmente los equipos de la red es costoso en tiempo</t>
  </si>
  <si>
    <t>Se pueden cometer errores al configurar manualmente los parámetros de la red de los equipos</t>
  </si>
  <si>
    <t>Si un equipo no autorizado se configura con una dirección IP válida podría acceder a la red</t>
  </si>
  <si>
    <t>Si un equipo se conecta a una subred diferente es necesario volver a configurarlo manualmente.</t>
  </si>
  <si>
    <t>2 .-</t>
  </si>
  <si>
    <t>¿Qué es cierto?</t>
  </si>
  <si>
    <t>1 .-</t>
  </si>
  <si>
    <t>Un servidor DHCP tiene mecanismos de seguridad para detectar clientes no autorizados</t>
  </si>
  <si>
    <t>Un servidor DHCP mantiene una base de datos con todas las concesiones activas</t>
  </si>
  <si>
    <t>Un servidor DHCP no puede dar servicio a varias subredes a la vez</t>
  </si>
  <si>
    <t>Un servidor DHCP no puede cambiar su configuración una vez iniciado.</t>
  </si>
  <si>
    <t>3 .-</t>
  </si>
  <si>
    <t>¿Qué no es cierto al hablar de las reservas?</t>
  </si>
  <si>
    <t xml:space="preserve">
Las reservas son lo mismo que las exclusiones
</t>
  </si>
  <si>
    <t>Se utilizan para configurar equipos que necesitan tener siempre la misma IP</t>
  </si>
  <si>
    <t>Es necesario saber la dirección MAC del equipos al que se le quiere reservar una dirección IP</t>
  </si>
  <si>
    <t>Si un equipo configurado con una reserva se reinicia, este obtendrá la misma dirección IP</t>
  </si>
  <si>
    <t>4 .-</t>
  </si>
  <si>
    <t>Dhcp3</t>
  </si>
  <si>
    <t>Servidor DHCP de Windows 2012</t>
  </si>
  <si>
    <t>Servidor DHCP integrado en un router</t>
  </si>
  <si>
    <t>Agent Rely</t>
  </si>
  <si>
    <t>5 .-</t>
  </si>
  <si>
    <t>Los parámetros se definen siempre a nivel del servidor y son comunes para todos los ámbitos.</t>
  </si>
  <si>
    <t xml:space="preserve">
Permiten notificar a todos los clientes un cambio en el servidor DNS que les da servicio
</t>
  </si>
  <si>
    <t>Permiten configurar la máscara de subred, la puerta de enlace, servidores DNS, correo, etc</t>
  </si>
  <si>
    <t>La configuración manual de un parámetro prevalece ante la enviada por el servidor DHCP</t>
  </si>
  <si>
    <t>6 .-</t>
  </si>
  <si>
    <t>¿Qué es falso?</t>
  </si>
  <si>
    <t>En una red pueden existir varios servidores DHCP</t>
  </si>
  <si>
    <t>Un mismo servidor DHCP puede dar servicio a varias subredes</t>
  </si>
  <si>
    <t>Dos servidores DHCP pueden trabajar de manera conjunta</t>
  </si>
  <si>
    <t>Un servidor DHCP aumenta considerablemente el tráfico de una red</t>
  </si>
  <si>
    <t>7 .-</t>
  </si>
  <si>
    <t>8 .-</t>
  </si>
  <si>
    <t xml:space="preserve">9 .- </t>
  </si>
  <si>
    <t xml:space="preserve">10 .- </t>
  </si>
  <si>
    <t>¿Qué tipo de asignación tiene un tiempo de concesión ilimitado?</t>
  </si>
  <si>
    <t>Asignación estática</t>
  </si>
  <si>
    <t>Asignación automática</t>
  </si>
  <si>
    <t>Asignación Dinámica</t>
  </si>
  <si>
    <t>Todos los tipos de asignación tienen un tiempo de concesión limitado.</t>
  </si>
  <si>
    <t>Cada vez que se reinicia el cliente intenta renovar la concesión</t>
  </si>
  <si>
    <t>Se intenta renovar la concesión periódicamente cada cierto tiempo configurable</t>
  </si>
  <si>
    <t>El cliente puede solicitar la renovación manualmente</t>
  </si>
  <si>
    <t>Antes de finalizar el plazo de concesión se solicita la renovación.</t>
  </si>
  <si>
    <t>Se suelen utilizar los ámbitos para administrar las diferentes subredes lógicas a configurar</t>
  </si>
  <si>
    <t>Se pueden establecer opciones de configuración a nivel de ámbito o comunes para todos los ámbitos</t>
  </si>
  <si>
    <t>Un servidor DHCP3 puede configurar equipos clientes con S.O. Windows</t>
  </si>
  <si>
    <t>El servidor DHCP integrado en Windows Server 2012 no puede configurar equipos clientes Linux</t>
  </si>
  <si>
    <t>¿Qué comando relacionado con DHCP no existe?</t>
  </si>
  <si>
    <t>ipconfig /release</t>
  </si>
  <si>
    <t>ipconfig /renew</t>
  </si>
  <si>
    <t>ipconfig /reserve</t>
  </si>
  <si>
    <t>ipconfig /all</t>
  </si>
  <si>
    <t>TEMA 3 DNS</t>
  </si>
  <si>
    <t>TEMA 2 DHCP</t>
  </si>
  <si>
    <t>Los dominios .com y .net están definidos dentro de…</t>
  </si>
  <si>
    <t>Los ggcTLD</t>
  </si>
  <si>
    <t>Los ccTLD</t>
  </si>
  <si>
    <t>Los gTLD</t>
  </si>
  <si>
    <t>Los h-TLD</t>
  </si>
  <si>
    <t>La estructura de DNS es</t>
  </si>
  <si>
    <t>Plana para facilidad de configuración</t>
  </si>
  <si>
    <t xml:space="preserve">
Jerárquica por facilidad de búsqueda
</t>
  </si>
  <si>
    <t xml:space="preserve">
Jerárquica por agotamiento de direcciones</t>
  </si>
  <si>
    <t>Plana y Jerárquica simultáneamente.</t>
  </si>
  <si>
    <t>En un Servidor DNS es imprescindible configurar al menos:</t>
  </si>
  <si>
    <t>Regiones</t>
  </si>
  <si>
    <t>Una Zona de Búsqueda inversa (Reverse Zone)</t>
  </si>
  <si>
    <t>Ámbitos</t>
  </si>
  <si>
    <t>Una Zona de Búsqueda Directa</t>
  </si>
  <si>
    <t>¿Cómo accede nuestro navegador a la dirección solicitada?</t>
  </si>
  <si>
    <t>Solicita la dirección a un servidor DNS, en caso de ser correcta nos devuelve la dirección IP que utilizamos y almacena en la memoria Caché para futuras consultas. En caso de ser incorrecta, nos redirecciona a otro servidor. Luego la guarda en la caché para futuras consultas.</t>
  </si>
  <si>
    <t>Solicita la dirección a un servidor DNS, en caso de ser correcta nos devuelve la dirección IP que utilizamos y almacena en el archivo Hosts para futuras consultas. En caso de ser incorrecta, nos redirecciona a otro servidor. Luego la guarda en la caché para futuras consultas</t>
  </si>
  <si>
    <t>Comprueba si ya tenemos información de la URL en el archivo en la caché. De ser así, mira el archivo Hosts; de no haberlo hecho lo solicita a su servidor DNS para que le diga la IP de ese dominio. Luego la guarda en la caché para futuras consultas.</t>
  </si>
  <si>
    <t>Consulta el archivo Hosts, que se actualiza automáticamente, y accede al servidor solicitado a través de la IP que lo identifica.</t>
  </si>
  <si>
    <t>La autoridad que regula los dominios raíz de DNS se llama:</t>
  </si>
  <si>
    <t>NIC (Network Information Center)</t>
  </si>
  <si>
    <t>IANA</t>
  </si>
  <si>
    <t>W3C</t>
  </si>
  <si>
    <t>ISO</t>
  </si>
  <si>
    <t>¿Qué registros de recursos permiten asociar direcciones IP a nombres en la resolución inversa?</t>
  </si>
  <si>
    <t>NS y SOA</t>
  </si>
  <si>
    <t>A y AAAA</t>
  </si>
  <si>
    <t>CNAME y MX</t>
  </si>
  <si>
    <t>PTR</t>
  </si>
  <si>
    <t>¿Qué tipo de sistema es el sistema de nombres de dominios en Internet?</t>
  </si>
  <si>
    <t>Se trata de un sistema centralizado e independiente y plano. El punto central se basa en un árbol que define la jerarquía entre los dominios y los sub-dominios.</t>
  </si>
  <si>
    <t>Se trata de un sistema centralizado, independiente y único. El punto central se basa en un árbol que define la jerarquía entre los dominios y los sub-dominios.</t>
  </si>
  <si>
    <t>Se trata de un sistema distribuido, jerárquico, replicado y tolerante a fallos. El punto central se basa en un árbol que define la jerarquía entre los dominios y los sub-dominios.</t>
  </si>
  <si>
    <t>Se trata de un sistema distribuido, plano y replicado . El punto central se basa en un árbol que define la jerarquía entre los dominios y los sub-dominios.</t>
  </si>
  <si>
    <t>¿Qué RR fundamentales hay en un servidor DNS que es autoridad de zona?</t>
  </si>
  <si>
    <t>IN, A, SOA, NS, MX</t>
  </si>
  <si>
    <t>SOA, A</t>
  </si>
  <si>
    <t>A, AAAA, PTR</t>
  </si>
  <si>
    <t>A, IN</t>
  </si>
  <si>
    <t>¿Las direcciones DNS utilizan algún tipo de jerarquía?</t>
  </si>
  <si>
    <t>No, todos los nombre son independientes entre si. Solo existe jerarquía dentro de un mismo dominio.</t>
  </si>
  <si>
    <t>Si, utiliza una jerarquía donde empezando por la derecha nos indica desde el nodo final hasta los nodos padres (Ejemplo: www.cc.intec.edu.es---&gt; es (nodo final) indica el nombre del país, edu el tipo de organización, intec el nombre de la organización, cc el departamento, www (nodo padre) el nombre del computador).</t>
  </si>
  <si>
    <t>A veces utiliza jerarquía, y otras utiliza nombres planos cómo en Hosts.</t>
  </si>
  <si>
    <t>10 .-</t>
  </si>
  <si>
    <t>¿Qué tipos de peticiones de dominio podemos distinguir?</t>
  </si>
  <si>
    <t xml:space="preserve">
Recursivas, iterativas, y recurrentes.
</t>
  </si>
  <si>
    <t>Todas son por definición recursivas.</t>
  </si>
  <si>
    <t>Recursivas e iterativas.</t>
  </si>
  <si>
    <t>Recurrentes y Simples</t>
  </si>
  <si>
    <t>TEMA 4 FTP</t>
  </si>
  <si>
    <t>Conexiones en modo activo</t>
  </si>
  <si>
    <t>Conexiones anónimas</t>
  </si>
  <si>
    <t>Conexiones en modo pasivo</t>
  </si>
  <si>
    <t>No me puedo conectar si utilizo NATP</t>
  </si>
  <si>
    <t xml:space="preserve">2 .- </t>
  </si>
  <si>
    <t>En FTPS explícito los clientes establecen conexiones de control al puerto 21/TCP de los servidores y negocian si utilizan SSL/TLS o no</t>
  </si>
  <si>
    <t>En FTPS explícito el cliente y el servidor pueden negociar qué parte de las comunicaciones, conexión de control y/o conexiones de datos serán cifradas</t>
  </si>
  <si>
    <t>FTP no es un protocolo seguro. Las conexiones de datos y de control no son cifradas</t>
  </si>
  <si>
    <t>FTP no es un protocolo seguro, el nombre y la contraseña de los usuario en la red se envía cifrada pero los ficheros intercambiados no</t>
  </si>
  <si>
    <t>Para conectarte a un servidor FTP por el puerto 51678 utilizando un navegador escribes en la url…</t>
  </si>
  <si>
    <t>http://miservidor_ftp/ftp$5</t>
  </si>
  <si>
    <t>ftp://miservidor_ftp@51678</t>
  </si>
  <si>
    <t>ftp://miservidor_ftp:51678</t>
  </si>
  <si>
    <t>no se puede hacer</t>
  </si>
  <si>
    <t>Respecto a distintos servidores y clientes FTP podemos afirmar que…</t>
  </si>
  <si>
    <t>Filezilla utiliza los usuarios del sistema operativo como usuarios del servidor FTP</t>
  </si>
  <si>
    <t>En el servidor vsftpd hay que habilitar la directiva write_enable=yes para permitir la conexión de usuarios locales</t>
  </si>
  <si>
    <t>El servidor FTP de Filezilla no permite conexiones de usuarios anónimos</t>
  </si>
  <si>
    <t>Desde cualquier cliente FTP, si no se indica explícitamente un puerto de conexión, se intenta conectar al puerto 21 del servidor. Pero siempre hay que indicar el servidor, usuario y contraseña.</t>
  </si>
  <si>
    <t>¿Cuál de las siguientes afirmaciones sobre TFTP es falsa?</t>
  </si>
  <si>
    <t>TFTP utiliza UDP como protocolo de transporte</t>
  </si>
  <si>
    <t>Cuando TFTP utiliza seguridad se le conoce como STFTP</t>
  </si>
  <si>
    <t>Las transferencias usando TFTP son más rápidas que usando FTP</t>
  </si>
  <si>
    <t>Las conexiones TFTP se suelen utilizar en carga automática de configuraciones de routers por no necesitar autenticación.</t>
  </si>
  <si>
    <t>El protocolo FTP abstrae a los usuarios de los detalles de los sistemas operativos utilizados por el servidor</t>
  </si>
  <si>
    <t>El protocolo FTP no permite transferencia de ficheros si los equipos tienen distintos Sistemas Operativos</t>
  </si>
  <si>
    <t>Es posible borrar un archivo en un sistema remoto usando un cliente FTP</t>
  </si>
  <si>
    <t>El protocolo FTP permite transferencias de ficheros entre equipos con distintos Sistemas Operativos</t>
  </si>
  <si>
    <t>Para transmitir con FTP un fichero .iso utilizarías preferiblemente…</t>
  </si>
  <si>
    <t>es indiferente</t>
  </si>
  <si>
    <t>modo pasivo</t>
  </si>
  <si>
    <t>modo binario</t>
  </si>
  <si>
    <t>modo ascii</t>
  </si>
  <si>
    <t>9 .-</t>
  </si>
  <si>
    <t>Normalmente los usuarios anónimos están confinados en su directorio home.</t>
  </si>
  <si>
    <t>Los usuario locales no pueden estar confinados o enjaulados en su directorio home</t>
  </si>
  <si>
    <t>Lo habitual es que los usuarios anónimos solo puedan bajar archivos</t>
  </si>
  <si>
    <t>Los usuarios de un servidor FTP pueden ser usuarios locales del sistema o usuarios virtuales</t>
  </si>
  <si>
    <t xml:space="preserve">¿Qué es cierto?
</t>
  </si>
  <si>
    <t>Los clientes FTP, en el modo activo, inician una conexión con el puerto 20/TCP de los servidores.</t>
  </si>
  <si>
    <t>Los clientes FTP establecen conexiones de control al puerto 21/UDP de los servidores FTP</t>
  </si>
  <si>
    <t>En el modo activo, el servidor FTP inicia una conexión con el puerto 20/TCP del servidor cliente</t>
  </si>
  <si>
    <t>En el modo pasivo el cliente FTP inicia conexiones de datos a puertos mayores que 1023/TCP del servidor FTP</t>
  </si>
  <si>
    <t>ls y get fichero</t>
  </si>
  <si>
    <t>¡ls y put fichero</t>
  </si>
  <si>
    <t>ls y pwd fichero</t>
  </si>
  <si>
    <t>¡ls y get fichero</t>
  </si>
  <si>
    <t>TEMA 5 WEB</t>
  </si>
  <si>
    <t>¿Qué afirmación es cierta?</t>
  </si>
  <si>
    <t>La línea HTTP/1.1 200 OK es la línea de cabecera de un mensaje de petición HTTP</t>
  </si>
  <si>
    <t>El tipo MIME del mensaje se envía en la línea de estado del mensaje de respuesta</t>
  </si>
  <si>
    <t>La línea GET /index.html HTTP/1.1 puede ser la línea de petición de un mensaje de petición</t>
  </si>
  <si>
    <t>En los mensajes de respuesta siembre debe haber una línea en blanco antes del cuerpo del mensaje, aunque en los de petición no es necesaria.</t>
  </si>
  <si>
    <t>¿Cuál de los siguentes no es un servidor web?</t>
  </si>
  <si>
    <t>Lighttpd</t>
  </si>
  <si>
    <t>IIS</t>
  </si>
  <si>
    <t>Apache</t>
  </si>
  <si>
    <t>Firefox</t>
  </si>
  <si>
    <t>En caso de que a la hora de hacer una solicitud HTTP a un servidor se produzca un error en éste, ¿qué familia de código de respuesta devolverá?</t>
  </si>
  <si>
    <t>4xx</t>
  </si>
  <si>
    <t>3xx</t>
  </si>
  <si>
    <t>2xx</t>
  </si>
  <si>
    <t>5xx</t>
  </si>
  <si>
    <t>¿Qué es cierto sobre el alojamiento virtual de sitios web?</t>
  </si>
  <si>
    <t>Aunque IIS soporta esta característica, Apache 2 no puede hacerlo.</t>
  </si>
  <si>
    <t>El número máximo de servidores web virtuales en un equipo es de 25</t>
  </si>
  <si>
    <t>El alojamiento web basado en nombres es el más común para que sea transparente a los usuarios.</t>
  </si>
  <si>
    <t>Aumenta el número de máquinas físicas necesarias para alojar sitios web</t>
  </si>
  <si>
    <t>El uso de cookies mejora la seguridad de las aplicaciones web</t>
  </si>
  <si>
    <t>El uso de cookies permite a las aplicaciones web diferenciar a los usuarios para enviarles información personalizada.</t>
  </si>
  <si>
    <t>La utilización de cookies puede implementar la función de sesión de usuario para productos adquiridos en una compra online.</t>
  </si>
  <si>
    <t>Es obligatorio para toda web que utilice cookies avisar al usuario final sobre su existencia</t>
  </si>
  <si>
    <t xml:space="preserve">Sobre proxyes y cachés, ¿Qué es cierto?
</t>
  </si>
  <si>
    <t>Los proxies directos se utilizan generalmente para ofrecer acceso a servidores web que están detrás de cortafuegos y balancear la carga entre varios servidores.</t>
  </si>
  <si>
    <t>Los navegadores y proxies almacenan todos los recursos que reciben de los servidores en la caché para aumentar la velocidad de acceso</t>
  </si>
  <si>
    <t>Los servidores proxies inversos reciben la petición de los clientes directamente, y la redirigen al servidor correspondiente.</t>
  </si>
  <si>
    <t>Los proxies directos aceleran el tráfico de la red porque son capaces de filtrar tráfico no deseado, pero no son capaces de controlar el acceso por usuarios.</t>
  </si>
  <si>
    <t xml:space="preserve">Si el protocolo HTTP/1.1 utiliza conexiones persistentes implica que...
</t>
  </si>
  <si>
    <t>Aumenta el uso de CPU/memoria.</t>
  </si>
  <si>
    <t>La conexión no se cierra hasta que el usuario no apaga el equipo.</t>
  </si>
  <si>
    <t>El tiempo de respuesta es mayor, pero más fiable.</t>
  </si>
  <si>
    <t>En una misma conexión se transmiten varias peticiones y respuestas</t>
  </si>
  <si>
    <t xml:space="preserve">8 .- </t>
  </si>
  <si>
    <t>El cliente utiliza el método GET para solicitar la información.</t>
  </si>
  <si>
    <t>El servidor escucha en el puerto 80 por ser un servidor web</t>
  </si>
  <si>
    <t>El archivo buscar.php tiene que estar en el directorio raíz del servidor www.asir.net</t>
  </si>
  <si>
    <t>La información viaja cifrada</t>
  </si>
  <si>
    <t>Los métodos HTTP más comúnmente empleados son…</t>
  </si>
  <si>
    <t>POST, PUT y DELETE</t>
  </si>
  <si>
    <t>GET, PUT y HEAD</t>
  </si>
  <si>
    <t>POST, TRACE y HEAD</t>
  </si>
  <si>
    <t>GET, POST y HEAD</t>
  </si>
  <si>
    <t>Los mecanismos de autenticación Basic y Digest no son seguros</t>
  </si>
  <si>
    <t>HTTP es vulnerable a ataques de sniffing pero es inmune a man-in-the-middle</t>
  </si>
  <si>
    <t>HTTPS usa por defecto el puerto 443/TCP</t>
  </si>
  <si>
    <t>HTTPS utiliza certificados digitales</t>
  </si>
  <si>
    <t>TEMA 6 Correo Electronico</t>
  </si>
  <si>
    <t xml:space="preserve">El coste del correo electrónico es cero (sin contar la conexión a Internet). </t>
  </si>
  <si>
    <t xml:space="preserve">Es muy rápido, un email puede tardar entre un segundo o unos minutos en llegar. </t>
  </si>
  <si>
    <t xml:space="preserve">El email te permite mandar elementos físicos, como postales, detalles… </t>
  </si>
  <si>
    <t xml:space="preserve">Es más eficiente, el correo electrónico puede llegar a muchos destinatarios a la vez  </t>
  </si>
  <si>
    <t xml:space="preserve">En el correo electrónico, el MTA es: 
</t>
  </si>
  <si>
    <t xml:space="preserve">El agente de transferencia, que envía el correo de un ordenador a otro.  </t>
  </si>
  <si>
    <t xml:space="preserve">El agente de entrega, distribuye y entrega los correos a los buzones de los destinatarios. </t>
  </si>
  <si>
    <t xml:space="preserve">El cliente de correo que permite enviar, recibir y escribir correos. </t>
  </si>
  <si>
    <t xml:space="preserve">Ninguna de las anteriores es correcta. </t>
  </si>
  <si>
    <t xml:space="preserve">Al escribir un correo electrónico, el campo CCO se usa para 
</t>
  </si>
  <si>
    <t xml:space="preserve">3 .- </t>
  </si>
  <si>
    <t xml:space="preserve">Enviar un correo, pero los destinatarios ahí incluidos no serán visibles por los receptores.  </t>
  </si>
  <si>
    <t xml:space="preserve">Indicar la dirección del remitente. </t>
  </si>
  <si>
    <t xml:space="preserve">Enviar el correo a los destinatarios ahí incluidos. Los Usuarios de CC no pueden ver sus direcciones de correo, pero otros destinatarios CCO sí que pueden verse entre ellos. </t>
  </si>
  <si>
    <t xml:space="preserve">Para poner el asunto del email. </t>
  </si>
  <si>
    <t xml:space="preserve">Las direcciones de correo electrónico pueden estar formadas por: 
</t>
  </si>
  <si>
    <t xml:space="preserve">Nombre de usuario, arroba y nombre del servidor de correo electrónico. </t>
  </si>
  <si>
    <t xml:space="preserve">Nombre de usuario, arroba y nombre o IP del servidor de correo electrónico. </t>
  </si>
  <si>
    <t xml:space="preserve">Nombre de usuario, arroba e IP del servidor de correo electrónico. </t>
  </si>
  <si>
    <t xml:space="preserve">Nombre de usuario y contraseña. </t>
  </si>
  <si>
    <t xml:space="preserve">Los tipos MIME: 
</t>
  </si>
  <si>
    <t xml:space="preserve">Son unas especificaciones de intercambio de todo tipo de archivos (audio, vídeo, pdf, etc.) </t>
  </si>
  <si>
    <t xml:space="preserve">Gracias a los tipos MIME, podemos adjuntar casi cualquier tipo de archivo a nuestros emails. </t>
  </si>
  <si>
    <t xml:space="preserve">Los tipos MIME son capaces de soportar texto en caracteres no ASCII. </t>
  </si>
  <si>
    <t>Todas las anteriores son correctas</t>
  </si>
  <si>
    <t xml:space="preserve">La comunicación a través del email suele ser: 
</t>
  </si>
  <si>
    <t xml:space="preserve">6 .- </t>
  </si>
  <si>
    <t xml:space="preserve">De tipo escrito y en diferido </t>
  </si>
  <si>
    <t xml:space="preserve">De tipo escrito y en tiempo real </t>
  </si>
  <si>
    <t xml:space="preserve">De tipo voz y en diferido </t>
  </si>
  <si>
    <t xml:space="preserve">De tipo escrito y voz en tiempo real </t>
  </si>
  <si>
    <t xml:space="preserve">El programa Postfix es 
</t>
  </si>
  <si>
    <t xml:space="preserve">Un servidor de correo electrónico. </t>
  </si>
  <si>
    <t xml:space="preserve">Un servidor de páginas web. </t>
  </si>
  <si>
    <t xml:space="preserve">Un cliente de correo electrónico. </t>
  </si>
  <si>
    <t xml:space="preserve">Las opciones A y C son correctas. </t>
  </si>
  <si>
    <t xml:space="preserve">En España, el envío de comunicaciones comerciales por correo electrónico sin permiso (spam): 
</t>
  </si>
  <si>
    <t xml:space="preserve">Está totalmente permitido </t>
  </si>
  <si>
    <t xml:space="preserve">Está penado con multas de hasta 30000 €, o hasta 150000 € si el envío es de forma masiva </t>
  </si>
  <si>
    <t xml:space="preserve">Está penado con el cierre de la página web. </t>
  </si>
  <si>
    <t xml:space="preserve">El programa de correo Outlook es un: 
</t>
  </si>
  <si>
    <t>MDA</t>
  </si>
  <si>
    <t>MTA</t>
  </si>
  <si>
    <t>MUA</t>
  </si>
  <si>
    <t>Ninguna de las anteriores</t>
  </si>
  <si>
    <t xml:space="preserve">En el correo electrónico, los buzones de usuario son: </t>
  </si>
  <si>
    <t xml:space="preserve">Carpetas creadas en el cliente de correo para almacenar los emails recibidos de cada usuario. </t>
  </si>
  <si>
    <t xml:space="preserve">Dominios de correo electrónico, distinto para cada usuario. </t>
  </si>
  <si>
    <t>Carpetas creadas en el servidor de correo para almacenar los emails recibidos de cada usuario.</t>
  </si>
  <si>
    <t xml:space="preserve">Todas las opciones son verdaderas. </t>
  </si>
  <si>
    <t>TEMA  7 Mensajeria Instantanea</t>
  </si>
  <si>
    <t xml:space="preserve">Los servidores de Mensajería Instantánea:
</t>
  </si>
  <si>
    <t>Reciben las peticiones de conexión de los clientes, e informan automáticamente a los demás usuarios del cambio de estado de cualquiera.</t>
  </si>
  <si>
    <t>Reciben las peticiones de conexión de los clientes, pero no informan a los demás usuarios a no ser que éstos se lo soliciten.</t>
  </si>
  <si>
    <t>Mandan ping contínuo a sus usuarios registrados para comprobar su estado, y si están conectados mostrarlo adecuadamente a los demás usuarios.</t>
  </si>
  <si>
    <t>Pueden permanecer apagados siempre que ninguno de sus usuarios esté activo.</t>
  </si>
  <si>
    <t xml:space="preserve">En una lista de distribución…
</t>
  </si>
  <si>
    <t>Se puede programar el tiempo de visibilidad de un mensaje</t>
  </si>
  <si>
    <t>Podemos moderar los mensajes que envían los usuarios, según el tipo de lista que creemos.</t>
  </si>
  <si>
    <t>Podemos mantener un repositorio de mensajes relativos a un tema.</t>
  </si>
  <si>
    <t>Utilizan protocolo NTTP</t>
  </si>
  <si>
    <t>Un ejemplo de un servidor de IM es…</t>
  </si>
  <si>
    <t>Wampp</t>
  </si>
  <si>
    <t>Jabber</t>
  </si>
  <si>
    <t>Pan</t>
  </si>
  <si>
    <t>mIRC</t>
  </si>
  <si>
    <t xml:space="preserve">Un ejemplo de cliente de IM es…
</t>
  </si>
  <si>
    <t>Wanmp</t>
  </si>
  <si>
    <t>Whatsapp</t>
  </si>
  <si>
    <t>WWW</t>
  </si>
  <si>
    <t>WhoIs</t>
  </si>
  <si>
    <t>Una caracerística del protocolo IRC es que…</t>
  </si>
  <si>
    <t>Utiliza transporte por UDP.</t>
  </si>
  <si>
    <t>Utiliza siempre el puerto 6567</t>
  </si>
  <si>
    <t>Permite usuarios sin registrar</t>
  </si>
  <si>
    <t>El usuario sólo puede utilizar un canal (por ejemplo, deportes), y una vez elegido no puede cambiar a otro.</t>
  </si>
  <si>
    <t xml:space="preserve">Los grupos de noticias…
</t>
  </si>
  <si>
    <t>Permiten mantener un repositorio de mensajes relativos a un tema</t>
  </si>
  <si>
    <t>Podemos moderar los mensajes que envían los usuarios.</t>
  </si>
  <si>
    <t>Los mensajes nos llegan en forma de correo electrónico</t>
  </si>
  <si>
    <t>Debemos subscribirnos grupo a un canal.</t>
  </si>
  <si>
    <t>Almacenar mensajes para usuarios fuera de línea</t>
  </si>
  <si>
    <t>Crear salas de conferencia</t>
  </si>
  <si>
    <t xml:space="preserve">Mostrar el estado de los usuarios. </t>
  </si>
  <si>
    <t>Utiliza imagen para el usuario</t>
  </si>
  <si>
    <t xml:space="preserve">Los servidores de IM…
</t>
  </si>
  <si>
    <t>No son legales</t>
  </si>
  <si>
    <t>Utilizan todos protocolo XMPP</t>
  </si>
  <si>
    <t>No han seguido un estándar, y por lo tanto pueden utilizar cada uno un protocolo diferente.</t>
  </si>
  <si>
    <t>Parten de un protocolo IRC, que es modificado para que los usuarios puedan registrarse.</t>
  </si>
  <si>
    <t xml:space="preserve">Uno de los protocolos libres más utilizados (como base) para IM es:
</t>
  </si>
  <si>
    <t>XMPP</t>
  </si>
  <si>
    <t>XAMPP</t>
  </si>
  <si>
    <t>RTCP</t>
  </si>
  <si>
    <t>NTP</t>
  </si>
  <si>
    <t xml:space="preserve">Los clientes de mensajería Instantánea…
</t>
  </si>
  <si>
    <t>Son todos tipo texto, pues los clientes en modo gráfico consumirían muchos recursos</t>
  </si>
  <si>
    <t>Son todos gráficos, ya que nadie hoy en día utiliza otro método de acceso.</t>
  </si>
  <si>
    <t>Todos los que tienen modo texto también tienen modo gráfico.</t>
  </si>
  <si>
    <t>Pueden ser modo texto o modo gráfico, aunque lo más común es esto último.</t>
  </si>
  <si>
    <t>¿Cuántos canales simultáneos hacen falta en una comunicación streaming?</t>
  </si>
  <si>
    <t>Al menos uno, el de control, que utiliza RTSP</t>
  </si>
  <si>
    <t>Al menos uno, el de datos, que utiliza RTP.</t>
  </si>
  <si>
    <t>Al menos dos, el de control y el de datos.</t>
  </si>
  <si>
    <t>Todos los que queramos, según la cantidad de vídeos que queramos ver a la vez.</t>
  </si>
  <si>
    <t>Si utilizamos un códec MP3 para codificar un audio…</t>
  </si>
  <si>
    <t>Se pierde calidad, pero se reduce mucho su tamaño, por lo que se recomienda su uso en archivos de red.</t>
  </si>
  <si>
    <t>No se pierde calidad.</t>
  </si>
  <si>
    <t>Aumentamos el tamaño de archivo respecto a utilizar FLAC.</t>
  </si>
  <si>
    <t>Se pierde mucha calidad y por tanto no se recomienda su uso.</t>
  </si>
  <si>
    <t>El servicio de streaming se diferencia de otros servicios de transferencia de ficheros en que…</t>
  </si>
  <si>
    <t>Es el servidor el que inicia la comunicación con los clientes.</t>
  </si>
  <si>
    <t>El servidor utiliza múltiples puertos de escucha a la vez</t>
  </si>
  <si>
    <t>No hace falta que el archivo llegue entero para que se vaya leyendo</t>
  </si>
  <si>
    <t>El servidor tiene un buffer de entrada que permite atenuar el jitter.</t>
  </si>
  <si>
    <t>Si necesitamos enviar una señal de audio con una Frecuencia máxima de 4KHz, y una alta calidad (16 bits/muestra), necesitamos un Ancho de Banda mínimo de…</t>
  </si>
  <si>
    <t>128Kbps</t>
  </si>
  <si>
    <t>1Mbps</t>
  </si>
  <si>
    <t>700Kbps</t>
  </si>
  <si>
    <t>256Kbps</t>
  </si>
  <si>
    <t>Un ejemplo de servidor de voz sobre IP, también llamados VPBX, es…</t>
  </si>
  <si>
    <t>cSip</t>
  </si>
  <si>
    <t>Obelix</t>
  </si>
  <si>
    <t>Asterisk</t>
  </si>
  <si>
    <t>Ideafix</t>
  </si>
  <si>
    <t>Si nuestra Smart TV quiere enviar al servidor un mensaje de que la conexión es mala y se está recibiendo con mucha pérdida de paquetes, utilizaría protocolo…</t>
  </si>
  <si>
    <t>RTP</t>
  </si>
  <si>
    <t>HTTP</t>
  </si>
  <si>
    <t>RTSP</t>
  </si>
  <si>
    <t>Una imagen RAW que tiene 8 bits de profundidad y una resolución de 200x300px, ocupa un tamaño aproximado de…</t>
  </si>
  <si>
    <t>10MB</t>
  </si>
  <si>
    <t>48MB</t>
  </si>
  <si>
    <t>4,8MB</t>
  </si>
  <si>
    <t>Si tenemos una centralita IP con un módulo de 2 FXO y otro de 4 FXS podemos…</t>
  </si>
  <si>
    <t>Conectar hasta 2 líneas ADSL y 4 de telefonía convencional</t>
  </si>
  <si>
    <t>Conectar hasta 4 líneas normales de telefonía y hasta 2 faxes</t>
  </si>
  <si>
    <t>Conectar hasta 2 líneas normales de telefonía, y hasta 4 terminales (fax, teléfonos, adaptadores…)</t>
  </si>
  <si>
    <t>Daría error porque el número de FXS y FXO debe ser el mismo en cualquier centralita IP</t>
  </si>
  <si>
    <t>Si estamos viendo un vídeo de youtube a través de su web, estamos utilizando una arquitectura…</t>
  </si>
  <si>
    <t>Client-less</t>
  </si>
  <si>
    <t>Cliente/servidor</t>
  </si>
  <si>
    <t>Server-less</t>
  </si>
  <si>
    <t>Peer to Peer</t>
  </si>
  <si>
    <t>MP4 es un ejemplo de:</t>
  </si>
  <si>
    <t>Códec de audio</t>
  </si>
  <si>
    <t>Formato multimedia</t>
  </si>
  <si>
    <t>Formato contenedor</t>
  </si>
  <si>
    <t>Códec de vídeo</t>
  </si>
  <si>
    <t>PEC1</t>
  </si>
  <si>
    <t>En una conexión observamos que el cliente ha utilizado la IP 192.168.1.33 y el puerto 53247 para solicitar una página web, pero el router ha sacado dicho paquete a Internet con la IP 186.25.68.129 y el puerto 38104. ¿Qué ha pasado?</t>
  </si>
  <si>
    <t>Que el cortafuegos está filtrando la conexión</t>
  </si>
  <si>
    <t>Que el router tiene activado NAT</t>
  </si>
  <si>
    <t>Que hay configurado un port-forwarding en el router hacia el 186.25.68.129</t>
  </si>
  <si>
    <t>Que el router tiene activado PAT o NATP</t>
  </si>
  <si>
    <t xml:space="preserve">¿Cuál de las siguientes afirmaciones es cierta sobre el modelo cliente-servidor?
</t>
  </si>
  <si>
    <t>El servidor inicia la comunicación con sus clientes.</t>
  </si>
  <si>
    <t>El servidor utiliza los puertos reservados definidos para cada protocolo asociado a un servicio.</t>
  </si>
  <si>
    <t>El cliente utiliza siempre los mismos puertos para comunicarse con un determinado servicio.</t>
  </si>
  <si>
    <t>El cliente y el servidor comparten recursos por igual</t>
  </si>
  <si>
    <t xml:space="preserve">En un servidor DHCP se puede configurar el tiempo que se “presta” una dirección a un cliente mediante…
</t>
  </si>
  <si>
    <t>El tiempo de concesión o lease time</t>
  </si>
  <si>
    <t>No se puede configurar porque siempre se establece al doble del tiempo del servidor.</t>
  </si>
  <si>
    <t>El tiempo de consulta o checking time</t>
  </si>
  <si>
    <t>El tiempo de reserva o reverse time</t>
  </si>
  <si>
    <t>10.100.1.1</t>
  </si>
  <si>
    <t>169.254.30.1</t>
  </si>
  <si>
    <t>172.35.1.8</t>
  </si>
  <si>
    <t>Conectar el servidor directamente a dichas subredes</t>
  </si>
  <si>
    <t>Que los enrutadores que conectan las subredes tengan la capacidad de retransmitir los mensajes del protocolo DHCP entre ellas</t>
  </si>
  <si>
    <t>Que el servidor DHCP envíe periódicamente un mensaje DHCP_CONECT a todas las subredes existentes para indicar a los potenciales clientes dónde está y poder ofrecerles IPs.</t>
  </si>
  <si>
    <t>Que exista en cada subred un agente de retransmisión DHCP configurado para que envíe las peticiones de su subred al servidor DHCP establecido.</t>
  </si>
  <si>
    <t xml:space="preserve">¿Qué dirección IP no sería válida para un equipo de la red?
</t>
  </si>
  <si>
    <t>172.18.0.0/16</t>
  </si>
  <si>
    <t>172.30.0.255/16</t>
  </si>
  <si>
    <t>10.0.255.1/16</t>
  </si>
  <si>
    <t>192.168.37.255/16</t>
  </si>
  <si>
    <t xml:space="preserve">Cuando un ordenador con cliente DHCP activado se enciende envía a la red automáticamente un mensaje:
</t>
  </si>
  <si>
    <t>DHCPDISCOVER</t>
  </si>
  <si>
    <t>DHCPOFFER</t>
  </si>
  <si>
    <t>DHCPREQUEST</t>
  </si>
  <si>
    <t>DHCPRELEASE</t>
  </si>
  <si>
    <t xml:space="preserve">¿Qué ocurre en un equipo de una red que tiene un servidor DHCP activo, si después de haber obtenido una IP y llevar un tiempo funcionando le vence el tiempo de la IP y necesita renovarla, pero el servidor DHCP se ha caído y no responde?
</t>
  </si>
  <si>
    <t>Que mantiene la IP que se le había asignado hasta que no le den otra.</t>
  </si>
  <si>
    <t>Que se queda sólo con la dirección de loopback o bucle local.</t>
  </si>
  <si>
    <t>Que pierde la dirección IP y se queda con el símbolo de “sin conexión” (una x roja sobre el símbolo de conexión) hasta que reiniciemos el equipo.</t>
  </si>
  <si>
    <t>Que al no ser capaz de renovar la dirección obtiene una dirección APIPA, que intenta renovarse cada pocos minutos.</t>
  </si>
  <si>
    <t xml:space="preserve">¿A qué se denomina socket de comunicación?
</t>
  </si>
  <si>
    <t>Al conjunto IP:puerto que se abre por cada cliente</t>
  </si>
  <si>
    <t>A la conexión que se establece entre el equipo y el router o puerta de enlace.</t>
  </si>
  <si>
    <t>Al conjunto IP:MAC de un equipo para cualquier comunicación a nivel de enlace</t>
  </si>
  <si>
    <t>Al puerto de comunicación que se abre por una aplicación.</t>
  </si>
  <si>
    <t xml:space="preserve">En la configuración de un servidor DHCP se ha definido que el servidor DNS de los clientes sea el 8.8.8.8. Pero en las opciones de uno de los ámbitos aparece definido como servidor DNS el 8.8.4.4. ¿Qué pasaría?
</t>
  </si>
  <si>
    <t>Los clientes que pertenecen al ámbito obtienen como servidor DNS el 8.8.4.4 pero todos los demás apuntan al DNS 8.8.8.8</t>
  </si>
  <si>
    <t>Todos los clientes del servidor, incluído los del ámbito en cuestión, obtienen la misma dirección DNS que es la 8.8.8.8 porque las opciones de servidor priman sobre cualquier otra.</t>
  </si>
  <si>
    <t>Los clientes que pertenecen al ámbito no obtienen servidor DNS porque hay una incongruencia en la configuración del servidor</t>
  </si>
  <si>
    <t>Todos los clientes del servidor obtienen como servidor DNS el 8.8.4.4 porque hemos sobreescrito al DNS del servidor.</t>
  </si>
  <si>
    <t>PEC2</t>
  </si>
  <si>
    <t>Si un servidor DNS no reenviador y con recursividad activada recibe una consulta, para la que no está autorizado ni tiene información en caché, …</t>
  </si>
  <si>
    <t>Devuelve siempre una respuesta negativa</t>
  </si>
  <si>
    <t>Reenvía consultas de manera iterativa hasta que obtiene una respuesta positiva o negativa</t>
  </si>
  <si>
    <t>Reenvía consultas de manera recursiva hasta que obtiene una respuesta positiva o negativa</t>
  </si>
  <si>
    <t>Devuelve siempre una respuesta positiva.</t>
  </si>
  <si>
    <r>
      <t xml:space="preserve">Cuando realizamos una conexión FTP y enviamos una solicitud </t>
    </r>
    <r>
      <rPr>
        <i/>
        <sz val="12"/>
        <color theme="1"/>
        <rFont val="Calibri"/>
        <family val="2"/>
        <scheme val="minor"/>
      </rPr>
      <t>get</t>
    </r>
    <r>
      <rPr>
        <sz val="12"/>
        <color theme="1"/>
        <rFont val="Calibri"/>
        <family val="2"/>
        <scheme val="minor"/>
      </rPr>
      <t xml:space="preserve"> para descargar un fichero estamos utilizando:</t>
    </r>
  </si>
  <si>
    <t>El puerto 21 del servidor</t>
  </si>
  <si>
    <t>El puerto 20 del servidor</t>
  </si>
  <si>
    <r>
      <t xml:space="preserve">El comando </t>
    </r>
    <r>
      <rPr>
        <i/>
        <sz val="12"/>
        <color theme="1"/>
        <rFont val="Calibri"/>
        <family val="2"/>
        <scheme val="minor"/>
      </rPr>
      <t xml:space="preserve">get </t>
    </r>
    <r>
      <rPr>
        <sz val="12"/>
        <color theme="1"/>
        <rFont val="Calibri"/>
        <family val="2"/>
        <scheme val="minor"/>
      </rPr>
      <t>no existe en FTP.</t>
    </r>
  </si>
  <si>
    <t>Cualquier puerto aleatorio superior a 1024</t>
  </si>
  <si>
    <t>En una URL www.deb_server.asir.gsd.com.es podemos decir que “gsd” es un…</t>
  </si>
  <si>
    <t>Dominio de segundo nivel</t>
  </si>
  <si>
    <t>Dominio de tercer nivel</t>
  </si>
  <si>
    <t>Dominio raíz</t>
  </si>
  <si>
    <t>Dominio de primer nivel o tld</t>
  </si>
  <si>
    <t>Protocolo HTTP</t>
  </si>
  <si>
    <t>Clientes WEB</t>
  </si>
  <si>
    <t>Servidores WEB</t>
  </si>
  <si>
    <t>Si en una zona directa DNS tenemos una entrada “asir.gsd.es.  IN  A  211.144.3.121” y queremos crear una zona de resolución inversa coherente a dicha zona directa, tendremos que introducir al menos una línea que indique:</t>
  </si>
  <si>
    <t>121.3.144.211.in-addr.arpa.       IN           PTR        asir.gsd.es.</t>
  </si>
  <si>
    <t>121.3.441.112                          IN           PTR        asir.gsd.es.</t>
  </si>
  <si>
    <t xml:space="preserve">121.3.441.112.in-addr.arpa.        IN           PTR        asir.gsd.es. </t>
  </si>
  <si>
    <t>121.3.144.211                         IN           PTR        asir.gsd.es.</t>
  </si>
  <si>
    <t xml:space="preserve">Sobre la modificación de los registros de un servidor DNS para que estén actualizados podemos afirmar que…
</t>
  </si>
  <si>
    <t>Se puede realizar tanto en un entorno de IPs privadas como con direcciones de Internet, y se denomina DDNS.</t>
  </si>
  <si>
    <t>Existen actualizaciones dinámicas que pueden realizar todos los servidores DHCP de modo automático, sin necesidad de configurarles nada extra.</t>
  </si>
  <si>
    <t>Los registros nunca van a estar del todo actualizados porque el tiempo de convergencia de las redes es demasiado grande, y cuando se alcanza ya se han cambiado muchos registros.</t>
  </si>
  <si>
    <t>Se puede realizar de dos maneras, manual o dinámica, siendo más fiable la primera.</t>
  </si>
  <si>
    <t xml:space="preserve">Si queremos ofrecer un servicio de hosting virtual para alquilar dominios a varios clientes en el servidor y que monten sus plataformas, crearíamos…
</t>
  </si>
  <si>
    <t>Alojamiento virtual basado en nombres</t>
  </si>
  <si>
    <t>Alojamiento virtual basado en Ips</t>
  </si>
  <si>
    <t>Alojamiento virtual basado en puertos</t>
  </si>
  <si>
    <t>Alojamiento virtual basado en servicios</t>
  </si>
  <si>
    <t>Un servidor TFTP</t>
  </si>
  <si>
    <t>Un servidor TFTP con un usuario anonymous</t>
  </si>
  <si>
    <t>Un servidor FTP sin seguridad implementad</t>
  </si>
  <si>
    <t>Un servidor FTPS con usuario anonymous</t>
  </si>
  <si>
    <t xml:space="preserve">Si queremos proteger nuestra red corporativa, pero permitir acceso desde fuera a nuestro servidor web
</t>
  </si>
  <si>
    <t>Montaríamos delante un proxy inverso</t>
  </si>
  <si>
    <t>Montaríamos delante un proxy directo.</t>
  </si>
  <si>
    <t>Montaríamos delante un proxy caché</t>
  </si>
  <si>
    <t>Montaríamos un port-forwarding en nuestro router.</t>
  </si>
  <si>
    <t>Cuando utilizamos el puerto 22 para una conexión de tipo FTP es porque estamos utilizando:</t>
  </si>
  <si>
    <t>SFTP, es decir FTP sobre SSH</t>
  </si>
  <si>
    <t>Modo pasivo</t>
  </si>
  <si>
    <t>Modo activo</t>
  </si>
  <si>
    <t>FTPS, es decir FTP sobre SSL</t>
  </si>
  <si>
    <t xml:space="preserve">Si, utiliza una jerarquía donde empezando por la izquierda nos indica desde el nodo final hasta los nodos padres (Ejemplo: www.cc.intec.edu.es---&gt; www (nodo final) el nombre del computador, cc el tipo de organización, intec el nombre de la organización, edu el departamento, es (nodo padre) indica el nombre del país ).
</t>
  </si>
  <si>
    <t>Suponiendo que estás conectado con un cliente FTP en modo comandos a un servidor FTP, para listar los ficheros del directorio actual dek servidor y posteriormente descargar un fichero, ejecutarías los comandos…</t>
  </si>
  <si>
    <t>Si necesitamos montar rápidamente un sistema en el que los equipos de interconexión -que no pueden autenticarse por sí mismos- (routers, switch…) se autoconfiguren a partir de un fichero remoto, el mejor sistema a montar sería…</t>
  </si>
  <si>
    <t>PEC3</t>
  </si>
  <si>
    <t xml:space="preserve">Exchange de Microsoft es un ejemplo de… </t>
  </si>
  <si>
    <t>MIME</t>
  </si>
  <si>
    <t>El ya en desuso “Messenger” de Hotmail es un ejemplo de…</t>
  </si>
  <si>
    <t>Cliente de IM</t>
  </si>
  <si>
    <t>Cliente de Chat</t>
  </si>
  <si>
    <t>Servidor de IM</t>
  </si>
  <si>
    <t>Servidor de Chat</t>
  </si>
  <si>
    <t>Si queremos conectar dos FAX directamente a una Centralita de voz IP, necesitamos pedir que la centralita tenga al menos…</t>
  </si>
  <si>
    <t>Una tarjeta con 2FXO</t>
  </si>
  <si>
    <t>Una tarjeta con 2FXS</t>
  </si>
  <si>
    <t>Una tarjeta con 2FXS y 2 FXO</t>
  </si>
  <si>
    <t>Una tarjeta con un E1</t>
  </si>
  <si>
    <t>Si necesitamos enviar una señal de audio con una Frecuencia máxima de 20KHz, y una calidad media (8 bits/muestra), necesitamos un Ancho de Banda mínimo de…</t>
  </si>
  <si>
    <t>760Kbps</t>
  </si>
  <si>
    <t>10Mbps</t>
  </si>
  <si>
    <t>320Kbps</t>
  </si>
  <si>
    <t>¿Cuál de las siguientes funciones de un servidor de IM es opcional?</t>
  </si>
  <si>
    <t>Registrar usuarios</t>
  </si>
  <si>
    <t>Crear salas de conferencias</t>
  </si>
  <si>
    <t>Enviar mensajes entre usuarios</t>
  </si>
  <si>
    <t>Mostrar el estado de los usuarios</t>
  </si>
  <si>
    <t>Cuál de los siguientes servicios no puede hacerlo una centralita convencional, y sí una centralita IP</t>
  </si>
  <si>
    <t>Desvio de llamada</t>
  </si>
  <si>
    <t>Identificacion de llamada</t>
  </si>
  <si>
    <t>Grupos de llamada</t>
  </si>
  <si>
    <t>Enviar fax entrantes por email</t>
  </si>
  <si>
    <t>Si hemos configurado un cliente de correo a un usuario, y el usuario nos indica que puede recibir correos pero no enviarlos, el problema más probable es que…</t>
  </si>
  <si>
    <t>No tengamos ningún tipo de conexión con el servidor.</t>
  </si>
  <si>
    <t>Falle el IMAP</t>
  </si>
  <si>
    <t>Falle el SMTP</t>
  </si>
  <si>
    <t>Falle el POP3</t>
  </si>
  <si>
    <t xml:space="preserve">En una dirección de correo electrónico, se incluye el uso del servicio de…: </t>
  </si>
  <si>
    <t>FTP</t>
  </si>
  <si>
    <t>DNS</t>
  </si>
  <si>
    <t xml:space="preserve">DHCP
</t>
  </si>
  <si>
    <t>IM</t>
  </si>
  <si>
    <t>Un vídeo de 10 minutos son comprimir, a 16 frames/s, cada uno de ellos con 16 bits de profundidad y una resolución de 4Mpix, ocupa un BW aproximado de…</t>
  </si>
  <si>
    <t>480MB</t>
  </si>
  <si>
    <t>32.000MB</t>
  </si>
  <si>
    <t>76.800MB</t>
  </si>
  <si>
    <t>14.</t>
  </si>
  <si>
    <t>15.</t>
  </si>
  <si>
    <t>16.</t>
  </si>
  <si>
    <t>17.</t>
  </si>
  <si>
    <t>18.</t>
  </si>
  <si>
    <t>11.</t>
  </si>
  <si>
    <t>12.</t>
  </si>
  <si>
    <t>13.</t>
  </si>
  <si>
    <t>19.</t>
  </si>
  <si>
    <t>20.</t>
  </si>
  <si>
    <t xml:space="preserve">Podemos adjuntar casi cualquier tipo de archivo a un email gracias a…: </t>
  </si>
  <si>
    <t>UNICODE</t>
  </si>
  <si>
    <t>Los MTA</t>
  </si>
  <si>
    <t>La aparición de EMOJI</t>
  </si>
  <si>
    <t>Los tipo MIME</t>
  </si>
  <si>
    <t>Uno de los protocolos libres más utilizados (como base) para IM es:</t>
  </si>
  <si>
    <t>Si utilizamos un códec lossless para codificar un audio…</t>
  </si>
  <si>
    <t>Aumentamos el tamaño de archivo.</t>
  </si>
  <si>
    <t xml:space="preserve">No se pierde calidad.
</t>
  </si>
  <si>
    <t xml:space="preserve">Se pierde mucha calidad y por tanto no se recomienda su uso.
</t>
  </si>
  <si>
    <t xml:space="preserve">En el correo electrónico, el MUA es: </t>
  </si>
  <si>
    <t xml:space="preserve">El cliente de correo que permite enviar, recibir y escribir correos. 
</t>
  </si>
  <si>
    <t xml:space="preserve">El agente de entrega, distribuye y entrega los correos a los buzones de los destinatarios. 
</t>
  </si>
  <si>
    <t>Open Relay</t>
  </si>
  <si>
    <t>Webinar</t>
  </si>
  <si>
    <t>Estafetas</t>
  </si>
  <si>
    <t>Smart Host</t>
  </si>
  <si>
    <t xml:space="preserve">Zonas dns para dicho usuario. </t>
  </si>
  <si>
    <t>Dominios de correo electrónico, distinto para cada usuario.</t>
  </si>
  <si>
    <t xml:space="preserve">Carpetas creadas en el servidor de correo para almacenar los emails recibidos de cada usuario. </t>
  </si>
  <si>
    <t xml:space="preserve">Carpetas creadas en el cliente de correo para almacenar los emails recibidos de cada usuario. 
</t>
  </si>
  <si>
    <t>Una lista de distribución puede ser…</t>
  </si>
  <si>
    <t>Modeada, Abierta y Privada</t>
  </si>
  <si>
    <t>Abierta, Pública y de Internet</t>
  </si>
  <si>
    <t>De Intranet, Cerrada y Moderada.</t>
  </si>
  <si>
    <t>Cerrada, Privada y Pública</t>
  </si>
  <si>
    <t>Para poder monitorizar los eventos de un servidor VPBX asterisk puedo escribir…</t>
  </si>
  <si>
    <t>asterisk –rvv</t>
  </si>
  <si>
    <t xml:space="preserve">./asterisk
</t>
  </si>
  <si>
    <t xml:space="preserve">show asterisk events
</t>
  </si>
  <si>
    <t>service asterisk2 review</t>
  </si>
  <si>
    <t>Si con el mando de nuestra nuestra Smart TV seleccionamos una determinada película a la carta, utilizaría protocolo…</t>
  </si>
  <si>
    <t>¿Qué inconveniente puede tener el correo electrónico frente al convencional?</t>
  </si>
  <si>
    <t>No podemos enviar elemntos fisicos</t>
  </si>
  <si>
    <t>El correo electronico es menos eficiente</t>
  </si>
  <si>
    <t>El coste es mayor</t>
  </si>
  <si>
    <t>El correo convencional es mas seguro</t>
  </si>
  <si>
    <t>Cuál de las siguientes acciones podemos realizarla en una lista de distribución y NO en un grupo de noticias…</t>
  </si>
  <si>
    <t xml:space="preserve">Podemos moderar los mensajes que envían los usuarios
</t>
  </si>
  <si>
    <t xml:space="preserve">Se puede programar el tiempo de visibilidad de un mensaje
</t>
  </si>
  <si>
    <t xml:space="preserve">Utilizan protocolo NTTP
</t>
  </si>
  <si>
    <r>
      <t xml:space="preserve"> ¿Cuál de los siguientes niveles </t>
    </r>
    <r>
      <rPr>
        <b/>
        <sz val="12"/>
        <color rgb="FFFF0000"/>
        <rFont val="Calibri"/>
        <family val="2"/>
        <scheme val="minor"/>
      </rPr>
      <t>NO</t>
    </r>
    <r>
      <rPr>
        <sz val="12"/>
        <color rgb="FF000000"/>
        <rFont val="Calibri"/>
        <family val="2"/>
        <scheme val="minor"/>
      </rPr>
      <t xml:space="preserve"> forma parte de la arquitectura TCP/IP?</t>
    </r>
  </si>
  <si>
    <t>Indica que Direccion Ip no es valida para un host</t>
  </si>
  <si>
    <t>En el modelo cliente-servidor</t>
  </si>
  <si>
    <t>Sobre protocolos de red en los servicios podemos afirmar que:</t>
  </si>
  <si>
    <t>¿Qué función desempeña la puerta de enlace de una red?</t>
  </si>
  <si>
    <r>
      <t xml:space="preserve">Si un equipo con IP </t>
    </r>
    <r>
      <rPr>
        <b/>
        <sz val="12"/>
        <color theme="4"/>
        <rFont val="Calibri"/>
        <family val="2"/>
        <scheme val="minor"/>
      </rPr>
      <t>10.0.30.2</t>
    </r>
    <r>
      <rPr>
        <sz val="12"/>
        <color rgb="FF000000"/>
        <rFont val="Calibri"/>
        <family val="2"/>
        <scheme val="minor"/>
      </rPr>
      <t xml:space="preserve"> quiere conectarse a </t>
    </r>
    <r>
      <rPr>
        <b/>
        <sz val="12"/>
        <color rgb="FFFF0000"/>
        <rFont val="Calibri"/>
        <family val="2"/>
        <scheme val="minor"/>
      </rPr>
      <t xml:space="preserve">www.google.es </t>
    </r>
    <r>
      <rPr>
        <b/>
        <sz val="12"/>
        <color theme="4"/>
        <rFont val="Calibri"/>
        <family val="2"/>
        <scheme val="minor"/>
      </rPr>
      <t>(216.58.211.227)</t>
    </r>
  </si>
  <si>
    <r>
      <t>Indicar que direccion IP</t>
    </r>
    <r>
      <rPr>
        <b/>
        <sz val="12"/>
        <color rgb="FFFF0000"/>
        <rFont val="Calibri"/>
        <family val="2"/>
        <scheme val="minor"/>
      </rPr>
      <t xml:space="preserve"> no es privada</t>
    </r>
    <r>
      <rPr>
        <sz val="12"/>
        <color rgb="FF000000"/>
        <rFont val="Calibri"/>
        <family val="2"/>
        <scheme val="minor"/>
      </rPr>
      <t>:</t>
    </r>
  </si>
  <si>
    <r>
      <t>¿Cuál de las siguientes afirmaciones es</t>
    </r>
    <r>
      <rPr>
        <b/>
        <sz val="12"/>
        <color rgb="FFFF0000"/>
        <rFont val="Calibri"/>
        <family val="2"/>
        <scheme val="minor"/>
      </rPr>
      <t xml:space="preserve"> verdadera</t>
    </r>
    <r>
      <rPr>
        <sz val="12"/>
        <color rgb="FF000000"/>
        <rFont val="Calibri"/>
        <family val="2"/>
        <scheme val="minor"/>
      </rPr>
      <t>?</t>
    </r>
  </si>
  <si>
    <r>
      <t xml:space="preserve">¿Cuál de las siguientes afirmaciones es </t>
    </r>
    <r>
      <rPr>
        <b/>
        <sz val="12"/>
        <color rgb="FFFF0000"/>
        <rFont val="Calibri"/>
        <family val="2"/>
        <scheme val="minor"/>
      </rPr>
      <t>verdadera</t>
    </r>
    <r>
      <rPr>
        <sz val="12"/>
        <color rgb="FF000000"/>
        <rFont val="Calibri"/>
        <family val="2"/>
        <scheme val="minor"/>
      </rPr>
      <t>?</t>
    </r>
  </si>
  <si>
    <r>
      <t xml:space="preserve">¿Qué afirmación es </t>
    </r>
    <r>
      <rPr>
        <b/>
        <sz val="12"/>
        <color rgb="FFFF0000"/>
        <rFont val="Calibri"/>
        <family val="2"/>
        <scheme val="minor"/>
      </rPr>
      <t>falsa</t>
    </r>
    <r>
      <rPr>
        <sz val="12"/>
        <color rgb="FF000000"/>
        <rFont val="Calibri"/>
        <family val="2"/>
        <scheme val="minor"/>
      </rPr>
      <t>?</t>
    </r>
  </si>
  <si>
    <r>
      <t>¿Cuál de los siguientes problemas</t>
    </r>
    <r>
      <rPr>
        <b/>
        <sz val="12"/>
        <color rgb="FFFF0000"/>
        <rFont val="Calibri"/>
        <family val="2"/>
        <scheme val="minor"/>
      </rPr>
      <t xml:space="preserve"> no se solventa</t>
    </r>
    <r>
      <rPr>
        <sz val="12"/>
        <color rgb="FF000000"/>
        <rFont val="Calibri"/>
        <family val="2"/>
        <scheme val="minor"/>
      </rPr>
      <t xml:space="preserve"> con DHCP?</t>
    </r>
  </si>
  <si>
    <r>
      <t xml:space="preserve">¿Cuál </t>
    </r>
    <r>
      <rPr>
        <b/>
        <sz val="12"/>
        <color rgb="FFFF0000"/>
        <rFont val="Calibri"/>
        <family val="2"/>
        <scheme val="minor"/>
      </rPr>
      <t>NO</t>
    </r>
    <r>
      <rPr>
        <sz val="12"/>
        <color rgb="FF000000"/>
        <rFont val="Calibri"/>
        <family val="2"/>
        <scheme val="minor"/>
      </rPr>
      <t xml:space="preserve"> es un servidor DHCP?</t>
    </r>
  </si>
  <si>
    <r>
      <t xml:space="preserve">¿Qué afirmación </t>
    </r>
    <r>
      <rPr>
        <b/>
        <sz val="12"/>
        <color rgb="FFFF0000"/>
        <rFont val="Calibri"/>
        <family val="2"/>
        <scheme val="minor"/>
      </rPr>
      <t>no es cierta</t>
    </r>
    <r>
      <rPr>
        <sz val="12"/>
        <color rgb="FF000000"/>
        <rFont val="Calibri"/>
        <family val="2"/>
        <scheme val="minor"/>
      </rPr>
      <t xml:space="preserve"> referente a los parámetros que puede configurar DHCP?</t>
    </r>
  </si>
  <si>
    <r>
      <t xml:space="preserve">¿Cuál de las siguientes situaciones </t>
    </r>
    <r>
      <rPr>
        <b/>
        <sz val="12"/>
        <color rgb="FFFF0000"/>
        <rFont val="Calibri"/>
        <family val="2"/>
        <scheme val="minor"/>
      </rPr>
      <t>no es válida</t>
    </r>
    <r>
      <rPr>
        <sz val="12"/>
        <color rgb="FF000000"/>
        <rFont val="Calibri"/>
        <family val="2"/>
        <scheme val="minor"/>
      </rPr>
      <t xml:space="preserve"> a la hora de renovar la dirección IP?</t>
    </r>
  </si>
  <si>
    <r>
      <t xml:space="preserve">Indica qué respuesta </t>
    </r>
    <r>
      <rPr>
        <b/>
        <sz val="12"/>
        <color rgb="FFFF0000"/>
        <rFont val="Calibri"/>
        <family val="2"/>
        <scheme val="minor"/>
      </rPr>
      <t>NO</t>
    </r>
    <r>
      <rPr>
        <sz val="12"/>
        <rFont val="Calibri"/>
        <family val="2"/>
        <scheme val="minor"/>
      </rPr>
      <t xml:space="preserve"> es correcta respecto a la seguridad en FTP</t>
    </r>
  </si>
  <si>
    <r>
      <t xml:space="preserve">Si tu ciente FTP está en una red en la que se realiza </t>
    </r>
    <r>
      <rPr>
        <b/>
        <sz val="12"/>
        <color rgb="FFFF0000"/>
        <rFont val="Calibri"/>
        <family val="2"/>
        <scheme val="minor"/>
      </rPr>
      <t>NATP</t>
    </r>
    <r>
      <rPr>
        <sz val="12"/>
        <rFont val="Calibri"/>
        <family val="2"/>
        <scheme val="minor"/>
      </rPr>
      <t xml:space="preserve"> para salir a Internet lo normal es que utilices…</t>
    </r>
  </si>
  <si>
    <r>
      <t xml:space="preserve">¿Qué es </t>
    </r>
    <r>
      <rPr>
        <b/>
        <sz val="12"/>
        <color rgb="FFFF0000"/>
        <rFont val="Calibri"/>
        <family val="2"/>
        <scheme val="minor"/>
      </rPr>
      <t>falso</t>
    </r>
    <r>
      <rPr>
        <sz val="12"/>
        <rFont val="Calibri"/>
        <family val="2"/>
        <scheme val="minor"/>
      </rPr>
      <t>?</t>
    </r>
  </si>
  <si>
    <r>
      <t xml:space="preserve">¿Qué es </t>
    </r>
    <r>
      <rPr>
        <b/>
        <sz val="12"/>
        <color rgb="FFFF0000"/>
        <rFont val="Calibri"/>
        <family val="2"/>
        <scheme val="minor"/>
      </rPr>
      <t>falso</t>
    </r>
    <r>
      <rPr>
        <sz val="12"/>
        <rFont val="Calibri"/>
        <family val="2"/>
        <scheme val="minor"/>
      </rPr>
      <t xml:space="preserve"> sobre los tipos de acceso a un servidor FTP?</t>
    </r>
  </si>
  <si>
    <r>
      <t xml:space="preserve">Sobre cookies ¿Qué afirmación es </t>
    </r>
    <r>
      <rPr>
        <b/>
        <sz val="12"/>
        <color rgb="FFFF0000"/>
        <rFont val="Calibri"/>
        <family val="2"/>
        <scheme val="minor"/>
      </rPr>
      <t>falsa</t>
    </r>
    <r>
      <rPr>
        <sz val="12"/>
        <rFont val="Calibri"/>
        <family val="2"/>
        <scheme val="minor"/>
      </rPr>
      <t xml:space="preserve">?
</t>
    </r>
  </si>
  <si>
    <r>
      <t xml:space="preserve">En la URI </t>
    </r>
    <r>
      <rPr>
        <b/>
        <sz val="12"/>
        <color rgb="FFFF0000"/>
        <rFont val="Calibri"/>
        <family val="2"/>
        <scheme val="minor"/>
      </rPr>
      <t>http://www.asir.net:8080/admin/buscar.php?id=4&amp;theme=Maths</t>
    </r>
  </si>
  <si>
    <r>
      <t xml:space="preserve">¿Qué afirmación </t>
    </r>
    <r>
      <rPr>
        <b/>
        <sz val="12"/>
        <color rgb="FFFF0000"/>
        <rFont val="Calibri"/>
        <family val="2"/>
        <scheme val="minor"/>
      </rPr>
      <t>NO</t>
    </r>
    <r>
      <rPr>
        <sz val="12"/>
        <rFont val="Calibri"/>
        <family val="2"/>
        <scheme val="minor"/>
      </rPr>
      <t xml:space="preserve"> es cierta?
</t>
    </r>
  </si>
  <si>
    <r>
      <t xml:space="preserve">Indica cuál de las siguientes </t>
    </r>
    <r>
      <rPr>
        <b/>
        <sz val="12"/>
        <color rgb="FFFF0000"/>
        <rFont val="Calibri"/>
        <family val="2"/>
        <scheme val="minor"/>
      </rPr>
      <t>NO</t>
    </r>
    <r>
      <rPr>
        <sz val="12"/>
        <rFont val="Calibri"/>
        <family val="2"/>
        <scheme val="minor"/>
      </rPr>
      <t xml:space="preserve"> es una ventaja del correo electrónico </t>
    </r>
  </si>
  <si>
    <r>
      <t xml:space="preserve">¿Cuál de las siguientes funciones de un servidor de IM </t>
    </r>
    <r>
      <rPr>
        <b/>
        <sz val="12"/>
        <color rgb="FFFF0000"/>
        <rFont val="Calibri"/>
        <family val="2"/>
        <scheme val="minor"/>
      </rPr>
      <t>NO</t>
    </r>
    <r>
      <rPr>
        <sz val="12"/>
        <rFont val="Calibri"/>
        <family val="2"/>
        <scheme val="minor"/>
      </rPr>
      <t xml:space="preserve"> es opcional?
</t>
    </r>
  </si>
  <si>
    <r>
      <t xml:space="preserve">¿Cuál de las siguientes opciones </t>
    </r>
    <r>
      <rPr>
        <b/>
        <sz val="12"/>
        <color rgb="FFFF0000"/>
        <rFont val="Calibri"/>
        <family val="2"/>
        <scheme val="minor"/>
      </rPr>
      <t>NO</t>
    </r>
    <r>
      <rPr>
        <sz val="12"/>
        <color theme="1"/>
        <rFont val="Calibri"/>
        <family val="2"/>
        <scheme val="minor"/>
      </rPr>
      <t xml:space="preserve"> es válida para montar un servidor DHCP centralizado a varias subredes?</t>
    </r>
  </si>
  <si>
    <r>
      <t xml:space="preserve">¿Qué dirección IP de las que siguen podría salir a Internet </t>
    </r>
    <r>
      <rPr>
        <b/>
        <sz val="12"/>
        <color rgb="FFFF0000"/>
        <rFont val="Calibri"/>
        <family val="2"/>
        <scheme val="minor"/>
      </rPr>
      <t>sin NAT</t>
    </r>
    <r>
      <rPr>
        <sz val="12"/>
        <color theme="1"/>
        <rFont val="Calibri"/>
        <family val="2"/>
        <scheme val="minor"/>
      </rPr>
      <t>?</t>
    </r>
  </si>
  <si>
    <r>
      <t xml:space="preserve">¿Cuál de los siguientes </t>
    </r>
    <r>
      <rPr>
        <b/>
        <sz val="12"/>
        <color rgb="FFFF0000"/>
        <rFont val="Calibri"/>
        <family val="2"/>
        <scheme val="minor"/>
      </rPr>
      <t>NO</t>
    </r>
    <r>
      <rPr>
        <sz val="12"/>
        <color theme="1"/>
        <rFont val="Calibri"/>
        <family val="2"/>
        <scheme val="minor"/>
      </rPr>
      <t xml:space="preserve"> es un componente WEB?
</t>
    </r>
  </si>
  <si>
    <t>60KB</t>
  </si>
  <si>
    <r>
      <t xml:space="preserve">¿Cuál de los siguientes </t>
    </r>
    <r>
      <rPr>
        <b/>
        <sz val="12"/>
        <color rgb="FFFF0000"/>
        <rFont val="Calibri"/>
        <family val="2"/>
        <scheme val="minor"/>
      </rPr>
      <t>no</t>
    </r>
    <r>
      <rPr>
        <sz val="12"/>
        <color theme="1"/>
        <rFont val="Calibri"/>
        <family val="2"/>
        <scheme val="minor"/>
      </rPr>
      <t xml:space="preserve"> es un tipo de servidor de correo?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</si>
</sst>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amily val="2"/>
    </font>
    <font>
      <sz val="16"/>
      <color theme="1"/>
      <name val="Tahoma"/>
      <family val="2"/>
    </font>
    <font>
      <sz val="8"/>
      <name val="Calibri"/>
      <family val="2"/>
      <scheme val="minor"/>
    </font>
    <font>
      <b/>
      <sz val="11"/>
      <color theme="1"/>
      <name val="Calibri"/>
      <family val="2"/>
      <scheme val="minor"/>
    </font>
    <font>
      <sz val="12"/>
      <color rgb="FF000000"/>
      <name val="Helvetica"/>
    </font>
    <font>
      <sz val="9"/>
      <color theme="0"/>
      <name val="Calibri"/>
      <family val="2"/>
      <scheme val="minor"/>
    </font>
    <font>
      <sz val="12"/>
      <color theme="0"/>
      <name val="Calibri"/>
      <family val="2"/>
      <scheme val="minor"/>
    </font>
    <font>
      <sz val="12"/>
      <name val="Calibri"/>
      <family val="2"/>
      <scheme val="minor"/>
    </font>
    <font>
      <sz val="12"/>
      <name val="Arial"/>
      <family val="2"/>
    </font>
    <font>
      <sz val="11"/>
      <color theme="1"/>
      <name val="Calibri"/>
      <family val="2"/>
      <scheme val="minor"/>
    </font>
    <font>
      <sz val="9"/>
      <color theme="1"/>
      <name val="Arial"/>
      <family val="2"/>
    </font>
    <font>
      <sz val="9"/>
      <color theme="1"/>
      <name val="Symbol"/>
      <family val="1"/>
      <charset val="2"/>
    </font>
    <font>
      <sz val="14"/>
      <color theme="1"/>
      <name val="Calibri"/>
      <family val="2"/>
      <scheme val="minor"/>
    </font>
    <font>
      <sz val="12"/>
      <name val="Arial"/>
      <family val="2"/>
    </font>
    <font>
      <sz val="12"/>
      <color theme="1"/>
      <name val="Arial"/>
      <family val="2"/>
    </font>
    <font>
      <sz val="9"/>
      <color theme="1"/>
      <name val="Arial"/>
      <family val="2"/>
    </font>
    <font>
      <i/>
      <sz val="12"/>
      <color theme="1"/>
      <name val="Calibri"/>
      <family val="2"/>
      <scheme val="minor"/>
    </font>
    <font>
      <b/>
      <sz val="11"/>
      <color rgb="FFFF0000"/>
      <name val="Calibri"/>
      <family val="2"/>
      <scheme val="minor"/>
    </font>
    <font>
      <b/>
      <sz val="12"/>
      <color rgb="FFFF0000"/>
      <name val="Calibri"/>
      <family val="2"/>
      <scheme val="minor"/>
    </font>
    <font>
      <b/>
      <sz val="12"/>
      <color theme="4"/>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s>
  <borders count="16">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top/>
      <bottom style="thin">
        <color auto="1"/>
      </bottom>
      <diagonal/>
    </border>
    <border>
      <left/>
      <right/>
      <top style="hair">
        <color auto="1"/>
      </top>
      <bottom/>
      <diagonal/>
    </border>
    <border>
      <left/>
      <right/>
      <top style="thin">
        <color auto="1"/>
      </top>
      <bottom style="thin">
        <color auto="1"/>
      </bottom>
      <diagonal/>
    </border>
    <border>
      <left/>
      <right style="thin">
        <color auto="1"/>
      </right>
      <top style="hair">
        <color auto="1"/>
      </top>
      <bottom/>
      <diagonal/>
    </border>
  </borders>
  <cellStyleXfs count="292">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3" fillId="0" borderId="0">
      <alignment horizontal="center" vertical="center" wrapText="1"/>
    </xf>
  </cellStyleXfs>
  <cellXfs count="172">
    <xf numFmtId="0" fontId="0" fillId="0" borderId="0" xfId="0"/>
    <xf numFmtId="0" fontId="0" fillId="0" borderId="0" xfId="0" applyBorder="1" applyAlignment="1" applyProtection="1">
      <alignment horizontal="center" vertical="center"/>
      <protection hidden="1"/>
    </xf>
    <xf numFmtId="0" fontId="0" fillId="0" borderId="0" xfId="0" applyBorder="1" applyProtection="1">
      <protection hidden="1"/>
    </xf>
    <xf numFmtId="0" fontId="0" fillId="0" borderId="0" xfId="0" applyBorder="1" applyAlignment="1" applyProtection="1">
      <alignment vertical="center"/>
      <protection hidden="1"/>
    </xf>
    <xf numFmtId="0" fontId="0" fillId="0" borderId="0" xfId="0" applyFill="1" applyProtection="1">
      <protection hidden="1"/>
    </xf>
    <xf numFmtId="0" fontId="0" fillId="0" borderId="0" xfId="0" applyProtection="1">
      <protection hidden="1"/>
    </xf>
    <xf numFmtId="0" fontId="0" fillId="0" borderId="0" xfId="0" applyFont="1" applyBorder="1" applyAlignment="1" applyProtection="1">
      <alignment horizontal="left" vertical="center"/>
      <protection hidden="1"/>
    </xf>
    <xf numFmtId="0" fontId="0" fillId="0" borderId="0" xfId="0" applyFont="1" applyProtection="1">
      <protection hidden="1"/>
    </xf>
    <xf numFmtId="0" fontId="0" fillId="0" borderId="0" xfId="0" applyFont="1" applyBorder="1" applyProtection="1">
      <protection hidden="1"/>
    </xf>
    <xf numFmtId="0" fontId="0" fillId="0" borderId="7" xfId="0" applyBorder="1" applyAlignment="1" applyProtection="1">
      <alignment horizontal="center" vertical="center"/>
      <protection hidden="1"/>
    </xf>
    <xf numFmtId="0" fontId="0" fillId="0" borderId="7" xfId="0" applyBorder="1" applyAlignment="1" applyProtection="1">
      <alignment vertical="center"/>
      <protection hidden="1"/>
    </xf>
    <xf numFmtId="0" fontId="5" fillId="7" borderId="0" xfId="0" applyFont="1" applyFill="1" applyBorder="1" applyAlignment="1" applyProtection="1">
      <protection hidden="1"/>
    </xf>
    <xf numFmtId="0" fontId="0" fillId="4" borderId="0" xfId="0" applyFont="1" applyFill="1" applyBorder="1" applyProtection="1">
      <protection hidden="1"/>
    </xf>
    <xf numFmtId="0" fontId="0" fillId="4" borderId="0" xfId="0" applyFill="1" applyBorder="1" applyAlignment="1" applyProtection="1">
      <alignment horizontal="center" vertical="center"/>
      <protection hidden="1"/>
    </xf>
    <xf numFmtId="0" fontId="0" fillId="4" borderId="0" xfId="0" applyFill="1" applyBorder="1" applyProtection="1">
      <protection hidden="1"/>
    </xf>
    <xf numFmtId="0" fontId="0" fillId="4" borderId="5" xfId="0" applyFill="1" applyBorder="1" applyAlignment="1" applyProtection="1">
      <alignment vertical="center"/>
      <protection hidden="1"/>
    </xf>
    <xf numFmtId="0" fontId="0" fillId="4" borderId="0" xfId="0" applyFill="1" applyProtection="1">
      <protection hidden="1"/>
    </xf>
    <xf numFmtId="0" fontId="0" fillId="0" borderId="0" xfId="0" applyFont="1" applyFill="1" applyBorder="1" applyProtection="1">
      <protection hidden="1"/>
    </xf>
    <xf numFmtId="0" fontId="0" fillId="0" borderId="0" xfId="0" applyFill="1" applyBorder="1" applyProtection="1">
      <protection hidden="1"/>
    </xf>
    <xf numFmtId="0" fontId="0" fillId="0" borderId="5" xfId="0" applyFill="1" applyBorder="1" applyAlignment="1" applyProtection="1">
      <alignment vertical="center"/>
      <protection hidden="1"/>
    </xf>
    <xf numFmtId="0" fontId="6" fillId="0" borderId="0" xfId="0" applyFont="1" applyBorder="1" applyAlignment="1" applyProtection="1">
      <alignment horizontal="justify" vertical="center"/>
      <protection hidden="1"/>
    </xf>
    <xf numFmtId="0" fontId="0" fillId="2" borderId="5" xfId="0" applyFill="1" applyBorder="1" applyAlignment="1" applyProtection="1">
      <alignment vertical="center"/>
      <protection hidden="1"/>
    </xf>
    <xf numFmtId="0" fontId="0" fillId="3" borderId="5" xfId="0" applyFill="1" applyBorder="1" applyAlignment="1" applyProtection="1">
      <alignment vertical="center"/>
      <protection hidden="1"/>
    </xf>
    <xf numFmtId="0" fontId="6" fillId="0" borderId="0" xfId="0" applyFont="1" applyBorder="1" applyProtection="1">
      <protection hidden="1"/>
    </xf>
    <xf numFmtId="0" fontId="4" fillId="5" borderId="0" xfId="0" applyFont="1" applyFill="1" applyBorder="1" applyProtection="1">
      <protection hidden="1"/>
    </xf>
    <xf numFmtId="0" fontId="4" fillId="0" borderId="0" xfId="0" applyFont="1" applyBorder="1" applyProtection="1">
      <protection hidden="1"/>
    </xf>
    <xf numFmtId="0" fontId="4" fillId="0" borderId="5" xfId="0" applyFont="1" applyFill="1" applyBorder="1" applyAlignment="1" applyProtection="1">
      <alignment vertical="center"/>
      <protection hidden="1"/>
    </xf>
    <xf numFmtId="0" fontId="4" fillId="6" borderId="0" xfId="0" applyFont="1" applyFill="1" applyBorder="1" applyProtection="1">
      <protection hidden="1"/>
    </xf>
    <xf numFmtId="0" fontId="4" fillId="6" borderId="5" xfId="0" applyFont="1" applyFill="1" applyBorder="1" applyAlignment="1" applyProtection="1">
      <alignment vertical="center"/>
      <protection hidden="1"/>
    </xf>
    <xf numFmtId="0" fontId="1" fillId="0" borderId="5" xfId="0" applyFont="1" applyFill="1" applyBorder="1" applyAlignment="1" applyProtection="1">
      <alignment horizontal="center" vertical="center"/>
      <protection hidden="1"/>
    </xf>
    <xf numFmtId="0" fontId="7" fillId="2" borderId="5" xfId="0" applyFont="1" applyFill="1" applyBorder="1" applyAlignment="1" applyProtection="1">
      <alignment horizontal="center" vertical="center"/>
      <protection hidden="1"/>
    </xf>
    <xf numFmtId="0" fontId="0" fillId="0" borderId="7" xfId="0" applyFont="1" applyFill="1" applyBorder="1" applyProtection="1">
      <protection hidden="1"/>
    </xf>
    <xf numFmtId="0" fontId="0" fillId="0" borderId="7" xfId="0" applyFill="1" applyBorder="1" applyAlignment="1" applyProtection="1">
      <alignment horizontal="center" vertical="center"/>
      <protection hidden="1"/>
    </xf>
    <xf numFmtId="0" fontId="9" fillId="0" borderId="8" xfId="0" applyFont="1" applyFill="1" applyBorder="1" applyAlignment="1" applyProtection="1">
      <alignment horizontal="center"/>
      <protection hidden="1"/>
    </xf>
    <xf numFmtId="0" fontId="0" fillId="4" borderId="0" xfId="0" applyFill="1" applyAlignment="1" applyProtection="1">
      <alignment horizontal="left" wrapText="1"/>
      <protection hidden="1"/>
    </xf>
    <xf numFmtId="0" fontId="0" fillId="0" borderId="0" xfId="0" applyAlignment="1" applyProtection="1">
      <alignment wrapText="1"/>
      <protection hidden="1"/>
    </xf>
    <xf numFmtId="0" fontId="0"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Alignment="1" applyProtection="1">
      <alignment vertical="center"/>
      <protection hidden="1"/>
    </xf>
    <xf numFmtId="0" fontId="0" fillId="0" borderId="9"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hidden="1"/>
    </xf>
    <xf numFmtId="0" fontId="0" fillId="8" borderId="0" xfId="0" applyFont="1" applyFill="1" applyBorder="1" applyAlignment="1" applyProtection="1">
      <alignment horizontal="center" vertical="center"/>
      <protection hidden="1"/>
    </xf>
    <xf numFmtId="0" fontId="0" fillId="0" borderId="4" xfId="0" applyFont="1" applyBorder="1" applyAlignment="1" applyProtection="1">
      <alignment horizontal="left" vertical="center"/>
      <protection hidden="1"/>
    </xf>
    <xf numFmtId="0" fontId="0" fillId="0" borderId="0" xfId="0" applyFont="1" applyBorder="1" applyAlignment="1" applyProtection="1">
      <alignment horizontal="left"/>
      <protection hidden="1"/>
    </xf>
    <xf numFmtId="0" fontId="0" fillId="0" borderId="4" xfId="0" applyFont="1" applyFill="1" applyBorder="1" applyAlignment="1" applyProtection="1">
      <alignment horizontal="left" vertical="center"/>
      <protection hidden="1"/>
    </xf>
    <xf numFmtId="0" fontId="0" fillId="0" borderId="6" xfId="0" applyFont="1" applyFill="1" applyBorder="1" applyAlignment="1" applyProtection="1">
      <alignment horizontal="left" vertical="center"/>
      <protection hidden="1"/>
    </xf>
    <xf numFmtId="0" fontId="0" fillId="4" borderId="0" xfId="0" applyFill="1" applyAlignment="1" applyProtection="1">
      <alignment horizontal="left"/>
      <protection hidden="1"/>
    </xf>
    <xf numFmtId="0" fontId="0" fillId="4" borderId="0" xfId="0" applyFill="1" applyBorder="1" applyAlignment="1" applyProtection="1">
      <alignment horizontal="left"/>
      <protection hidden="1"/>
    </xf>
    <xf numFmtId="0" fontId="0" fillId="0" borderId="0" xfId="0" applyFill="1" applyBorder="1" applyAlignment="1" applyProtection="1">
      <alignment horizontal="center" vertical="center"/>
      <protection locked="0"/>
    </xf>
    <xf numFmtId="0" fontId="0" fillId="0" borderId="0" xfId="0" applyFill="1" applyAlignment="1" applyProtection="1">
      <alignment wrapText="1"/>
      <protection hidden="1"/>
    </xf>
    <xf numFmtId="0" fontId="0" fillId="4" borderId="5" xfId="0" applyFont="1" applyFill="1" applyBorder="1" applyAlignment="1" applyProtection="1">
      <alignment wrapText="1"/>
      <protection hidden="1"/>
    </xf>
    <xf numFmtId="0" fontId="0" fillId="0" borderId="0" xfId="0" applyBorder="1" applyAlignment="1" applyProtection="1">
      <alignment horizontal="center"/>
      <protection hidden="1"/>
    </xf>
    <xf numFmtId="0" fontId="0" fillId="4"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11" fillId="8" borderId="0" xfId="0" applyFont="1" applyFill="1" applyBorder="1" applyAlignment="1" applyProtection="1">
      <alignment horizontal="center"/>
      <protection locked="0"/>
    </xf>
    <xf numFmtId="0" fontId="0" fillId="0" borderId="7" xfId="0" applyBorder="1" applyAlignment="1" applyProtection="1">
      <alignment horizontal="center"/>
      <protection hidden="1"/>
    </xf>
    <xf numFmtId="0" fontId="0" fillId="4" borderId="0" xfId="0" applyFont="1" applyFill="1" applyBorder="1" applyAlignment="1" applyProtection="1">
      <alignment horizontal="center" wrapText="1"/>
      <protection hidden="1"/>
    </xf>
    <xf numFmtId="0" fontId="0" fillId="0" borderId="0" xfId="0" applyFill="1" applyBorder="1" applyAlignment="1" applyProtection="1">
      <alignment horizontal="center"/>
      <protection locked="0"/>
    </xf>
    <xf numFmtId="0" fontId="0" fillId="4" borderId="0" xfId="0" applyFont="1" applyFill="1" applyBorder="1" applyAlignment="1" applyProtection="1">
      <alignment wrapText="1"/>
      <protection locked="0"/>
    </xf>
    <xf numFmtId="0" fontId="12" fillId="0" borderId="0"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hidden="1"/>
    </xf>
    <xf numFmtId="0" fontId="0" fillId="7" borderId="2" xfId="0" applyFont="1" applyFill="1" applyBorder="1" applyAlignment="1" applyProtection="1">
      <alignment horizontal="left"/>
      <protection hidden="1"/>
    </xf>
    <xf numFmtId="0" fontId="0" fillId="7" borderId="1" xfId="0" applyFont="1" applyFill="1" applyBorder="1" applyAlignment="1" applyProtection="1">
      <alignment horizontal="center"/>
      <protection hidden="1"/>
    </xf>
    <xf numFmtId="0" fontId="13" fillId="0" borderId="10" xfId="0" applyFont="1" applyFill="1" applyBorder="1" applyProtection="1">
      <protection hidden="1"/>
    </xf>
    <xf numFmtId="0" fontId="13" fillId="0" borderId="4" xfId="0" applyFont="1" applyBorder="1" applyAlignment="1" applyProtection="1">
      <alignment horizontal="left" vertical="center"/>
      <protection hidden="1"/>
    </xf>
    <xf numFmtId="0" fontId="13" fillId="0" borderId="0" xfId="0" applyFont="1" applyBorder="1" applyProtection="1">
      <protection hidden="1"/>
    </xf>
    <xf numFmtId="0" fontId="0" fillId="0" borderId="6" xfId="0" applyFont="1" applyBorder="1" applyAlignment="1" applyProtection="1">
      <alignment horizontal="left" vertical="center"/>
      <protection hidden="1"/>
    </xf>
    <xf numFmtId="0" fontId="0" fillId="0" borderId="7" xfId="0" applyFont="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7" borderId="2" xfId="0" applyFont="1" applyFill="1" applyBorder="1" applyAlignment="1" applyProtection="1">
      <alignment horizontal="center" vertical="center"/>
      <protection hidden="1"/>
    </xf>
    <xf numFmtId="0" fontId="0" fillId="4" borderId="0" xfId="0" applyFill="1" applyBorder="1" applyAlignment="1" applyProtection="1">
      <alignment horizontal="left" vertical="center"/>
      <protection locked="0"/>
    </xf>
    <xf numFmtId="0" fontId="4" fillId="6" borderId="5" xfId="0" applyFont="1" applyFill="1" applyBorder="1" applyAlignment="1" applyProtection="1">
      <alignment horizontal="left" vertical="center"/>
      <protection hidden="1"/>
    </xf>
    <xf numFmtId="0" fontId="0" fillId="0" borderId="0" xfId="0" applyFill="1" applyBorder="1" applyAlignment="1" applyProtection="1">
      <protection hidden="1"/>
    </xf>
    <xf numFmtId="0" fontId="0" fillId="0" borderId="0" xfId="0" applyFill="1" applyAlignment="1" applyProtection="1">
      <protection hidden="1"/>
    </xf>
    <xf numFmtId="0" fontId="9" fillId="0" borderId="5" xfId="0" applyFont="1" applyFill="1" applyBorder="1" applyAlignment="1" applyProtection="1">
      <alignment horizontal="center"/>
      <protection hidden="1"/>
    </xf>
    <xf numFmtId="0" fontId="12" fillId="0" borderId="0" xfId="0" applyFont="1" applyFill="1" applyBorder="1" applyAlignment="1" applyProtection="1">
      <alignment horizontal="center"/>
      <protection locked="0"/>
    </xf>
    <xf numFmtId="0" fontId="4" fillId="4" borderId="5" xfId="0" applyFont="1" applyFill="1" applyBorder="1" applyAlignment="1" applyProtection="1">
      <alignment vertical="center"/>
      <protection hidden="1"/>
    </xf>
    <xf numFmtId="0" fontId="0" fillId="4" borderId="14" xfId="0" applyFill="1" applyBorder="1" applyAlignment="1" applyProtection="1">
      <alignment horizontal="center" vertical="center"/>
      <protection locked="0"/>
    </xf>
    <xf numFmtId="0" fontId="13" fillId="0" borderId="4" xfId="0" applyFont="1" applyFill="1" applyBorder="1" applyProtection="1">
      <protection hidden="1"/>
    </xf>
    <xf numFmtId="0" fontId="13" fillId="0" borderId="0" xfId="0" applyFont="1" applyFill="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4" fillId="5" borderId="4" xfId="0" applyFont="1" applyFill="1" applyBorder="1" applyAlignment="1" applyProtection="1">
      <alignment horizontal="left" vertical="center"/>
      <protection hidden="1"/>
    </xf>
    <xf numFmtId="0" fontId="4" fillId="0" borderId="4" xfId="0" applyFont="1" applyBorder="1" applyAlignment="1" applyProtection="1">
      <alignment horizontal="left" vertical="center"/>
      <protection hidden="1"/>
    </xf>
    <xf numFmtId="0" fontId="4" fillId="5" borderId="0" xfId="0" applyFont="1" applyFill="1" applyBorder="1" applyAlignment="1" applyProtection="1">
      <alignment horizontal="left" vertical="center"/>
      <protection hidden="1"/>
    </xf>
    <xf numFmtId="0" fontId="0" fillId="0" borderId="0" xfId="0" applyFill="1" applyBorder="1"/>
    <xf numFmtId="0" fontId="13" fillId="4" borderId="0" xfId="0" applyFont="1" applyFill="1" applyBorder="1" applyProtection="1">
      <protection hidden="1"/>
    </xf>
    <xf numFmtId="0" fontId="13" fillId="0" borderId="11" xfId="0" applyFont="1" applyBorder="1" applyProtection="1">
      <protection hidden="1"/>
    </xf>
    <xf numFmtId="0" fontId="13" fillId="4" borderId="0" xfId="0" applyFont="1" applyFill="1" applyBorder="1" applyAlignment="1" applyProtection="1">
      <alignment vertical="center" wrapText="1"/>
      <protection hidden="1"/>
    </xf>
    <xf numFmtId="0" fontId="0" fillId="7" borderId="3" xfId="0" applyFont="1" applyFill="1" applyBorder="1" applyAlignment="1" applyProtection="1">
      <alignment horizontal="center"/>
      <protection hidden="1"/>
    </xf>
    <xf numFmtId="0" fontId="0" fillId="0" borderId="1" xfId="0" applyFont="1" applyFill="1" applyBorder="1" applyAlignment="1" applyProtection="1">
      <alignment horizontal="center"/>
      <protection hidden="1"/>
    </xf>
    <xf numFmtId="0" fontId="5" fillId="0" borderId="1" xfId="0" applyFont="1" applyFill="1" applyBorder="1" applyAlignment="1" applyProtection="1">
      <alignment horizontal="center"/>
      <protection hidden="1"/>
    </xf>
    <xf numFmtId="0" fontId="6" fillId="0" borderId="0" xfId="0" applyFont="1" applyFill="1" applyBorder="1" applyAlignment="1" applyProtection="1">
      <alignment horizontal="justify" vertical="center"/>
      <protection hidden="1"/>
    </xf>
    <xf numFmtId="0" fontId="0" fillId="0" borderId="1" xfId="0" applyFont="1" applyFill="1" applyBorder="1" applyAlignment="1" applyProtection="1">
      <alignment horizontal="left"/>
      <protection hidden="1"/>
    </xf>
    <xf numFmtId="0" fontId="4" fillId="0" borderId="0" xfId="0" applyFont="1" applyFill="1" applyBorder="1" applyAlignment="1" applyProtection="1">
      <alignment vertical="center"/>
      <protection hidden="1"/>
    </xf>
    <xf numFmtId="0" fontId="0" fillId="0" borderId="0" xfId="0" applyFont="1" applyFill="1" applyBorder="1" applyAlignment="1" applyProtection="1">
      <alignment horizontal="left" vertical="center"/>
      <protection hidden="1"/>
    </xf>
    <xf numFmtId="0" fontId="0" fillId="0" borderId="7" xfId="0" applyFill="1" applyBorder="1" applyAlignment="1" applyProtection="1">
      <protection hidden="1"/>
    </xf>
    <xf numFmtId="0" fontId="0" fillId="0" borderId="7" xfId="0" applyFill="1" applyBorder="1" applyAlignment="1" applyProtection="1">
      <alignment horizontal="center" vertical="center"/>
      <protection locked="0"/>
    </xf>
    <xf numFmtId="0" fontId="0" fillId="0" borderId="7" xfId="0" applyFill="1" applyBorder="1" applyAlignment="1" applyProtection="1">
      <alignment horizontal="center"/>
      <protection hidden="1"/>
    </xf>
    <xf numFmtId="0" fontId="0" fillId="0" borderId="7" xfId="0" applyFill="1" applyBorder="1" applyAlignment="1" applyProtection="1">
      <alignment vertical="center"/>
      <protection hidden="1"/>
    </xf>
    <xf numFmtId="0" fontId="14" fillId="0" borderId="0" xfId="0" applyFont="1" applyBorder="1" applyAlignment="1" applyProtection="1">
      <alignment vertical="center"/>
      <protection hidden="1"/>
    </xf>
    <xf numFmtId="0" fontId="4" fillId="0" borderId="0" xfId="0" applyFont="1" applyFill="1" applyBorder="1" applyProtection="1">
      <protection hidden="1"/>
    </xf>
    <xf numFmtId="0" fontId="6" fillId="0" borderId="0" xfId="0" applyFont="1" applyFill="1" applyBorder="1" applyProtection="1">
      <protection hidden="1"/>
    </xf>
    <xf numFmtId="0" fontId="13" fillId="0" borderId="11" xfId="0" applyFont="1" applyFill="1" applyBorder="1" applyProtection="1">
      <protection hidden="1"/>
    </xf>
    <xf numFmtId="0" fontId="0" fillId="4" borderId="12" xfId="0" applyFill="1" applyBorder="1" applyAlignment="1" applyProtection="1">
      <alignment horizontal="center" vertical="center"/>
      <protection locked="0"/>
    </xf>
    <xf numFmtId="0" fontId="14" fillId="0" borderId="4" xfId="0" applyFont="1" applyBorder="1" applyAlignment="1">
      <alignment horizontal="left" vertical="center" indent="6"/>
    </xf>
    <xf numFmtId="0" fontId="0" fillId="0" borderId="9" xfId="0" applyFont="1" applyFill="1" applyBorder="1" applyAlignment="1" applyProtection="1">
      <alignment horizontal="center" vertical="center"/>
      <protection locked="0"/>
    </xf>
    <xf numFmtId="0" fontId="0" fillId="4" borderId="0" xfId="0" applyFont="1" applyFill="1" applyBorder="1" applyAlignment="1" applyProtection="1">
      <alignment horizontal="center"/>
      <protection hidden="1"/>
    </xf>
    <xf numFmtId="0" fontId="0" fillId="2" borderId="5" xfId="0" applyFont="1" applyFill="1" applyBorder="1" applyAlignment="1" applyProtection="1">
      <alignment vertical="center"/>
      <protection hidden="1"/>
    </xf>
    <xf numFmtId="0" fontId="0" fillId="0" borderId="0" xfId="0" applyFont="1" applyFill="1" applyBorder="1" applyAlignment="1" applyProtection="1">
      <alignment horizontal="center"/>
      <protection hidden="1"/>
    </xf>
    <xf numFmtId="0" fontId="0" fillId="3" borderId="5" xfId="0" applyFont="1" applyFill="1" applyBorder="1" applyAlignment="1" applyProtection="1">
      <alignment vertical="center"/>
      <protection hidden="1"/>
    </xf>
    <xf numFmtId="0" fontId="0" fillId="0" borderId="5" xfId="0" applyFont="1" applyFill="1" applyBorder="1" applyAlignment="1" applyProtection="1">
      <alignment vertical="center"/>
      <protection hidden="1"/>
    </xf>
    <xf numFmtId="0" fontId="0" fillId="4" borderId="0" xfId="0" applyFont="1" applyFill="1" applyBorder="1" applyAlignment="1" applyProtection="1">
      <alignment horizontal="center" vertical="center"/>
      <protection locked="0"/>
    </xf>
    <xf numFmtId="0" fontId="0" fillId="0" borderId="4" xfId="0" applyFont="1" applyBorder="1" applyProtection="1">
      <protection hidden="1"/>
    </xf>
    <xf numFmtId="0" fontId="0" fillId="0" borderId="0" xfId="0" applyFont="1" applyFill="1" applyBorder="1" applyAlignment="1" applyProtection="1">
      <alignment horizontal="center" vertical="center"/>
      <protection locked="0"/>
    </xf>
    <xf numFmtId="0" fontId="0" fillId="0" borderId="5" xfId="0"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0" fillId="0" borderId="7" xfId="0" applyFont="1" applyFill="1" applyBorder="1" applyAlignment="1" applyProtection="1">
      <alignment horizontal="center" vertical="center"/>
      <protection hidden="1"/>
    </xf>
    <xf numFmtId="0" fontId="0" fillId="0" borderId="7" xfId="0" applyFont="1" applyBorder="1" applyAlignment="1" applyProtection="1">
      <alignment horizontal="center"/>
      <protection hidden="1"/>
    </xf>
    <xf numFmtId="0" fontId="15" fillId="0" borderId="8" xfId="0" applyFont="1" applyFill="1" applyBorder="1" applyAlignment="1" applyProtection="1">
      <alignment horizontal="center"/>
      <protection hidden="1"/>
    </xf>
    <xf numFmtId="0" fontId="13" fillId="0" borderId="10" xfId="0" applyFont="1" applyFill="1" applyBorder="1" applyAlignment="1" applyProtection="1">
      <alignment vertical="center" wrapText="1"/>
      <protection hidden="1"/>
    </xf>
    <xf numFmtId="0" fontId="13" fillId="4" borderId="13" xfId="0" applyFont="1" applyFill="1" applyBorder="1" applyProtection="1">
      <protection hidden="1"/>
    </xf>
    <xf numFmtId="0" fontId="13" fillId="0" borderId="10" xfId="0" applyFont="1" applyBorder="1" applyProtection="1">
      <protection hidden="1"/>
    </xf>
    <xf numFmtId="0" fontId="13" fillId="0" borderId="11" xfId="0" applyFont="1" applyFill="1" applyBorder="1" applyAlignment="1" applyProtection="1">
      <alignment vertical="center" wrapText="1"/>
      <protection hidden="1"/>
    </xf>
    <xf numFmtId="0" fontId="13" fillId="0" borderId="15" xfId="0" applyFont="1" applyBorder="1" applyProtection="1">
      <protection hidden="1"/>
    </xf>
    <xf numFmtId="0" fontId="5" fillId="7" borderId="1" xfId="0" applyFont="1" applyFill="1" applyBorder="1" applyAlignment="1" applyProtection="1">
      <alignment horizontal="center"/>
      <protection hidden="1"/>
    </xf>
    <xf numFmtId="0" fontId="16" fillId="4" borderId="4" xfId="0" applyFont="1" applyFill="1" applyBorder="1" applyAlignment="1">
      <alignment vertical="center"/>
    </xf>
    <xf numFmtId="0" fontId="0" fillId="4" borderId="0" xfId="0" applyFont="1" applyFill="1" applyBorder="1" applyAlignment="1" applyProtection="1">
      <alignment wrapText="1"/>
      <protection hidden="1"/>
    </xf>
    <xf numFmtId="0" fontId="17" fillId="0" borderId="4" xfId="0" applyFont="1" applyBorder="1" applyAlignment="1">
      <alignment horizontal="left" vertical="center" indent="6"/>
    </xf>
    <xf numFmtId="0" fontId="0" fillId="0" borderId="10" xfId="0" applyFont="1" applyFill="1" applyBorder="1" applyAlignment="1" applyProtection="1">
      <alignment wrapText="1"/>
      <protection hidden="1"/>
    </xf>
    <xf numFmtId="0" fontId="0" fillId="0" borderId="11" xfId="0" applyFont="1" applyFill="1" applyBorder="1" applyAlignment="1" applyProtection="1">
      <alignment wrapText="1"/>
      <protection hidden="1"/>
    </xf>
    <xf numFmtId="0" fontId="0" fillId="4" borderId="11" xfId="0" applyFont="1" applyFill="1" applyBorder="1" applyAlignment="1" applyProtection="1">
      <alignment wrapText="1"/>
      <protection hidden="1"/>
    </xf>
    <xf numFmtId="0" fontId="18" fillId="0" borderId="4" xfId="0" applyFont="1" applyFill="1" applyBorder="1" applyAlignment="1" applyProtection="1">
      <alignment horizontal="left" vertical="center"/>
      <protection hidden="1"/>
    </xf>
    <xf numFmtId="0" fontId="0" fillId="0" borderId="4" xfId="0" applyFont="1" applyFill="1" applyBorder="1" applyAlignment="1" applyProtection="1">
      <alignment wrapText="1"/>
      <protection hidden="1"/>
    </xf>
    <xf numFmtId="0" fontId="4" fillId="4" borderId="0" xfId="0" applyFont="1" applyFill="1" applyBorder="1" applyProtection="1">
      <protection hidden="1"/>
    </xf>
    <xf numFmtId="0" fontId="0" fillId="0" borderId="0" xfId="0" applyFill="1" applyAlignment="1" applyProtection="1">
      <alignment horizontal="left"/>
      <protection hidden="1"/>
    </xf>
    <xf numFmtId="0" fontId="19" fillId="4" borderId="4" xfId="0" applyFont="1" applyFill="1" applyBorder="1" applyAlignment="1">
      <alignment vertical="center"/>
    </xf>
    <xf numFmtId="0" fontId="13" fillId="0" borderId="10" xfId="0" applyFont="1" applyFill="1" applyBorder="1" applyAlignment="1" applyProtection="1">
      <protection hidden="1"/>
    </xf>
    <xf numFmtId="0" fontId="13" fillId="0" borderId="10" xfId="0" applyFont="1" applyFill="1" applyBorder="1" applyAlignment="1" applyProtection="1">
      <alignment wrapText="1"/>
      <protection hidden="1"/>
    </xf>
    <xf numFmtId="0" fontId="13" fillId="0" borderId="11" xfId="0" applyFont="1" applyBorder="1" applyAlignment="1" applyProtection="1">
      <alignment wrapText="1"/>
      <protection hidden="1"/>
    </xf>
    <xf numFmtId="0" fontId="13" fillId="0" borderId="11" xfId="0" applyFont="1" applyBorder="1" applyAlignment="1" applyProtection="1">
      <alignment horizontal="left" wrapText="1"/>
      <protection hidden="1"/>
    </xf>
    <xf numFmtId="0" fontId="0" fillId="0" borderId="0" xfId="0" applyAlignment="1">
      <alignment wrapText="1"/>
    </xf>
    <xf numFmtId="0" fontId="13" fillId="4" borderId="0" xfId="0" applyFont="1" applyFill="1" applyBorder="1" applyAlignment="1" applyProtection="1">
      <alignment vertical="center"/>
      <protection hidden="1"/>
    </xf>
    <xf numFmtId="0" fontId="13" fillId="4" borderId="0" xfId="0" applyFont="1" applyFill="1" applyBorder="1" applyAlignment="1" applyProtection="1">
      <alignment wrapText="1"/>
      <protection hidden="1"/>
    </xf>
    <xf numFmtId="0" fontId="13" fillId="4" borderId="0" xfId="0" applyFont="1" applyFill="1" applyBorder="1" applyAlignment="1" applyProtection="1">
      <protection hidden="1"/>
    </xf>
    <xf numFmtId="0" fontId="0" fillId="0" borderId="0" xfId="0" applyFill="1" applyBorder="1" applyAlignment="1" applyProtection="1">
      <alignment horizontal="center" vertical="center"/>
      <protection hidden="1"/>
    </xf>
    <xf numFmtId="0" fontId="20" fillId="4" borderId="4" xfId="0" applyFont="1" applyFill="1" applyBorder="1" applyAlignment="1">
      <alignment vertical="center"/>
    </xf>
    <xf numFmtId="0" fontId="0" fillId="0" borderId="0" xfId="0" applyFill="1" applyBorder="1" applyAlignment="1" applyProtection="1">
      <alignment horizontal="center" vertical="center"/>
      <protection hidden="1"/>
    </xf>
    <xf numFmtId="0" fontId="21" fillId="4" borderId="4" xfId="0" applyFont="1" applyFill="1" applyBorder="1" applyAlignment="1">
      <alignment vertical="center"/>
    </xf>
    <xf numFmtId="0" fontId="0" fillId="4" borderId="0" xfId="0" applyFont="1" applyFill="1" applyBorder="1" applyAlignment="1" applyProtection="1">
      <protection hidden="1"/>
    </xf>
    <xf numFmtId="0" fontId="0" fillId="4" borderId="11" xfId="0" applyFont="1" applyFill="1" applyBorder="1" applyAlignment="1" applyProtection="1">
      <protection hidden="1"/>
    </xf>
    <xf numFmtId="3" fontId="0" fillId="0" borderId="11" xfId="0" applyNumberFormat="1" applyFont="1" applyFill="1" applyBorder="1" applyAlignment="1" applyProtection="1">
      <alignment horizontal="left" wrapText="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13" fillId="0" borderId="11" xfId="0" applyFont="1" applyBorder="1" applyAlignment="1" applyProtection="1">
      <alignment horizontal="left" vertical="top" wrapText="1"/>
      <protection hidden="1"/>
    </xf>
    <xf numFmtId="0" fontId="0" fillId="0" borderId="10" xfId="0" applyFont="1" applyFill="1" applyBorder="1" applyAlignment="1" applyProtection="1">
      <alignment horizontal="left" vertical="top" wrapText="1"/>
      <protection hidden="1"/>
    </xf>
    <xf numFmtId="0" fontId="0" fillId="0" borderId="11" xfId="0" applyFont="1" applyFill="1" applyBorder="1" applyAlignment="1" applyProtection="1">
      <alignment horizontal="left" vertical="top" wrapText="1"/>
      <protection hidden="1"/>
    </xf>
    <xf numFmtId="0" fontId="13" fillId="4" borderId="0" xfId="0" applyFont="1" applyFill="1" applyBorder="1" applyAlignment="1" applyProtection="1">
      <alignment horizontal="left" vertical="top" wrapText="1"/>
      <protection hidden="1"/>
    </xf>
    <xf numFmtId="0" fontId="13" fillId="4" borderId="0" xfId="0" applyFont="1" applyFill="1" applyBorder="1" applyAlignment="1" applyProtection="1">
      <alignment horizontal="left" vertical="top"/>
      <protection hidden="1"/>
    </xf>
    <xf numFmtId="0" fontId="0" fillId="4" borderId="0" xfId="0" applyFont="1" applyFill="1" applyBorder="1" applyAlignment="1" applyProtection="1">
      <alignment horizontal="left" vertical="top" wrapText="1"/>
      <protection hidden="1"/>
    </xf>
    <xf numFmtId="0" fontId="0" fillId="4" borderId="0" xfId="0" applyFont="1" applyFill="1" applyBorder="1" applyAlignment="1" applyProtection="1">
      <alignment horizontal="left" vertical="top"/>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cellXfs>
  <cellStyles count="292">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Normal" xfId="0" builtinId="0"/>
    <cellStyle name="Solucion" xfId="291" xr:uid="{00000000-0005-0000-0000-00002301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9305925</xdr:colOff>
          <xdr:row>67</xdr:row>
          <xdr:rowOff>152400</xdr:rowOff>
        </xdr:from>
        <xdr:to>
          <xdr:col>2</xdr:col>
          <xdr:colOff>9915525</xdr:colOff>
          <xdr:row>68</xdr:row>
          <xdr:rowOff>228600</xdr:rowOff>
        </xdr:to>
        <xdr:sp macro="" textlink="">
          <xdr:nvSpPr>
            <xdr:cNvPr id="1029" name="Button 5" descr="Borra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9267825</xdr:colOff>
          <xdr:row>133</xdr:row>
          <xdr:rowOff>28575</xdr:rowOff>
        </xdr:from>
        <xdr:to>
          <xdr:col>2</xdr:col>
          <xdr:colOff>9858375</xdr:colOff>
          <xdr:row>134</xdr:row>
          <xdr:rowOff>104775</xdr:rowOff>
        </xdr:to>
        <xdr:sp macro="" textlink="">
          <xdr:nvSpPr>
            <xdr:cNvPr id="1031" name="Button 7" descr="Borra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9191625</xdr:colOff>
          <xdr:row>198</xdr:row>
          <xdr:rowOff>9525</xdr:rowOff>
        </xdr:from>
        <xdr:to>
          <xdr:col>2</xdr:col>
          <xdr:colOff>9763125</xdr:colOff>
          <xdr:row>199</xdr:row>
          <xdr:rowOff>38100</xdr:rowOff>
        </xdr:to>
        <xdr:sp macro="" textlink="">
          <xdr:nvSpPr>
            <xdr:cNvPr id="1032" name="Button 8" descr="Borra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262</xdr:row>
          <xdr:rowOff>190500</xdr:rowOff>
        </xdr:from>
        <xdr:to>
          <xdr:col>2</xdr:col>
          <xdr:colOff>9801225</xdr:colOff>
          <xdr:row>264</xdr:row>
          <xdr:rowOff>76200</xdr:rowOff>
        </xdr:to>
        <xdr:sp macro="" textlink="">
          <xdr:nvSpPr>
            <xdr:cNvPr id="1034" name="Button 10" descr="Borrar"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9410700</xdr:colOff>
          <xdr:row>330</xdr:row>
          <xdr:rowOff>47625</xdr:rowOff>
        </xdr:from>
        <xdr:to>
          <xdr:col>2</xdr:col>
          <xdr:colOff>9991725</xdr:colOff>
          <xdr:row>331</xdr:row>
          <xdr:rowOff>228600</xdr:rowOff>
        </xdr:to>
        <xdr:sp macro="" textlink="">
          <xdr:nvSpPr>
            <xdr:cNvPr id="1035" name="Button 11" descr="Borrar"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398</xdr:row>
          <xdr:rowOff>0</xdr:rowOff>
        </xdr:from>
        <xdr:to>
          <xdr:col>2</xdr:col>
          <xdr:colOff>9820275</xdr:colOff>
          <xdr:row>399</xdr:row>
          <xdr:rowOff>0</xdr:rowOff>
        </xdr:to>
        <xdr:sp macro="" textlink="">
          <xdr:nvSpPr>
            <xdr:cNvPr id="1036" name="Button 12" descr="Borrar"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9172575</xdr:colOff>
          <xdr:row>462</xdr:row>
          <xdr:rowOff>190500</xdr:rowOff>
        </xdr:from>
        <xdr:to>
          <xdr:col>2</xdr:col>
          <xdr:colOff>9791700</xdr:colOff>
          <xdr:row>463</xdr:row>
          <xdr:rowOff>238125</xdr:rowOff>
        </xdr:to>
        <xdr:sp macro="" textlink="">
          <xdr:nvSpPr>
            <xdr:cNvPr id="1037" name="Button 13" descr="Borrar"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462</xdr:row>
          <xdr:rowOff>200025</xdr:rowOff>
        </xdr:from>
        <xdr:to>
          <xdr:col>2</xdr:col>
          <xdr:colOff>9096375</xdr:colOff>
          <xdr:row>463</xdr:row>
          <xdr:rowOff>238125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398</xdr:row>
          <xdr:rowOff>9525</xdr:rowOff>
        </xdr:from>
        <xdr:to>
          <xdr:col>2</xdr:col>
          <xdr:colOff>9096375</xdr:colOff>
          <xdr:row>399</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7991475</xdr:colOff>
          <xdr:row>330</xdr:row>
          <xdr:rowOff>66675</xdr:rowOff>
        </xdr:from>
        <xdr:to>
          <xdr:col>2</xdr:col>
          <xdr:colOff>9296400</xdr:colOff>
          <xdr:row>331</xdr:row>
          <xdr:rowOff>219075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262</xdr:row>
          <xdr:rowOff>190500</xdr:rowOff>
        </xdr:from>
        <xdr:to>
          <xdr:col>2</xdr:col>
          <xdr:colOff>9096375</xdr:colOff>
          <xdr:row>264</xdr:row>
          <xdr:rowOff>38100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198</xdr:row>
          <xdr:rowOff>28575</xdr:rowOff>
        </xdr:from>
        <xdr:to>
          <xdr:col>2</xdr:col>
          <xdr:colOff>9096375</xdr:colOff>
          <xdr:row>198</xdr:row>
          <xdr:rowOff>257175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133</xdr:row>
          <xdr:rowOff>38100</xdr:rowOff>
        </xdr:from>
        <xdr:to>
          <xdr:col>2</xdr:col>
          <xdr:colOff>9096375</xdr:colOff>
          <xdr:row>134</xdr:row>
          <xdr:rowOff>66675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67</xdr:row>
          <xdr:rowOff>180975</xdr:rowOff>
        </xdr:from>
        <xdr:to>
          <xdr:col>2</xdr:col>
          <xdr:colOff>9096375</xdr:colOff>
          <xdr:row>68</xdr:row>
          <xdr:rowOff>190500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529</xdr:row>
          <xdr:rowOff>76200</xdr:rowOff>
        </xdr:from>
        <xdr:to>
          <xdr:col>2</xdr:col>
          <xdr:colOff>10563225</xdr:colOff>
          <xdr:row>530</xdr:row>
          <xdr:rowOff>66675</xdr:rowOff>
        </xdr:to>
        <xdr:sp macro="" textlink="">
          <xdr:nvSpPr>
            <xdr:cNvPr id="1155" name="Button 131" descr="Borrar"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529</xdr:row>
          <xdr:rowOff>76200</xdr:rowOff>
        </xdr:from>
        <xdr:to>
          <xdr:col>2</xdr:col>
          <xdr:colOff>9877425</xdr:colOff>
          <xdr:row>530</xdr:row>
          <xdr:rowOff>66675</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594</xdr:row>
          <xdr:rowOff>76200</xdr:rowOff>
        </xdr:from>
        <xdr:to>
          <xdr:col>2</xdr:col>
          <xdr:colOff>10563225</xdr:colOff>
          <xdr:row>595</xdr:row>
          <xdr:rowOff>66675</xdr:rowOff>
        </xdr:to>
        <xdr:sp macro="" textlink="">
          <xdr:nvSpPr>
            <xdr:cNvPr id="1158" name="Button 134" descr="Borrar"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594</xdr:row>
          <xdr:rowOff>76200</xdr:rowOff>
        </xdr:from>
        <xdr:to>
          <xdr:col>2</xdr:col>
          <xdr:colOff>9877425</xdr:colOff>
          <xdr:row>595</xdr:row>
          <xdr:rowOff>66675</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twoCellAnchor>
    <xdr:from>
      <xdr:col>1</xdr:col>
      <xdr:colOff>0</xdr:colOff>
      <xdr:row>115</xdr:row>
      <xdr:rowOff>0</xdr:rowOff>
    </xdr:from>
    <xdr:to>
      <xdr:col>1</xdr:col>
      <xdr:colOff>304800</xdr:colOff>
      <xdr:row>116</xdr:row>
      <xdr:rowOff>101600</xdr:rowOff>
    </xdr:to>
    <xdr:sp macro="" textlink="">
      <xdr:nvSpPr>
        <xdr:cNvPr id="23" name="Rectángulo 22" descr="https://formacionpermanente.cursosvirtuales.uned.es/file/21820042/img_02_06-21820042.jpg">
          <a:extLst>
            <a:ext uri="{FF2B5EF4-FFF2-40B4-BE49-F238E27FC236}">
              <a16:creationId xmlns:a16="http://schemas.microsoft.com/office/drawing/2014/main" id="{00000000-0008-0000-0000-000017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116</xdr:row>
      <xdr:rowOff>0</xdr:rowOff>
    </xdr:from>
    <xdr:to>
      <xdr:col>1</xdr:col>
      <xdr:colOff>304800</xdr:colOff>
      <xdr:row>117</xdr:row>
      <xdr:rowOff>101600</xdr:rowOff>
    </xdr:to>
    <xdr:sp macro="" textlink="">
      <xdr:nvSpPr>
        <xdr:cNvPr id="24" name="Rectángulo 23" descr="https://formacionpermanente.cursosvirtuales.uned.es/file/21820042/img_02_06-21820042.jpg">
          <a:extLst>
            <a:ext uri="{FF2B5EF4-FFF2-40B4-BE49-F238E27FC236}">
              <a16:creationId xmlns:a16="http://schemas.microsoft.com/office/drawing/2014/main" id="{00000000-0008-0000-0000-000018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117</xdr:row>
      <xdr:rowOff>0</xdr:rowOff>
    </xdr:from>
    <xdr:to>
      <xdr:col>1</xdr:col>
      <xdr:colOff>304800</xdr:colOff>
      <xdr:row>118</xdr:row>
      <xdr:rowOff>101600</xdr:rowOff>
    </xdr:to>
    <xdr:sp macro="" textlink="">
      <xdr:nvSpPr>
        <xdr:cNvPr id="25" name="Rectángulo 24" descr="https://formacionpermanente.cursosvirtuales.uned.es/file/21820042/img_02_06-21820042.jpg">
          <a:extLst>
            <a:ext uri="{FF2B5EF4-FFF2-40B4-BE49-F238E27FC236}">
              <a16:creationId xmlns:a16="http://schemas.microsoft.com/office/drawing/2014/main" id="{00000000-0008-0000-0000-000019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120</xdr:row>
      <xdr:rowOff>0</xdr:rowOff>
    </xdr:from>
    <xdr:to>
      <xdr:col>1</xdr:col>
      <xdr:colOff>304800</xdr:colOff>
      <xdr:row>121</xdr:row>
      <xdr:rowOff>101600</xdr:rowOff>
    </xdr:to>
    <xdr:sp macro="" textlink="">
      <xdr:nvSpPr>
        <xdr:cNvPr id="26" name="Rectángulo 25" descr="https://formacionpermanente.cursosvirtuales.uned.es/file/21820042/img_02_06-21820042.jpg">
          <a:extLst>
            <a:ext uri="{FF2B5EF4-FFF2-40B4-BE49-F238E27FC236}">
              <a16:creationId xmlns:a16="http://schemas.microsoft.com/office/drawing/2014/main" id="{00000000-0008-0000-0000-00001A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121</xdr:row>
      <xdr:rowOff>0</xdr:rowOff>
    </xdr:from>
    <xdr:to>
      <xdr:col>1</xdr:col>
      <xdr:colOff>304800</xdr:colOff>
      <xdr:row>122</xdr:row>
      <xdr:rowOff>101600</xdr:rowOff>
    </xdr:to>
    <xdr:sp macro="" textlink="">
      <xdr:nvSpPr>
        <xdr:cNvPr id="27" name="Rectángulo 26" descr="https://formacionpermanente.cursosvirtuales.uned.es/file/21820042/img_02_06-21820042.jpg">
          <a:extLst>
            <a:ext uri="{FF2B5EF4-FFF2-40B4-BE49-F238E27FC236}">
              <a16:creationId xmlns:a16="http://schemas.microsoft.com/office/drawing/2014/main" id="{00000000-0008-0000-0000-00001B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122</xdr:row>
      <xdr:rowOff>0</xdr:rowOff>
    </xdr:from>
    <xdr:to>
      <xdr:col>1</xdr:col>
      <xdr:colOff>304800</xdr:colOff>
      <xdr:row>123</xdr:row>
      <xdr:rowOff>101600</xdr:rowOff>
    </xdr:to>
    <xdr:sp macro="" textlink="">
      <xdr:nvSpPr>
        <xdr:cNvPr id="28" name="Rectángulo 27" descr="https://formacionpermanente.cursosvirtuales.uned.es/file/21820042/img_02_06-21820042.jpg">
          <a:extLst>
            <a:ext uri="{FF2B5EF4-FFF2-40B4-BE49-F238E27FC236}">
              <a16:creationId xmlns:a16="http://schemas.microsoft.com/office/drawing/2014/main" id="{00000000-0008-0000-0000-00001C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123</xdr:row>
      <xdr:rowOff>0</xdr:rowOff>
    </xdr:from>
    <xdr:to>
      <xdr:col>1</xdr:col>
      <xdr:colOff>304800</xdr:colOff>
      <xdr:row>124</xdr:row>
      <xdr:rowOff>101600</xdr:rowOff>
    </xdr:to>
    <xdr:sp macro="" textlink="">
      <xdr:nvSpPr>
        <xdr:cNvPr id="29" name="Rectángulo 28" descr="https://formacionpermanente.cursosvirtuales.uned.es/file/21820042/img_02_06-21820042.jpg">
          <a:extLst>
            <a:ext uri="{FF2B5EF4-FFF2-40B4-BE49-F238E27FC236}">
              <a16:creationId xmlns:a16="http://schemas.microsoft.com/office/drawing/2014/main" id="{00000000-0008-0000-0000-00001D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127</xdr:row>
      <xdr:rowOff>0</xdr:rowOff>
    </xdr:from>
    <xdr:to>
      <xdr:col>1</xdr:col>
      <xdr:colOff>304800</xdr:colOff>
      <xdr:row>128</xdr:row>
      <xdr:rowOff>101600</xdr:rowOff>
    </xdr:to>
    <xdr:sp macro="" textlink="">
      <xdr:nvSpPr>
        <xdr:cNvPr id="31" name="Rectángulo 30" descr="https://formacionpermanente.cursosvirtuales.uned.es/file/21820042/img_02_06-21820042.jpg">
          <a:extLst>
            <a:ext uri="{FF2B5EF4-FFF2-40B4-BE49-F238E27FC236}">
              <a16:creationId xmlns:a16="http://schemas.microsoft.com/office/drawing/2014/main" id="{00000000-0008-0000-0000-00001F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129</xdr:row>
      <xdr:rowOff>0</xdr:rowOff>
    </xdr:from>
    <xdr:to>
      <xdr:col>1</xdr:col>
      <xdr:colOff>304800</xdr:colOff>
      <xdr:row>130</xdr:row>
      <xdr:rowOff>101600</xdr:rowOff>
    </xdr:to>
    <xdr:sp macro="" textlink="">
      <xdr:nvSpPr>
        <xdr:cNvPr id="33" name="Rectángulo 32" descr="https://formacionpermanente.cursosvirtuales.uned.es/file/21820042/img_02_06-21820042.jpg">
          <a:extLst>
            <a:ext uri="{FF2B5EF4-FFF2-40B4-BE49-F238E27FC236}">
              <a16:creationId xmlns:a16="http://schemas.microsoft.com/office/drawing/2014/main" id="{00000000-0008-0000-0000-000021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138</xdr:row>
      <xdr:rowOff>0</xdr:rowOff>
    </xdr:from>
    <xdr:to>
      <xdr:col>1</xdr:col>
      <xdr:colOff>304800</xdr:colOff>
      <xdr:row>139</xdr:row>
      <xdr:rowOff>101600</xdr:rowOff>
    </xdr:to>
    <xdr:sp macro="" textlink="">
      <xdr:nvSpPr>
        <xdr:cNvPr id="35" name="Rectángulo 34" descr="https://formacionpermanente.cursosvirtuales.uned.es/file/21820042/img_02_06-21820042.jpg">
          <a:extLst>
            <a:ext uri="{FF2B5EF4-FFF2-40B4-BE49-F238E27FC236}">
              <a16:creationId xmlns:a16="http://schemas.microsoft.com/office/drawing/2014/main" id="{00000000-0008-0000-0000-000023000000}"/>
            </a:ext>
          </a:extLst>
        </xdr:cNvPr>
        <xdr:cNvSpPr>
          <a:spLocks noChangeAspect="1" noChangeArrowheads="1"/>
        </xdr:cNvSpPr>
      </xdr:nvSpPr>
      <xdr:spPr bwMode="auto">
        <a:xfrm>
          <a:off x="190500" y="25642957"/>
          <a:ext cx="304800" cy="3003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mc:AlternateContent xmlns:mc="http://schemas.openxmlformats.org/markup-compatibility/2006">
    <mc:Choice xmlns:a14="http://schemas.microsoft.com/office/drawing/2010/main" Requires="a14">
      <xdr:twoCellAnchor>
        <xdr:from>
          <xdr:col>2</xdr:col>
          <xdr:colOff>9953625</xdr:colOff>
          <xdr:row>658</xdr:row>
          <xdr:rowOff>76200</xdr:rowOff>
        </xdr:from>
        <xdr:to>
          <xdr:col>2</xdr:col>
          <xdr:colOff>10563225</xdr:colOff>
          <xdr:row>659</xdr:row>
          <xdr:rowOff>66675</xdr:rowOff>
        </xdr:to>
        <xdr:sp macro="" textlink="">
          <xdr:nvSpPr>
            <xdr:cNvPr id="1160" name="Button 134" descr="Borrar"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658</xdr:row>
          <xdr:rowOff>76200</xdr:rowOff>
        </xdr:from>
        <xdr:to>
          <xdr:col>2</xdr:col>
          <xdr:colOff>9877425</xdr:colOff>
          <xdr:row>659</xdr:row>
          <xdr:rowOff>66675</xdr:rowOff>
        </xdr:to>
        <xdr:sp macro="" textlink="">
          <xdr:nvSpPr>
            <xdr:cNvPr id="1161" name="Button 135"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785</xdr:row>
          <xdr:rowOff>76200</xdr:rowOff>
        </xdr:from>
        <xdr:to>
          <xdr:col>2</xdr:col>
          <xdr:colOff>10563225</xdr:colOff>
          <xdr:row>786</xdr:row>
          <xdr:rowOff>66675</xdr:rowOff>
        </xdr:to>
        <xdr:sp macro="" textlink="">
          <xdr:nvSpPr>
            <xdr:cNvPr id="1162" name="Button 134" descr="Borrar"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785</xdr:row>
          <xdr:rowOff>76200</xdr:rowOff>
        </xdr:from>
        <xdr:to>
          <xdr:col>2</xdr:col>
          <xdr:colOff>9877425</xdr:colOff>
          <xdr:row>786</xdr:row>
          <xdr:rowOff>66675</xdr:rowOff>
        </xdr:to>
        <xdr:sp macro="" textlink="">
          <xdr:nvSpPr>
            <xdr:cNvPr id="1163" name="Button 135"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 Type="http://schemas.openxmlformats.org/officeDocument/2006/relationships/hyperlink" Target="ftp://miservidor_ftp:51678/" TargetMode="External"/><Relationship Id="rId21" Type="http://schemas.openxmlformats.org/officeDocument/2006/relationships/ctrlProp" Target="../ctrlProps/ctrlProp15.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2" Type="http://schemas.openxmlformats.org/officeDocument/2006/relationships/hyperlink" Target="ftp://miservidor_ftp@0.0.201.222/"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miservidor_ftp/ftp$5" TargetMode="External"/><Relationship Id="rId6" Type="http://schemas.openxmlformats.org/officeDocument/2006/relationships/vmlDrawing" Target="../drawings/vmlDrawing1.vml"/><Relationship Id="rId11" Type="http://schemas.openxmlformats.org/officeDocument/2006/relationships/ctrlProp" Target="../ctrlProps/ctrlProp5.xml"/><Relationship Id="rId24" Type="http://schemas.openxmlformats.org/officeDocument/2006/relationships/ctrlProp" Target="../ctrlProps/ctrlProp18.xml"/><Relationship Id="rId5" Type="http://schemas.openxmlformats.org/officeDocument/2006/relationships/drawing" Target="../drawings/drawing1.x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AN788"/>
  <sheetViews>
    <sheetView showGridLines="0" tabSelected="1" zoomScale="55" zoomScaleNormal="55" zoomScalePageLayoutView="115" workbookViewId="0">
      <pane xSplit="1" ySplit="5" topLeftCell="B733" activePane="bottomRight" state="frozen"/>
      <selection pane="topRight" activeCell="B1" sqref="B1"/>
      <selection pane="bottomLeft" activeCell="A6" sqref="A6"/>
      <selection pane="bottomRight" activeCell="E786" sqref="E786"/>
    </sheetView>
  </sheetViews>
  <sheetFormatPr baseColWidth="10" defaultColWidth="11" defaultRowHeight="15.75" x14ac:dyDescent="0.25"/>
  <cols>
    <col min="1" max="1" width="2.5" style="4" customWidth="1"/>
    <col min="2" max="2" width="4.875" style="36" customWidth="1"/>
    <col min="3" max="3" width="161.75" style="7" customWidth="1"/>
    <col min="4" max="4" width="5" style="37" customWidth="1"/>
    <col min="5" max="5" width="5.875" style="37" customWidth="1"/>
    <col min="6" max="6" width="14.75" style="38" customWidth="1"/>
    <col min="7" max="7" width="10.375" style="5" hidden="1" customWidth="1"/>
    <col min="8" max="8" width="11.5" style="5" hidden="1" customWidth="1"/>
    <col min="9" max="16384" width="11" style="5"/>
  </cols>
  <sheetData>
    <row r="1" spans="1:40" x14ac:dyDescent="0.25">
      <c r="B1" s="6" t="s">
        <v>1</v>
      </c>
      <c r="D1" s="1"/>
      <c r="E1" s="1"/>
      <c r="F1" s="3"/>
      <c r="G1" s="2"/>
      <c r="H1" s="2" t="b">
        <v>0</v>
      </c>
    </row>
    <row r="2" spans="1:40" x14ac:dyDescent="0.25">
      <c r="B2" s="44" t="s">
        <v>3</v>
      </c>
      <c r="D2" s="1"/>
      <c r="E2" s="1"/>
      <c r="F2" s="3"/>
      <c r="G2" s="2"/>
      <c r="H2" s="2" t="s">
        <v>2</v>
      </c>
    </row>
    <row r="3" spans="1:40" x14ac:dyDescent="0.25">
      <c r="B3" s="44" t="s">
        <v>4</v>
      </c>
      <c r="D3" s="1"/>
      <c r="E3" s="1"/>
      <c r="F3" s="3"/>
      <c r="G3" s="2"/>
      <c r="H3" s="2"/>
    </row>
    <row r="4" spans="1:40" x14ac:dyDescent="0.25">
      <c r="B4" s="44" t="s">
        <v>5</v>
      </c>
      <c r="D4" s="1"/>
      <c r="E4" s="1"/>
      <c r="F4" s="3"/>
      <c r="G4" s="2"/>
      <c r="H4" s="2"/>
    </row>
    <row r="5" spans="1:40" ht="16.5" thickBot="1" x14ac:dyDescent="0.3">
      <c r="D5" s="9"/>
      <c r="E5" s="9"/>
      <c r="F5" s="10"/>
      <c r="G5" s="2"/>
      <c r="H5" s="2"/>
    </row>
    <row r="6" spans="1:40" ht="28.5" x14ac:dyDescent="0.45">
      <c r="B6" s="72" t="s">
        <v>17</v>
      </c>
      <c r="C6" s="169" t="s">
        <v>0</v>
      </c>
      <c r="D6" s="169"/>
      <c r="E6" s="169"/>
      <c r="F6" s="170"/>
      <c r="G6" s="11"/>
      <c r="H6" s="11"/>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row>
    <row r="7" spans="1:40" s="16" customFormat="1" x14ac:dyDescent="0.25">
      <c r="A7" s="4"/>
      <c r="B7" s="86" t="s">
        <v>64</v>
      </c>
      <c r="C7" s="88" t="s">
        <v>602</v>
      </c>
      <c r="D7" s="40"/>
      <c r="E7" s="53"/>
      <c r="F7" s="28"/>
      <c r="G7" s="14"/>
      <c r="H7" s="1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row>
    <row r="8" spans="1:40" x14ac:dyDescent="0.25">
      <c r="B8" s="87" t="s">
        <v>15</v>
      </c>
      <c r="C8" s="141" t="s">
        <v>18</v>
      </c>
      <c r="D8" s="39"/>
      <c r="E8" s="54" t="s">
        <v>9</v>
      </c>
      <c r="F8" s="26"/>
      <c r="G8" s="18"/>
      <c r="H8" s="20" t="b">
        <f>IF(D10="x",H$2,H$1)</f>
        <v>0</v>
      </c>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row>
    <row r="9" spans="1:40" x14ac:dyDescent="0.25">
      <c r="B9" s="87" t="s">
        <v>15</v>
      </c>
      <c r="C9" s="141" t="s">
        <v>19</v>
      </c>
      <c r="D9" s="39"/>
      <c r="E9" s="54" t="s">
        <v>10</v>
      </c>
      <c r="F9" s="21" t="str">
        <f>IF(H10=1,IF(H8=H$2,H8,""),"")</f>
        <v/>
      </c>
      <c r="G9" s="18"/>
      <c r="H9" s="20" t="str">
        <f>IF(E67="comprobar",COUNTIF(D8:D12,"x"),"")</f>
        <v/>
      </c>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row>
    <row r="10" spans="1:40" x14ac:dyDescent="0.25">
      <c r="B10" s="87" t="s">
        <v>15</v>
      </c>
      <c r="C10" s="141" t="s">
        <v>20</v>
      </c>
      <c r="D10" s="39"/>
      <c r="E10" s="54" t="s">
        <v>11</v>
      </c>
      <c r="F10" s="22" t="str">
        <f>IF(H10=-0.33,IF(H8=H$1,H8,""),"")</f>
        <v/>
      </c>
      <c r="G10" s="18"/>
      <c r="H10" s="23">
        <f>IF(H9=1,IF(H8=H$2,1,-0.33),0)</f>
        <v>0</v>
      </c>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row>
    <row r="11" spans="1:40" x14ac:dyDescent="0.25">
      <c r="B11" s="87" t="s">
        <v>15</v>
      </c>
      <c r="C11" s="141" t="s">
        <v>21</v>
      </c>
      <c r="D11" s="39"/>
      <c r="E11" s="54" t="s">
        <v>12</v>
      </c>
      <c r="F11" s="26"/>
      <c r="G11" s="18"/>
      <c r="H11" s="23"/>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row>
    <row r="12" spans="1:40" x14ac:dyDescent="0.25">
      <c r="B12" s="87"/>
      <c r="C12" s="25"/>
      <c r="D12" s="39"/>
      <c r="E12" s="54" t="s">
        <v>13</v>
      </c>
      <c r="F12" s="19"/>
      <c r="G12" s="18"/>
      <c r="H12" s="23"/>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row>
    <row r="13" spans="1:40" s="16" customFormat="1" x14ac:dyDescent="0.25">
      <c r="A13" s="4"/>
      <c r="B13" s="86" t="s">
        <v>62</v>
      </c>
      <c r="C13" s="88" t="s">
        <v>603</v>
      </c>
      <c r="D13" s="40"/>
      <c r="E13" s="53"/>
      <c r="F13" s="28"/>
      <c r="G13" s="14"/>
      <c r="H13" s="1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row>
    <row r="14" spans="1:40" x14ac:dyDescent="0.25">
      <c r="B14" s="87" t="s">
        <v>15</v>
      </c>
      <c r="C14" s="141" t="s">
        <v>22</v>
      </c>
      <c r="D14" s="39"/>
      <c r="E14" s="54" t="s">
        <v>9</v>
      </c>
      <c r="F14" s="26"/>
      <c r="G14" s="18"/>
      <c r="H14" s="20" t="b">
        <f>IF(D15="x",H$2,H$1)</f>
        <v>0</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row>
    <row r="15" spans="1:40" x14ac:dyDescent="0.25">
      <c r="B15" s="87" t="s">
        <v>15</v>
      </c>
      <c r="C15" s="141" t="s">
        <v>23</v>
      </c>
      <c r="D15" s="39"/>
      <c r="E15" s="54" t="s">
        <v>10</v>
      </c>
      <c r="F15" s="21" t="str">
        <f>IF(H16=1,IF(H14=H$2,H14,""),"")</f>
        <v/>
      </c>
      <c r="G15" s="18"/>
      <c r="H15" s="20" t="str">
        <f>IF(E$67="comprobar",COUNTIF(D14:D18,"x"),"")</f>
        <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row>
    <row r="16" spans="1:40" x14ac:dyDescent="0.25">
      <c r="B16" s="87" t="s">
        <v>15</v>
      </c>
      <c r="C16" s="141" t="s">
        <v>24</v>
      </c>
      <c r="D16" s="39"/>
      <c r="E16" s="54" t="s">
        <v>11</v>
      </c>
      <c r="F16" s="22" t="str">
        <f>IF(H16=-0.33,IF(H14=H$1,H14,""),"")</f>
        <v/>
      </c>
      <c r="G16" s="18"/>
      <c r="H16" s="23">
        <f>IF(H15=1,IF(H14=H$2,1,-0.33),0)</f>
        <v>0</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row>
    <row r="17" spans="1:40" x14ac:dyDescent="0.25">
      <c r="B17" s="87" t="s">
        <v>15</v>
      </c>
      <c r="C17" s="141" t="s">
        <v>25</v>
      </c>
      <c r="D17" s="39"/>
      <c r="E17" s="54" t="s">
        <v>12</v>
      </c>
      <c r="F17" s="26"/>
      <c r="G17" s="18"/>
      <c r="H17" s="18"/>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row>
    <row r="18" spans="1:40" x14ac:dyDescent="0.25">
      <c r="B18" s="87"/>
      <c r="C18" s="25"/>
      <c r="D18" s="39"/>
      <c r="E18" s="54" t="s">
        <v>13</v>
      </c>
      <c r="F18" s="19"/>
      <c r="G18" s="18"/>
      <c r="H18" s="18"/>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row>
    <row r="19" spans="1:40" s="16" customFormat="1" x14ac:dyDescent="0.25">
      <c r="A19" s="4"/>
      <c r="B19" s="86" t="s">
        <v>69</v>
      </c>
      <c r="C19" s="88" t="s">
        <v>608</v>
      </c>
      <c r="D19" s="40"/>
      <c r="E19" s="53"/>
      <c r="F19" s="28"/>
      <c r="G19" s="14"/>
      <c r="H19" s="1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row>
    <row r="20" spans="1:40" x14ac:dyDescent="0.25">
      <c r="B20" s="87" t="s">
        <v>15</v>
      </c>
      <c r="C20" s="141" t="s">
        <v>26</v>
      </c>
      <c r="D20" s="39"/>
      <c r="E20" s="54" t="s">
        <v>9</v>
      </c>
      <c r="F20" s="26"/>
      <c r="G20" s="18"/>
      <c r="H20" s="20" t="b">
        <f>IF(D22="x",H$2,H$1)</f>
        <v>0</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row>
    <row r="21" spans="1:40" x14ac:dyDescent="0.25">
      <c r="B21" s="87" t="s">
        <v>15</v>
      </c>
      <c r="C21" s="141" t="s">
        <v>27</v>
      </c>
      <c r="D21" s="39"/>
      <c r="E21" s="54" t="s">
        <v>10</v>
      </c>
      <c r="F21" s="21" t="str">
        <f>IF(H22=1,IF(H20=H$2,H20,""),"")</f>
        <v/>
      </c>
      <c r="G21" s="18"/>
      <c r="H21" s="20" t="str">
        <f>IF(E$67="comprobar",COUNTIF(D20:D24,"x"),"")</f>
        <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row>
    <row r="22" spans="1:40" x14ac:dyDescent="0.25">
      <c r="B22" s="87" t="s">
        <v>15</v>
      </c>
      <c r="C22" s="141" t="s">
        <v>28</v>
      </c>
      <c r="D22" s="39"/>
      <c r="E22" s="54" t="s">
        <v>11</v>
      </c>
      <c r="F22" s="22" t="str">
        <f>IF(H22=-0.33,IF(H20=H$1,H20,""),"")</f>
        <v/>
      </c>
      <c r="G22" s="18"/>
      <c r="H22" s="23">
        <f>IF(H21=1,IF(H20=H$2,1,-0.33),0)</f>
        <v>0</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row>
    <row r="23" spans="1:40" x14ac:dyDescent="0.25">
      <c r="B23" s="87" t="s">
        <v>15</v>
      </c>
      <c r="C23" s="141" t="s">
        <v>29</v>
      </c>
      <c r="D23" s="39"/>
      <c r="E23" s="54" t="s">
        <v>12</v>
      </c>
      <c r="F23" s="26"/>
      <c r="G23" s="18"/>
      <c r="H23" s="23"/>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row>
    <row r="24" spans="1:40" x14ac:dyDescent="0.25">
      <c r="B24" s="87"/>
      <c r="C24" s="25"/>
      <c r="D24" s="39"/>
      <c r="E24" s="54" t="s">
        <v>13</v>
      </c>
      <c r="F24" s="19"/>
      <c r="G24" s="18"/>
      <c r="H24" s="23"/>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row>
    <row r="25" spans="1:40" s="16" customFormat="1" x14ac:dyDescent="0.25">
      <c r="A25" s="4"/>
      <c r="B25" s="86" t="s">
        <v>75</v>
      </c>
      <c r="C25" s="88" t="s">
        <v>609</v>
      </c>
      <c r="D25" s="40"/>
      <c r="E25" s="53"/>
      <c r="F25" s="28"/>
      <c r="G25" s="14"/>
      <c r="H25" s="1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row>
    <row r="26" spans="1:40" x14ac:dyDescent="0.25">
      <c r="B26" s="87" t="s">
        <v>15</v>
      </c>
      <c r="C26" s="141" t="s">
        <v>30</v>
      </c>
      <c r="D26" s="39"/>
      <c r="E26" s="54" t="s">
        <v>9</v>
      </c>
      <c r="F26" s="26"/>
      <c r="G26" s="18"/>
      <c r="H26" s="20" t="b">
        <f>IF(D29="x",H$2,H$1)</f>
        <v>0</v>
      </c>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row>
    <row r="27" spans="1:40" x14ac:dyDescent="0.25">
      <c r="B27" s="87" t="s">
        <v>15</v>
      </c>
      <c r="C27" s="141" t="s">
        <v>31</v>
      </c>
      <c r="D27" s="39"/>
      <c r="E27" s="54" t="s">
        <v>10</v>
      </c>
      <c r="F27" s="21" t="str">
        <f>IF(H28=1,IF(H26=H$2,H26,""),"")</f>
        <v/>
      </c>
      <c r="G27" s="18"/>
      <c r="H27" s="20" t="str">
        <f>IF(E$67="comprobar",COUNTIF(D26:D30,"x"),"")</f>
        <v/>
      </c>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row>
    <row r="28" spans="1:40" x14ac:dyDescent="0.25">
      <c r="B28" s="87" t="s">
        <v>15</v>
      </c>
      <c r="C28" s="141" t="s">
        <v>32</v>
      </c>
      <c r="D28" s="39"/>
      <c r="E28" s="54" t="s">
        <v>11</v>
      </c>
      <c r="F28" s="22" t="str">
        <f>IF(H28=-0.33,IF(H26=H$1,H26,""),"")</f>
        <v/>
      </c>
      <c r="G28" s="18"/>
      <c r="H28" s="23">
        <f>IF(H27=1,IF(H26=H$2,1,-0.33),0)</f>
        <v>0</v>
      </c>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row>
    <row r="29" spans="1:40" x14ac:dyDescent="0.25">
      <c r="B29" s="87" t="s">
        <v>15</v>
      </c>
      <c r="C29" s="141" t="s">
        <v>33</v>
      </c>
      <c r="D29" s="39"/>
      <c r="E29" s="54" t="s">
        <v>12</v>
      </c>
      <c r="F29" s="26"/>
      <c r="G29" s="18"/>
      <c r="H29" s="23"/>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row>
    <row r="30" spans="1:40" x14ac:dyDescent="0.25">
      <c r="B30" s="87"/>
      <c r="C30" s="25"/>
      <c r="D30" s="39"/>
      <c r="E30" s="54" t="s">
        <v>13</v>
      </c>
      <c r="F30" s="19"/>
      <c r="G30" s="18"/>
      <c r="H30" s="23"/>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row>
    <row r="31" spans="1:40" s="16" customFormat="1" x14ac:dyDescent="0.25">
      <c r="A31" s="4"/>
      <c r="B31" s="86" t="s">
        <v>80</v>
      </c>
      <c r="C31" s="88" t="s">
        <v>610</v>
      </c>
      <c r="D31" s="40"/>
      <c r="E31" s="53"/>
      <c r="F31" s="28"/>
      <c r="G31" s="14"/>
      <c r="H31" s="1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row>
    <row r="32" spans="1:40" x14ac:dyDescent="0.25">
      <c r="B32" s="87" t="s">
        <v>15</v>
      </c>
      <c r="C32" s="141" t="s">
        <v>34</v>
      </c>
      <c r="D32" s="39"/>
      <c r="E32" s="54" t="s">
        <v>9</v>
      </c>
      <c r="F32" s="26"/>
      <c r="G32" s="18"/>
      <c r="H32" s="20" t="b">
        <f>IF(D32="x",H$2,H$1)</f>
        <v>0</v>
      </c>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row>
    <row r="33" spans="1:40" x14ac:dyDescent="0.25">
      <c r="B33" s="87" t="s">
        <v>15</v>
      </c>
      <c r="C33" s="141" t="s">
        <v>35</v>
      </c>
      <c r="D33" s="39"/>
      <c r="E33" s="54" t="s">
        <v>10</v>
      </c>
      <c r="F33" s="21" t="str">
        <f>IF(H34=1,IF(H32=H$2,H32,""),"")</f>
        <v/>
      </c>
      <c r="G33" s="18"/>
      <c r="H33" s="20" t="str">
        <f>IF(E$67="comprobar",COUNTIF(D32:D36,"x"),"")</f>
        <v/>
      </c>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row>
    <row r="34" spans="1:40" x14ac:dyDescent="0.25">
      <c r="B34" s="87" t="s">
        <v>15</v>
      </c>
      <c r="C34" s="141" t="s">
        <v>37</v>
      </c>
      <c r="D34" s="39"/>
      <c r="E34" s="54" t="s">
        <v>11</v>
      </c>
      <c r="F34" s="22" t="str">
        <f>IF(H34=-0.33,IF(H32=H$1,H32,""),"")</f>
        <v/>
      </c>
      <c r="G34" s="18"/>
      <c r="H34" s="23">
        <f t="shared" ref="H34" si="0">IF(H33=1,IF(H32=H$2,1,-0.33),0)</f>
        <v>0</v>
      </c>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row>
    <row r="35" spans="1:40" x14ac:dyDescent="0.25">
      <c r="B35" s="87" t="s">
        <v>15</v>
      </c>
      <c r="C35" s="141" t="s">
        <v>36</v>
      </c>
      <c r="D35" s="39"/>
      <c r="E35" s="54" t="s">
        <v>12</v>
      </c>
      <c r="F35" s="26"/>
      <c r="G35" s="18"/>
      <c r="H35" s="18"/>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row>
    <row r="36" spans="1:40" x14ac:dyDescent="0.25">
      <c r="B36" s="87"/>
      <c r="C36" s="25"/>
      <c r="D36" s="39"/>
      <c r="E36" s="54" t="s">
        <v>13</v>
      </c>
      <c r="F36" s="19"/>
      <c r="G36" s="18"/>
      <c r="H36" s="18"/>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row>
    <row r="37" spans="1:40" s="16" customFormat="1" x14ac:dyDescent="0.25">
      <c r="A37" s="4"/>
      <c r="B37" s="86" t="s">
        <v>85</v>
      </c>
      <c r="C37" s="88" t="s">
        <v>611</v>
      </c>
      <c r="D37" s="40"/>
      <c r="E37" s="53"/>
      <c r="F37" s="28"/>
      <c r="G37" s="14"/>
      <c r="H37" s="1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row>
    <row r="38" spans="1:40" x14ac:dyDescent="0.25">
      <c r="B38" s="87" t="s">
        <v>15</v>
      </c>
      <c r="C38" s="141" t="s">
        <v>38</v>
      </c>
      <c r="D38" s="39"/>
      <c r="E38" s="54" t="s">
        <v>9</v>
      </c>
      <c r="F38" s="26"/>
      <c r="G38" s="18"/>
      <c r="H38" s="20" t="b">
        <f>IF(D41="x",H$2,H$1)</f>
        <v>0</v>
      </c>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row>
    <row r="39" spans="1:40" x14ac:dyDescent="0.25">
      <c r="B39" s="87" t="s">
        <v>15</v>
      </c>
      <c r="C39" s="141" t="s">
        <v>39</v>
      </c>
      <c r="D39" s="39"/>
      <c r="E39" s="54" t="s">
        <v>10</v>
      </c>
      <c r="F39" s="21" t="str">
        <f>IF(H40=1,IF(H38=H$2,H38,""),"")</f>
        <v/>
      </c>
      <c r="G39" s="18"/>
      <c r="H39" s="20" t="str">
        <f>IF(E$67="comprobar",COUNTIF(D38:D42,"x"),"")</f>
        <v/>
      </c>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row>
    <row r="40" spans="1:40" x14ac:dyDescent="0.25">
      <c r="B40" s="87" t="s">
        <v>15</v>
      </c>
      <c r="C40" s="141" t="s">
        <v>40</v>
      </c>
      <c r="D40" s="39"/>
      <c r="E40" s="54" t="s">
        <v>11</v>
      </c>
      <c r="F40" s="22" t="str">
        <f>IF(H40=-0.33,IF(H38=H$1,H38,""),"")</f>
        <v/>
      </c>
      <c r="G40" s="18"/>
      <c r="H40" s="23">
        <f>IF(H39=1,IF(H38=H$2,1,-0.33),0)</f>
        <v>0</v>
      </c>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row>
    <row r="41" spans="1:40" x14ac:dyDescent="0.25">
      <c r="B41" s="87" t="s">
        <v>15</v>
      </c>
      <c r="C41" s="141" t="s">
        <v>41</v>
      </c>
      <c r="D41" s="39"/>
      <c r="E41" s="54" t="s">
        <v>12</v>
      </c>
      <c r="F41" s="26"/>
      <c r="G41" s="18"/>
      <c r="H41" s="18"/>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row>
    <row r="42" spans="1:40" x14ac:dyDescent="0.25">
      <c r="B42" s="87"/>
      <c r="C42" s="25"/>
      <c r="D42" s="39"/>
      <c r="E42" s="54" t="s">
        <v>13</v>
      </c>
      <c r="F42" s="19"/>
      <c r="G42" s="18"/>
      <c r="H42" s="18"/>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row>
    <row r="43" spans="1:40" s="16" customFormat="1" x14ac:dyDescent="0.25">
      <c r="A43" s="4"/>
      <c r="B43" s="86" t="s">
        <v>91</v>
      </c>
      <c r="C43" s="88" t="s">
        <v>604</v>
      </c>
      <c r="D43" s="40"/>
      <c r="E43" s="53"/>
      <c r="F43" s="28"/>
      <c r="G43" s="14"/>
      <c r="H43" s="1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row>
    <row r="44" spans="1:40" x14ac:dyDescent="0.25">
      <c r="B44" s="87" t="s">
        <v>15</v>
      </c>
      <c r="C44" s="141" t="s">
        <v>42</v>
      </c>
      <c r="D44" s="39"/>
      <c r="E44" s="54" t="s">
        <v>9</v>
      </c>
      <c r="F44" s="26"/>
      <c r="G44" s="18"/>
      <c r="H44" s="20" t="b">
        <f>IF(D44="x",H$2,H$1)</f>
        <v>0</v>
      </c>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row>
    <row r="45" spans="1:40" x14ac:dyDescent="0.25">
      <c r="B45" s="87" t="s">
        <v>15</v>
      </c>
      <c r="C45" s="141" t="s">
        <v>43</v>
      </c>
      <c r="D45" s="39"/>
      <c r="E45" s="54" t="s">
        <v>10</v>
      </c>
      <c r="F45" s="21" t="str">
        <f>IF(H46=1,IF(H44=H$2,H44,""),"")</f>
        <v/>
      </c>
      <c r="G45" s="18"/>
      <c r="H45" s="20" t="str">
        <f>IF(E$67="comprobar",COUNTIF(D44:D48,"x"),"")</f>
        <v/>
      </c>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row>
    <row r="46" spans="1:40" x14ac:dyDescent="0.25">
      <c r="B46" s="87" t="s">
        <v>15</v>
      </c>
      <c r="C46" s="141" t="s">
        <v>44</v>
      </c>
      <c r="D46" s="39"/>
      <c r="E46" s="54" t="s">
        <v>11</v>
      </c>
      <c r="F46" s="22" t="str">
        <f>IF(H46=-0.33,IF(H44=H$1,H44,""),"")</f>
        <v/>
      </c>
      <c r="G46" s="18"/>
      <c r="H46" s="23">
        <f>IF(H45=1,IF(H44=H$2,1,-0.33),0)</f>
        <v>0</v>
      </c>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row>
    <row r="47" spans="1:40" x14ac:dyDescent="0.25">
      <c r="B47" s="87" t="s">
        <v>15</v>
      </c>
      <c r="C47" s="141" t="s">
        <v>45</v>
      </c>
      <c r="D47" s="39"/>
      <c r="E47" s="54" t="s">
        <v>12</v>
      </c>
      <c r="F47" s="26"/>
      <c r="G47" s="18"/>
      <c r="H47" s="23"/>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row>
    <row r="48" spans="1:40" x14ac:dyDescent="0.25">
      <c r="B48" s="87"/>
      <c r="C48" s="25"/>
      <c r="D48" s="39"/>
      <c r="E48" s="54" t="s">
        <v>13</v>
      </c>
      <c r="F48" s="19"/>
      <c r="G48" s="18"/>
      <c r="H48" s="23"/>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row>
    <row r="49" spans="1:40" s="16" customFormat="1" x14ac:dyDescent="0.25">
      <c r="A49" s="4"/>
      <c r="B49" s="86" t="s">
        <v>92</v>
      </c>
      <c r="C49" s="88" t="s">
        <v>605</v>
      </c>
      <c r="D49" s="40"/>
      <c r="E49" s="53"/>
      <c r="F49" s="28"/>
      <c r="G49" s="14"/>
      <c r="H49" s="1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row>
    <row r="50" spans="1:40" x14ac:dyDescent="0.25">
      <c r="B50" s="87" t="s">
        <v>15</v>
      </c>
      <c r="C50" s="141" t="s">
        <v>46</v>
      </c>
      <c r="D50" s="39"/>
      <c r="E50" s="54" t="s">
        <v>9</v>
      </c>
      <c r="F50" s="26"/>
      <c r="G50" s="18"/>
      <c r="H50" s="20" t="b">
        <f>IF(D53="x",H$2,H$1)</f>
        <v>0</v>
      </c>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row>
    <row r="51" spans="1:40" x14ac:dyDescent="0.25">
      <c r="B51" s="87" t="s">
        <v>15</v>
      </c>
      <c r="C51" s="141" t="s">
        <v>47</v>
      </c>
      <c r="D51" s="39"/>
      <c r="E51" s="54" t="s">
        <v>10</v>
      </c>
      <c r="F51" s="21" t="str">
        <f>IF(H52=1,IF(H50=H$2,H50,""),"")</f>
        <v/>
      </c>
      <c r="G51" s="18"/>
      <c r="H51" s="20" t="str">
        <f>IF(E$67="comprobar",COUNTIF(D50:D54,"x"),"")</f>
        <v/>
      </c>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row>
    <row r="52" spans="1:40" x14ac:dyDescent="0.25">
      <c r="B52" s="87" t="s">
        <v>15</v>
      </c>
      <c r="C52" s="141" t="s">
        <v>48</v>
      </c>
      <c r="D52" s="39"/>
      <c r="E52" s="54" t="s">
        <v>11</v>
      </c>
      <c r="F52" s="22" t="str">
        <f>IF(H52=-0.33,IF(H50=H$1,H50,""),"")</f>
        <v/>
      </c>
      <c r="G52" s="18"/>
      <c r="H52" s="23">
        <f>IF(H51=1,IF(H50=H$2,1,-0.33),0)</f>
        <v>0</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row>
    <row r="53" spans="1:40" x14ac:dyDescent="0.25">
      <c r="B53" s="87" t="s">
        <v>15</v>
      </c>
      <c r="C53" s="141" t="s">
        <v>49</v>
      </c>
      <c r="D53" s="39"/>
      <c r="E53" s="54" t="s">
        <v>12</v>
      </c>
      <c r="F53" s="26"/>
      <c r="G53" s="18"/>
      <c r="H53" s="23"/>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row>
    <row r="54" spans="1:40" x14ac:dyDescent="0.25">
      <c r="B54" s="87"/>
      <c r="C54" s="25"/>
      <c r="D54" s="39"/>
      <c r="E54" s="54" t="s">
        <v>13</v>
      </c>
      <c r="F54" s="19"/>
      <c r="G54" s="18"/>
      <c r="H54" s="23"/>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row>
    <row r="55" spans="1:40" s="16" customFormat="1" x14ac:dyDescent="0.25">
      <c r="A55" s="4"/>
      <c r="B55" s="86" t="s">
        <v>199</v>
      </c>
      <c r="C55" s="88" t="s">
        <v>606</v>
      </c>
      <c r="D55" s="40"/>
      <c r="E55" s="53"/>
      <c r="F55" s="28"/>
      <c r="G55" s="14"/>
      <c r="H55" s="1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row>
    <row r="56" spans="1:40" x14ac:dyDescent="0.25">
      <c r="B56" s="87" t="s">
        <v>15</v>
      </c>
      <c r="C56" s="141" t="s">
        <v>50</v>
      </c>
      <c r="D56" s="39"/>
      <c r="E56" s="54" t="s">
        <v>9</v>
      </c>
      <c r="F56" s="26"/>
      <c r="G56" s="18"/>
      <c r="H56" s="20" t="b">
        <f>IF(D57="x",H$2,H$1)</f>
        <v>0</v>
      </c>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row>
    <row r="57" spans="1:40" x14ac:dyDescent="0.25">
      <c r="B57" s="87" t="s">
        <v>15</v>
      </c>
      <c r="C57" s="141" t="s">
        <v>51</v>
      </c>
      <c r="D57" s="39"/>
      <c r="E57" s="54" t="s">
        <v>10</v>
      </c>
      <c r="F57" s="21" t="str">
        <f>IF(H58=1,IF(H56=H$2,H56,""),"")</f>
        <v/>
      </c>
      <c r="G57" s="18"/>
      <c r="H57" s="20" t="str">
        <f>IF(E$67="comprobar",COUNTIF(D56:D60,"x"),"")</f>
        <v/>
      </c>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row>
    <row r="58" spans="1:40" x14ac:dyDescent="0.25">
      <c r="B58" s="87" t="s">
        <v>15</v>
      </c>
      <c r="C58" s="141" t="s">
        <v>52</v>
      </c>
      <c r="D58" s="39"/>
      <c r="E58" s="54" t="s">
        <v>11</v>
      </c>
      <c r="F58" s="22" t="str">
        <f>IF(H58=-0.33,IF(H56=H$1,H56,""),"")</f>
        <v/>
      </c>
      <c r="G58" s="18"/>
      <c r="H58" s="23">
        <f>IF(H57=1,IF(H56=H$2,1,-0.33),0)</f>
        <v>0</v>
      </c>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row>
    <row r="59" spans="1:40" x14ac:dyDescent="0.25">
      <c r="B59" s="87" t="s">
        <v>15</v>
      </c>
      <c r="C59" s="141" t="s">
        <v>53</v>
      </c>
      <c r="D59" s="39"/>
      <c r="E59" s="54" t="s">
        <v>12</v>
      </c>
      <c r="F59" s="26"/>
      <c r="G59" s="18"/>
      <c r="H59" s="20"/>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row>
    <row r="60" spans="1:40" x14ac:dyDescent="0.25">
      <c r="B60" s="87"/>
      <c r="C60" s="25"/>
      <c r="D60" s="39"/>
      <c r="E60" s="54" t="s">
        <v>13</v>
      </c>
      <c r="F60" s="19"/>
      <c r="G60" s="18"/>
      <c r="H60" s="2"/>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row>
    <row r="61" spans="1:40" s="16" customFormat="1" x14ac:dyDescent="0.25">
      <c r="A61" s="4"/>
      <c r="B61" s="86" t="s">
        <v>159</v>
      </c>
      <c r="C61" s="88" t="s">
        <v>607</v>
      </c>
      <c r="D61" s="40"/>
      <c r="E61" s="53"/>
      <c r="F61" s="28"/>
      <c r="G61" s="24"/>
      <c r="H61" s="2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row>
    <row r="62" spans="1:40" x14ac:dyDescent="0.25">
      <c r="B62" s="87" t="s">
        <v>15</v>
      </c>
      <c r="C62" s="141" t="s">
        <v>54</v>
      </c>
      <c r="D62" s="39"/>
      <c r="E62" s="54" t="s">
        <v>9</v>
      </c>
      <c r="F62" s="26"/>
      <c r="G62" s="25"/>
      <c r="H62" s="20" t="b">
        <f>IF(D63="x",H$2,H$1)</f>
        <v>0</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row>
    <row r="63" spans="1:40" x14ac:dyDescent="0.25">
      <c r="B63" s="87" t="s">
        <v>15</v>
      </c>
      <c r="C63" s="141" t="s">
        <v>55</v>
      </c>
      <c r="D63" s="39"/>
      <c r="E63" s="54" t="s">
        <v>10</v>
      </c>
      <c r="F63" s="21" t="str">
        <f>IF(H64=1,IF(H62=H$2,H62,""),"")</f>
        <v/>
      </c>
      <c r="G63" s="25"/>
      <c r="H63" s="20" t="str">
        <f>IF(E$67="comprobar",COUNTIF(D62:D66,"x"),"")</f>
        <v/>
      </c>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row>
    <row r="64" spans="1:40" x14ac:dyDescent="0.25">
      <c r="B64" s="87" t="s">
        <v>15</v>
      </c>
      <c r="C64" s="141" t="s">
        <v>56</v>
      </c>
      <c r="D64" s="39"/>
      <c r="E64" s="54" t="s">
        <v>11</v>
      </c>
      <c r="F64" s="22" t="str">
        <f>IF(H64=-0.33,IF(H62=H$1,H62,""),"")</f>
        <v/>
      </c>
      <c r="G64" s="25"/>
      <c r="H64" s="23">
        <f>IF(H63=1,IF(H62=H$2,1,-0.33),0)</f>
        <v>0</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row>
    <row r="65" spans="1:40" x14ac:dyDescent="0.25">
      <c r="B65" s="87" t="s">
        <v>15</v>
      </c>
      <c r="C65" s="141" t="s">
        <v>57</v>
      </c>
      <c r="D65" s="39"/>
      <c r="E65" s="54" t="s">
        <v>12</v>
      </c>
      <c r="F65" s="26"/>
      <c r="G65" s="25"/>
      <c r="H65" s="23"/>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row>
    <row r="66" spans="1:40" x14ac:dyDescent="0.25">
      <c r="B66" s="87"/>
      <c r="C66" s="25"/>
      <c r="D66" s="39"/>
      <c r="E66" s="54" t="s">
        <v>13</v>
      </c>
      <c r="F66" s="19"/>
      <c r="G66" s="25"/>
      <c r="H66" s="23"/>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row>
    <row r="67" spans="1:40" x14ac:dyDescent="0.25">
      <c r="B67" s="45"/>
      <c r="C67" s="8"/>
      <c r="D67" s="49"/>
      <c r="E67" s="55"/>
      <c r="F67" s="19"/>
      <c r="G67" s="18"/>
      <c r="H67" s="18"/>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row>
    <row r="68" spans="1:40" x14ac:dyDescent="0.25">
      <c r="B68" s="45"/>
      <c r="C68" s="8"/>
      <c r="D68" s="49"/>
      <c r="E68" s="58"/>
      <c r="F68" s="29" t="s">
        <v>8</v>
      </c>
      <c r="G68" s="18" t="s">
        <v>6</v>
      </c>
      <c r="H68" s="18" t="s">
        <v>7</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row>
    <row r="69" spans="1:40" ht="19.5" x14ac:dyDescent="0.25">
      <c r="B69" s="45"/>
      <c r="C69" s="89"/>
      <c r="D69" s="171"/>
      <c r="E69" s="171"/>
      <c r="F69" s="30" t="str">
        <f>IF(E67="comprobar",H64+H58+H52+H46+H40+H34+H28+H22+H16+H10,"")</f>
        <v/>
      </c>
      <c r="G69" s="18">
        <f>10/2</f>
        <v>5</v>
      </c>
      <c r="H69" s="18"/>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row>
    <row r="70" spans="1:40" ht="16.5" thickBot="1" x14ac:dyDescent="0.3">
      <c r="B70" s="46"/>
      <c r="C70" s="31"/>
      <c r="D70" s="32"/>
      <c r="E70" s="56"/>
      <c r="F70" s="33" t="str">
        <f>IF(F69&gt;G69,G68,H68)</f>
        <v>APROBADO</v>
      </c>
      <c r="G70" s="18"/>
      <c r="H70" s="18"/>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row>
    <row r="71" spans="1:40" ht="28.5" x14ac:dyDescent="0.45">
      <c r="B71" s="62" t="s">
        <v>17</v>
      </c>
      <c r="C71" s="169" t="s">
        <v>114</v>
      </c>
      <c r="D71" s="169"/>
      <c r="E71" s="169"/>
      <c r="F71" s="170"/>
      <c r="G71" s="18"/>
      <c r="H71" s="18"/>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row>
    <row r="72" spans="1:40" s="16" customFormat="1" x14ac:dyDescent="0.25">
      <c r="A72" s="4"/>
      <c r="B72" s="86" t="s">
        <v>64</v>
      </c>
      <c r="C72" s="88" t="s">
        <v>612</v>
      </c>
      <c r="D72" s="40"/>
      <c r="E72" s="53"/>
      <c r="F72" s="28"/>
      <c r="G72" s="14"/>
      <c r="H72" s="14"/>
    </row>
    <row r="73" spans="1:40" x14ac:dyDescent="0.25">
      <c r="B73" s="87" t="s">
        <v>15</v>
      </c>
      <c r="C73" s="141" t="s">
        <v>58</v>
      </c>
      <c r="D73" s="39"/>
      <c r="E73" s="54" t="s">
        <v>9</v>
      </c>
      <c r="F73" s="26"/>
      <c r="G73" s="18"/>
      <c r="H73" s="20" t="b">
        <f>IF(D75="x",H$2,H$1)</f>
        <v>0</v>
      </c>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row>
    <row r="74" spans="1:40" x14ac:dyDescent="0.25">
      <c r="B74" s="87" t="s">
        <v>15</v>
      </c>
      <c r="C74" s="141" t="s">
        <v>59</v>
      </c>
      <c r="D74" s="39"/>
      <c r="E74" s="54" t="s">
        <v>10</v>
      </c>
      <c r="F74" s="21" t="str">
        <f>IF(H75=1,IF(H73=H$2,H73,""),"")</f>
        <v/>
      </c>
      <c r="G74" s="18"/>
      <c r="H74" s="20" t="str">
        <f>IF(E$132="comprobar",COUNTIF(D73:D77,"x"),"")</f>
        <v/>
      </c>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row>
    <row r="75" spans="1:40" x14ac:dyDescent="0.25">
      <c r="B75" s="87" t="s">
        <v>15</v>
      </c>
      <c r="C75" s="141" t="s">
        <v>60</v>
      </c>
      <c r="D75" s="39"/>
      <c r="E75" s="54" t="s">
        <v>11</v>
      </c>
      <c r="F75" s="22" t="str">
        <f>IF(H75=-0.33,IF(H73=H$1,H73,""),"")</f>
        <v/>
      </c>
      <c r="G75" s="18"/>
      <c r="H75" s="23">
        <f>IF(H74=1,IF(H73=H$2,1,-0.33),0)</f>
        <v>0</v>
      </c>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row>
    <row r="76" spans="1:40" x14ac:dyDescent="0.25">
      <c r="B76" s="87" t="s">
        <v>15</v>
      </c>
      <c r="C76" s="141" t="s">
        <v>61</v>
      </c>
      <c r="D76" s="39"/>
      <c r="E76" s="54" t="s">
        <v>12</v>
      </c>
      <c r="F76" s="26"/>
      <c r="G76" s="18"/>
      <c r="H76" s="23"/>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row>
    <row r="77" spans="1:40" x14ac:dyDescent="0.25">
      <c r="B77" s="65"/>
      <c r="C77" s="66"/>
      <c r="D77" s="39"/>
      <c r="E77" s="54" t="s">
        <v>13</v>
      </c>
      <c r="F77" s="19"/>
      <c r="G77" s="18"/>
      <c r="H77" s="23"/>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row>
    <row r="78" spans="1:40" s="34" customFormat="1" x14ac:dyDescent="0.25">
      <c r="A78" s="4"/>
      <c r="B78" s="86" t="s">
        <v>62</v>
      </c>
      <c r="C78" s="88" t="s">
        <v>63</v>
      </c>
      <c r="D78" s="40"/>
      <c r="E78" s="53"/>
      <c r="F78" s="28"/>
      <c r="G78" s="14"/>
      <c r="H78" s="14"/>
    </row>
    <row r="79" spans="1:40" x14ac:dyDescent="0.25">
      <c r="B79" s="87" t="s">
        <v>15</v>
      </c>
      <c r="C79" t="s">
        <v>65</v>
      </c>
      <c r="D79" s="39"/>
      <c r="E79" s="54" t="s">
        <v>9</v>
      </c>
      <c r="F79" s="26"/>
      <c r="G79" s="18"/>
      <c r="H79" s="20" t="b">
        <f>IF(D80="x",H$2,H$1)</f>
        <v>0</v>
      </c>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row>
    <row r="80" spans="1:40" x14ac:dyDescent="0.25">
      <c r="B80" s="87" t="s">
        <v>15</v>
      </c>
      <c r="C80" s="91" t="s">
        <v>66</v>
      </c>
      <c r="D80" s="39"/>
      <c r="E80" s="54" t="s">
        <v>10</v>
      </c>
      <c r="F80" s="21" t="str">
        <f>IF(H81=1,IF(H79=H$2,H79,""),"")</f>
        <v/>
      </c>
      <c r="G80" s="18"/>
      <c r="H80" s="20" t="str">
        <f>IF(E$132="comprobar",COUNTIF(D79:D83,"x"),"")</f>
        <v/>
      </c>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row>
    <row r="81" spans="1:40" x14ac:dyDescent="0.25">
      <c r="B81" s="87" t="s">
        <v>15</v>
      </c>
      <c r="C81" s="91" t="s">
        <v>67</v>
      </c>
      <c r="D81" s="39"/>
      <c r="E81" s="54" t="s">
        <v>11</v>
      </c>
      <c r="F81" s="22" t="str">
        <f>IF(H81=-0.33,IF(H79=H$1,H79,""),"")</f>
        <v/>
      </c>
      <c r="G81" s="18"/>
      <c r="H81" s="23">
        <f t="shared" ref="H81" si="1">IF(H80=1,IF(H79=H$2,1,-0.33),0)</f>
        <v>0</v>
      </c>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row>
    <row r="82" spans="1:40" x14ac:dyDescent="0.25">
      <c r="B82" s="87" t="s">
        <v>15</v>
      </c>
      <c r="C82" s="91" t="s">
        <v>68</v>
      </c>
      <c r="D82" s="39"/>
      <c r="E82" s="54" t="s">
        <v>12</v>
      </c>
      <c r="F82" s="26"/>
      <c r="G82" s="18"/>
      <c r="H82" s="23"/>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row>
    <row r="83" spans="1:40" x14ac:dyDescent="0.25">
      <c r="B83" s="65"/>
      <c r="C83" s="66"/>
      <c r="D83" s="39"/>
      <c r="E83" s="54" t="s">
        <v>13</v>
      </c>
      <c r="F83" s="19"/>
      <c r="G83" s="18"/>
      <c r="H83" s="23"/>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row>
    <row r="84" spans="1:40" s="34" customFormat="1" x14ac:dyDescent="0.25">
      <c r="A84" s="139"/>
      <c r="B84" s="86" t="s">
        <v>69</v>
      </c>
      <c r="C84" s="88" t="s">
        <v>70</v>
      </c>
      <c r="D84" s="59"/>
      <c r="E84" s="57"/>
      <c r="F84" s="51"/>
      <c r="G84" s="48"/>
      <c r="H84" s="48"/>
    </row>
    <row r="85" spans="1:40" x14ac:dyDescent="0.25">
      <c r="B85" s="87" t="s">
        <v>15</v>
      </c>
      <c r="C85" s="91" t="s">
        <v>71</v>
      </c>
      <c r="D85" s="39"/>
      <c r="E85" s="54" t="s">
        <v>9</v>
      </c>
      <c r="F85" s="26"/>
      <c r="G85" s="18"/>
      <c r="H85" s="20" t="b">
        <f>IF(D85="x",H$2,H$1)</f>
        <v>0</v>
      </c>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row>
    <row r="86" spans="1:40" x14ac:dyDescent="0.25">
      <c r="B86" s="87" t="s">
        <v>15</v>
      </c>
      <c r="C86" s="91" t="s">
        <v>72</v>
      </c>
      <c r="D86" s="39"/>
      <c r="E86" s="54" t="s">
        <v>10</v>
      </c>
      <c r="F86" s="21" t="str">
        <f>IF(H87=1,IF(H85=H$2,H85,""),"")</f>
        <v/>
      </c>
      <c r="G86" s="18"/>
      <c r="H86" s="20" t="str">
        <f>IF(E$132="comprobar",COUNTIF(D85:D89,"x"),"")</f>
        <v/>
      </c>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row>
    <row r="87" spans="1:40" x14ac:dyDescent="0.25">
      <c r="B87" s="87" t="s">
        <v>15</v>
      </c>
      <c r="C87" s="91" t="s">
        <v>73</v>
      </c>
      <c r="D87" s="39"/>
      <c r="E87" s="54" t="s">
        <v>11</v>
      </c>
      <c r="F87" s="22" t="str">
        <f>IF(H87=-0.33,IF(H85=H$1,H85,""),"")</f>
        <v/>
      </c>
      <c r="G87" s="18"/>
      <c r="H87" s="23">
        <f t="shared" ref="H87" si="2">IF(H86=1,IF(H85=H$2,1,-0.33),0)</f>
        <v>0</v>
      </c>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row>
    <row r="88" spans="1:40" x14ac:dyDescent="0.25">
      <c r="B88" s="87" t="s">
        <v>15</v>
      </c>
      <c r="C88" s="91" t="s">
        <v>74</v>
      </c>
      <c r="D88" s="39"/>
      <c r="E88" s="54" t="s">
        <v>12</v>
      </c>
      <c r="F88" s="26"/>
      <c r="G88" s="18"/>
      <c r="H88" s="23"/>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row>
    <row r="89" spans="1:40" x14ac:dyDescent="0.25">
      <c r="B89" s="65"/>
      <c r="C89" s="66"/>
      <c r="D89" s="39"/>
      <c r="E89" s="54" t="s">
        <v>13</v>
      </c>
      <c r="F89" s="19"/>
      <c r="G89" s="18"/>
      <c r="H89" s="23"/>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row>
    <row r="90" spans="1:40" s="16" customFormat="1" x14ac:dyDescent="0.25">
      <c r="A90" s="4"/>
      <c r="B90" s="86" t="s">
        <v>75</v>
      </c>
      <c r="C90" s="88" t="s">
        <v>613</v>
      </c>
      <c r="D90" s="40"/>
      <c r="E90" s="53"/>
      <c r="F90" s="28"/>
      <c r="G90" s="14"/>
      <c r="H90" s="14"/>
    </row>
    <row r="91" spans="1:40" x14ac:dyDescent="0.25">
      <c r="B91" s="87" t="s">
        <v>15</v>
      </c>
      <c r="C91" s="91" t="s">
        <v>76</v>
      </c>
      <c r="D91" s="39"/>
      <c r="E91" s="54" t="s">
        <v>9</v>
      </c>
      <c r="F91" s="26"/>
      <c r="G91" s="18"/>
      <c r="H91" s="20" t="b">
        <f>IF(D94="x",H$2,H$1)</f>
        <v>0</v>
      </c>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row>
    <row r="92" spans="1:40" x14ac:dyDescent="0.25">
      <c r="B92" s="87" t="s">
        <v>15</v>
      </c>
      <c r="C92" s="91" t="s">
        <v>77</v>
      </c>
      <c r="D92" s="39"/>
      <c r="E92" s="54" t="s">
        <v>10</v>
      </c>
      <c r="F92" s="21" t="str">
        <f>IF(H93=1,IF(H91=H$2,H91,""),"")</f>
        <v/>
      </c>
      <c r="G92" s="18"/>
      <c r="H92" s="20" t="str">
        <f>IF(E$132="comprobar",COUNTIF(D91:D95,"x"),"")</f>
        <v/>
      </c>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row>
    <row r="93" spans="1:40" x14ac:dyDescent="0.25">
      <c r="B93" s="87" t="s">
        <v>15</v>
      </c>
      <c r="C93" s="91" t="s">
        <v>78</v>
      </c>
      <c r="D93" s="39"/>
      <c r="E93" s="54" t="s">
        <v>11</v>
      </c>
      <c r="F93" s="22" t="str">
        <f>IF(H93=-0.33,IF(H91=H$1,H91,""),"")</f>
        <v/>
      </c>
      <c r="G93" s="18"/>
      <c r="H93" s="23">
        <f t="shared" ref="H93" si="3">IF(H92=1,IF(H91=H$2,1,-0.33),0)</f>
        <v>0</v>
      </c>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row>
    <row r="94" spans="1:40" x14ac:dyDescent="0.25">
      <c r="B94" s="87" t="s">
        <v>15</v>
      </c>
      <c r="C94" s="91" t="s">
        <v>79</v>
      </c>
      <c r="D94" s="39"/>
      <c r="E94" s="54" t="s">
        <v>12</v>
      </c>
      <c r="F94" s="26"/>
      <c r="G94" s="18"/>
      <c r="H94" s="23"/>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row>
    <row r="95" spans="1:40" x14ac:dyDescent="0.25">
      <c r="B95" s="65"/>
      <c r="C95" s="66"/>
      <c r="D95" s="39"/>
      <c r="E95" s="54" t="s">
        <v>13</v>
      </c>
      <c r="F95" s="19"/>
      <c r="G95" s="18"/>
      <c r="H95" s="23"/>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row>
    <row r="96" spans="1:40" s="16" customFormat="1" x14ac:dyDescent="0.25">
      <c r="A96" s="4"/>
      <c r="B96" s="86" t="s">
        <v>80</v>
      </c>
      <c r="C96" s="88" t="s">
        <v>614</v>
      </c>
      <c r="D96" s="40"/>
      <c r="E96" s="53"/>
      <c r="F96" s="28"/>
      <c r="G96" s="14"/>
      <c r="H96" s="14"/>
    </row>
    <row r="97" spans="1:40" x14ac:dyDescent="0.25">
      <c r="B97" s="87" t="s">
        <v>15</v>
      </c>
      <c r="C97" s="64" t="s">
        <v>81</v>
      </c>
      <c r="D97" s="39"/>
      <c r="E97" s="54" t="s">
        <v>9</v>
      </c>
      <c r="F97" s="26"/>
      <c r="G97" s="18"/>
      <c r="H97" s="20" t="b">
        <f>IF(D97="x",H$2,H$1)</f>
        <v>0</v>
      </c>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row>
    <row r="98" spans="1:40" x14ac:dyDescent="0.25">
      <c r="B98" s="87" t="s">
        <v>15</v>
      </c>
      <c r="C98" s="64" t="s">
        <v>82</v>
      </c>
      <c r="D98" s="39"/>
      <c r="E98" s="54" t="s">
        <v>10</v>
      </c>
      <c r="F98" s="21" t="str">
        <f>IF(H99=1,IF(H97=H$2,H97,""),"")</f>
        <v/>
      </c>
      <c r="G98" s="18"/>
      <c r="H98" s="20" t="str">
        <f>IF(E$132="comprobar",COUNTIF(D97:D101,"x"),"")</f>
        <v/>
      </c>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row>
    <row r="99" spans="1:40" x14ac:dyDescent="0.25">
      <c r="B99" s="87" t="s">
        <v>15</v>
      </c>
      <c r="C99" s="91" t="s">
        <v>83</v>
      </c>
      <c r="D99" s="39"/>
      <c r="E99" s="54" t="s">
        <v>11</v>
      </c>
      <c r="F99" s="22" t="str">
        <f>IF(H99=-0.33,IF(H97=H$1,H97,""),"")</f>
        <v/>
      </c>
      <c r="G99" s="18"/>
      <c r="H99" s="23">
        <f t="shared" ref="H99" si="4">IF(H98=1,IF(H97=H$2,1,-0.33),0)</f>
        <v>0</v>
      </c>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row>
    <row r="100" spans="1:40" x14ac:dyDescent="0.25">
      <c r="B100" s="87" t="s">
        <v>15</v>
      </c>
      <c r="C100" s="91" t="s">
        <v>84</v>
      </c>
      <c r="D100" s="39"/>
      <c r="E100" s="54" t="s">
        <v>12</v>
      </c>
      <c r="F100" s="26"/>
      <c r="G100" s="18"/>
      <c r="H100" s="23"/>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row>
    <row r="101" spans="1:40" x14ac:dyDescent="0.25">
      <c r="B101" s="65"/>
      <c r="C101" s="66"/>
      <c r="D101" s="39"/>
      <c r="E101" s="54" t="s">
        <v>13</v>
      </c>
      <c r="F101" s="19"/>
      <c r="G101" s="18"/>
      <c r="H101" s="23"/>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row>
    <row r="102" spans="1:40" s="16" customFormat="1" x14ac:dyDescent="0.25">
      <c r="A102" s="4"/>
      <c r="B102" s="86" t="s">
        <v>85</v>
      </c>
      <c r="C102" s="88" t="s">
        <v>86</v>
      </c>
      <c r="D102" s="40"/>
      <c r="E102" s="53"/>
      <c r="F102" s="28"/>
      <c r="G102" s="14"/>
      <c r="H102" s="14"/>
    </row>
    <row r="103" spans="1:40" x14ac:dyDescent="0.25">
      <c r="B103" s="87" t="s">
        <v>15</v>
      </c>
      <c r="C103" s="64" t="s">
        <v>87</v>
      </c>
      <c r="D103" s="39"/>
      <c r="E103" s="54" t="s">
        <v>9</v>
      </c>
      <c r="F103" s="26"/>
      <c r="G103" s="18"/>
      <c r="H103" s="20" t="b">
        <f>IF(D106="x",H$2,H$1)</f>
        <v>0</v>
      </c>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row>
    <row r="104" spans="1:40" x14ac:dyDescent="0.25">
      <c r="B104" s="87" t="s">
        <v>15</v>
      </c>
      <c r="C104" s="64" t="s">
        <v>88</v>
      </c>
      <c r="D104" s="39"/>
      <c r="E104" s="54" t="s">
        <v>10</v>
      </c>
      <c r="F104" s="21" t="str">
        <f>IF(H105=1,IF(H103=H$2,H103,""),"")</f>
        <v/>
      </c>
      <c r="G104" s="18"/>
      <c r="H104" s="20" t="str">
        <f>IF(E$132="comprobar",COUNTIF(D103:D107,"x"),"")</f>
        <v/>
      </c>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row>
    <row r="105" spans="1:40" x14ac:dyDescent="0.25">
      <c r="B105" s="87" t="s">
        <v>15</v>
      </c>
      <c r="C105" s="64" t="s">
        <v>89</v>
      </c>
      <c r="D105" s="39"/>
      <c r="E105" s="54" t="s">
        <v>11</v>
      </c>
      <c r="F105" s="22" t="str">
        <f>IF(H105=-0.33,IF(H103=H$1,H103,""),"")</f>
        <v/>
      </c>
      <c r="G105" s="18"/>
      <c r="H105" s="23">
        <f t="shared" ref="H105" si="5">IF(H104=1,IF(H103=H$2,1,-0.33),0)</f>
        <v>0</v>
      </c>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row>
    <row r="106" spans="1:40" x14ac:dyDescent="0.25">
      <c r="B106" s="87" t="s">
        <v>15</v>
      </c>
      <c r="C106" s="64" t="s">
        <v>90</v>
      </c>
      <c r="D106" s="39"/>
      <c r="E106" s="54" t="s">
        <v>12</v>
      </c>
      <c r="F106" s="26"/>
      <c r="G106" s="18"/>
      <c r="H106" s="23"/>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row>
    <row r="107" spans="1:40" x14ac:dyDescent="0.25">
      <c r="B107" s="65"/>
      <c r="C107" s="66"/>
      <c r="D107" s="39"/>
      <c r="E107" s="54" t="s">
        <v>13</v>
      </c>
      <c r="F107" s="19"/>
      <c r="G107" s="18"/>
      <c r="H107" s="23"/>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row>
    <row r="108" spans="1:40" s="16" customFormat="1" x14ac:dyDescent="0.25">
      <c r="A108" s="4"/>
      <c r="B108" s="86" t="s">
        <v>91</v>
      </c>
      <c r="C108" s="88" t="s">
        <v>95</v>
      </c>
      <c r="D108" s="40"/>
      <c r="E108" s="53"/>
      <c r="F108" s="28"/>
      <c r="G108" s="14"/>
      <c r="H108" s="14"/>
    </row>
    <row r="109" spans="1:40" x14ac:dyDescent="0.25">
      <c r="B109" s="87" t="s">
        <v>15</v>
      </c>
      <c r="C109" s="91" t="s">
        <v>96</v>
      </c>
      <c r="D109" s="39"/>
      <c r="E109" s="1" t="s">
        <v>9</v>
      </c>
      <c r="F109" s="26"/>
      <c r="G109" s="18"/>
      <c r="H109" s="20" t="b">
        <f>IF(D110="x",H$2,H$1)</f>
        <v>0</v>
      </c>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row>
    <row r="110" spans="1:40" x14ac:dyDescent="0.25">
      <c r="B110" s="87" t="s">
        <v>15</v>
      </c>
      <c r="C110" s="91" t="s">
        <v>97</v>
      </c>
      <c r="D110" s="39"/>
      <c r="E110" s="54" t="s">
        <v>10</v>
      </c>
      <c r="F110" s="21" t="str">
        <f>IF(H111=1,IF(H109=H$2,H109,""),"")</f>
        <v/>
      </c>
      <c r="G110" s="18"/>
      <c r="H110" s="20" t="str">
        <f>IF(E$132="comprobar",COUNTIF(D109:D113,"x"),"")</f>
        <v/>
      </c>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row>
    <row r="111" spans="1:40" x14ac:dyDescent="0.25">
      <c r="B111" s="87" t="s">
        <v>15</v>
      </c>
      <c r="C111" s="91" t="s">
        <v>98</v>
      </c>
      <c r="D111" s="39"/>
      <c r="E111" s="54" t="s">
        <v>11</v>
      </c>
      <c r="F111" s="22" t="str">
        <f>IF(H111=-0.33,IF(H109=H$1,H109,""),"")</f>
        <v/>
      </c>
      <c r="G111" s="18"/>
      <c r="H111" s="23">
        <f t="shared" ref="H111" si="6">IF(H110=1,IF(H109=H$2,1,-0.33),0)</f>
        <v>0</v>
      </c>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row>
    <row r="112" spans="1:40" x14ac:dyDescent="0.25">
      <c r="B112" s="87" t="s">
        <v>15</v>
      </c>
      <c r="C112" s="91" t="s">
        <v>99</v>
      </c>
      <c r="D112" s="39"/>
      <c r="E112" s="54" t="s">
        <v>12</v>
      </c>
      <c r="F112" s="26"/>
      <c r="G112" s="18"/>
      <c r="H112" s="23"/>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row>
    <row r="113" spans="1:40" x14ac:dyDescent="0.25">
      <c r="B113" s="43"/>
      <c r="C113" s="104"/>
      <c r="D113" s="39"/>
      <c r="E113" s="54" t="s">
        <v>13</v>
      </c>
      <c r="F113" s="19"/>
      <c r="G113" s="18"/>
      <c r="H113" s="23"/>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row>
    <row r="114" spans="1:40" s="16" customFormat="1" x14ac:dyDescent="0.25">
      <c r="A114" s="4"/>
      <c r="B114" s="86" t="s">
        <v>92</v>
      </c>
      <c r="C114" s="88" t="s">
        <v>615</v>
      </c>
      <c r="D114" s="40"/>
      <c r="E114" s="53"/>
      <c r="F114" s="28"/>
      <c r="G114" s="14"/>
      <c r="H114" s="14"/>
    </row>
    <row r="115" spans="1:40" x14ac:dyDescent="0.25">
      <c r="B115" s="87" t="s">
        <v>15</v>
      </c>
      <c r="C115" s="64" t="s">
        <v>100</v>
      </c>
      <c r="D115" s="39"/>
      <c r="E115" s="54" t="s">
        <v>9</v>
      </c>
      <c r="F115" s="26"/>
      <c r="G115" s="18"/>
      <c r="H115" s="20" t="b">
        <f>IF(D116="x",H$2,H$1)</f>
        <v>0</v>
      </c>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row>
    <row r="116" spans="1:40" x14ac:dyDescent="0.25">
      <c r="B116" s="87" t="s">
        <v>15</v>
      </c>
      <c r="C116" s="91" t="s">
        <v>101</v>
      </c>
      <c r="D116" s="39"/>
      <c r="E116" s="54" t="s">
        <v>10</v>
      </c>
      <c r="F116" s="21" t="str">
        <f>IF(H117=1,IF(H115=H$2,H115,""),"")</f>
        <v/>
      </c>
      <c r="G116" s="18"/>
      <c r="H116" s="20" t="str">
        <f>IF(E$132="comprobar",COUNTIF(D115:D119,"x"),"")</f>
        <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row>
    <row r="117" spans="1:40" x14ac:dyDescent="0.25">
      <c r="B117" s="87" t="s">
        <v>15</v>
      </c>
      <c r="C117" s="91" t="s">
        <v>102</v>
      </c>
      <c r="D117" s="39"/>
      <c r="E117" s="54" t="s">
        <v>11</v>
      </c>
      <c r="F117" s="22" t="str">
        <f>IF(H117=-0.33,IF(H115=H$1,H115,""),"")</f>
        <v/>
      </c>
      <c r="G117" s="18"/>
      <c r="H117" s="23">
        <f t="shared" ref="H117" si="7">IF(H116=1,IF(H115=H$2,1,-0.33),0)</f>
        <v>0</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row>
    <row r="118" spans="1:40" x14ac:dyDescent="0.25">
      <c r="B118" s="87" t="s">
        <v>15</v>
      </c>
      <c r="C118" s="91" t="s">
        <v>103</v>
      </c>
      <c r="D118" s="39"/>
      <c r="E118" s="54" t="s">
        <v>12</v>
      </c>
      <c r="F118" s="26"/>
      <c r="G118" s="18"/>
      <c r="H118" s="23"/>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row>
    <row r="119" spans="1:40" x14ac:dyDescent="0.25">
      <c r="B119" s="65"/>
      <c r="C119" s="66"/>
      <c r="D119" s="39"/>
      <c r="E119" s="54" t="s">
        <v>13</v>
      </c>
      <c r="F119" s="19"/>
      <c r="G119" s="18"/>
      <c r="H119" s="23"/>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row>
    <row r="120" spans="1:40" s="16" customFormat="1" x14ac:dyDescent="0.25">
      <c r="A120" s="4"/>
      <c r="B120" s="86" t="s">
        <v>93</v>
      </c>
      <c r="C120" s="88" t="s">
        <v>86</v>
      </c>
      <c r="D120" s="40"/>
      <c r="E120" s="53"/>
      <c r="F120" s="28"/>
      <c r="G120" s="14"/>
      <c r="H120" s="14"/>
    </row>
    <row r="121" spans="1:40" x14ac:dyDescent="0.25">
      <c r="B121" s="87" t="s">
        <v>15</v>
      </c>
      <c r="C121" s="64" t="s">
        <v>104</v>
      </c>
      <c r="D121" s="39"/>
      <c r="E121" s="54" t="s">
        <v>9</v>
      </c>
      <c r="F121" s="26"/>
      <c r="G121" s="18"/>
      <c r="H121" s="20" t="b">
        <f>IF(D124="x",H$2,H$1)</f>
        <v>0</v>
      </c>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row>
    <row r="122" spans="1:40" x14ac:dyDescent="0.25">
      <c r="B122" s="87" t="s">
        <v>15</v>
      </c>
      <c r="C122" s="91" t="s">
        <v>105</v>
      </c>
      <c r="D122" s="39"/>
      <c r="E122" s="54" t="s">
        <v>10</v>
      </c>
      <c r="F122" s="21" t="str">
        <f>IF(H123=1,IF(H121=H$2,H121,""),"")</f>
        <v/>
      </c>
      <c r="G122" s="18"/>
      <c r="H122" s="20" t="str">
        <f>IF(E$132="comprobar",COUNTIF(D121:D125,"x"),"")</f>
        <v/>
      </c>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row>
    <row r="123" spans="1:40" x14ac:dyDescent="0.25">
      <c r="B123" s="87" t="s">
        <v>15</v>
      </c>
      <c r="C123" s="91" t="s">
        <v>106</v>
      </c>
      <c r="D123" s="39"/>
      <c r="E123" s="54" t="s">
        <v>11</v>
      </c>
      <c r="F123" s="22" t="str">
        <f>IF(H123=-0.33,IF(H121=H$1,H121,""),"")</f>
        <v/>
      </c>
      <c r="G123" s="18"/>
      <c r="H123" s="23">
        <f t="shared" ref="H123" si="8">IF(H122=1,IF(H121=H$2,1,-0.33),0)</f>
        <v>0</v>
      </c>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row>
    <row r="124" spans="1:40" x14ac:dyDescent="0.25">
      <c r="B124" s="87" t="s">
        <v>15</v>
      </c>
      <c r="C124" s="91" t="s">
        <v>107</v>
      </c>
      <c r="D124" s="39"/>
      <c r="E124" s="54" t="s">
        <v>12</v>
      </c>
      <c r="F124" s="26"/>
      <c r="G124" s="18"/>
      <c r="H124" s="23"/>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row>
    <row r="125" spans="1:40" x14ac:dyDescent="0.25">
      <c r="B125" s="65"/>
      <c r="C125" s="66"/>
      <c r="D125" s="39"/>
      <c r="E125" s="54" t="s">
        <v>13</v>
      </c>
      <c r="F125" s="19"/>
      <c r="G125" s="18"/>
      <c r="H125" s="23"/>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row>
    <row r="126" spans="1:40" s="16" customFormat="1" x14ac:dyDescent="0.25">
      <c r="A126" s="4"/>
      <c r="B126" s="86" t="s">
        <v>94</v>
      </c>
      <c r="C126" s="88" t="s">
        <v>108</v>
      </c>
      <c r="D126" s="40"/>
      <c r="E126" s="53"/>
      <c r="F126" s="28"/>
      <c r="G126" s="27"/>
      <c r="H126" s="14"/>
    </row>
    <row r="127" spans="1:40" x14ac:dyDescent="0.25">
      <c r="B127" s="87" t="s">
        <v>15</v>
      </c>
      <c r="C127" s="64" t="s">
        <v>109</v>
      </c>
      <c r="D127" s="39"/>
      <c r="E127" s="54" t="s">
        <v>9</v>
      </c>
      <c r="F127" s="26"/>
      <c r="G127" s="25"/>
      <c r="H127" s="20" t="b">
        <f>IF(D129="x",H$2,H$1)</f>
        <v>0</v>
      </c>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row>
    <row r="128" spans="1:40" x14ac:dyDescent="0.25">
      <c r="B128" s="87" t="s">
        <v>15</v>
      </c>
      <c r="C128" s="91" t="s">
        <v>110</v>
      </c>
      <c r="D128" s="39"/>
      <c r="E128" s="54" t="s">
        <v>10</v>
      </c>
      <c r="F128" s="21" t="str">
        <f>IF(H129=1,IF(H127=H$2,H127,""),"")</f>
        <v/>
      </c>
      <c r="G128" s="25"/>
      <c r="H128" s="20" t="str">
        <f>IF(E$132="comprobar",COUNTIF(D127:D131,"x"),"")</f>
        <v/>
      </c>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row>
    <row r="129" spans="1:40" x14ac:dyDescent="0.25">
      <c r="B129" s="87" t="s">
        <v>15</v>
      </c>
      <c r="C129" s="91" t="s">
        <v>111</v>
      </c>
      <c r="D129" s="39"/>
      <c r="E129" s="54" t="s">
        <v>11</v>
      </c>
      <c r="F129" s="22" t="str">
        <f>IF(H129=-0.33,IF(H127=H$1,H127,""),"")</f>
        <v/>
      </c>
      <c r="G129" s="25"/>
      <c r="H129" s="23">
        <f t="shared" ref="H129" si="9">IF(H128=1,IF(H127=H$2,1,-0.33),0)</f>
        <v>0</v>
      </c>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row>
    <row r="130" spans="1:40" x14ac:dyDescent="0.25">
      <c r="B130" s="87" t="s">
        <v>15</v>
      </c>
      <c r="C130" s="91" t="s">
        <v>112</v>
      </c>
      <c r="D130" s="39"/>
      <c r="E130" s="54" t="s">
        <v>12</v>
      </c>
      <c r="F130" s="26"/>
      <c r="G130" s="25"/>
      <c r="H130" s="23"/>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row>
    <row r="131" spans="1:40" x14ac:dyDescent="0.25">
      <c r="B131" s="65"/>
      <c r="C131" s="66"/>
      <c r="D131" s="39"/>
      <c r="E131" s="54" t="s">
        <v>13</v>
      </c>
      <c r="F131" s="19"/>
      <c r="G131" s="25"/>
      <c r="H131" s="23"/>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row>
    <row r="132" spans="1:40" x14ac:dyDescent="0.25">
      <c r="B132" s="45"/>
      <c r="C132" s="42"/>
      <c r="D132" s="49"/>
      <c r="E132" s="55"/>
      <c r="F132" s="19"/>
      <c r="G132" s="18"/>
      <c r="H132" s="18"/>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row>
    <row r="133" spans="1:40" x14ac:dyDescent="0.25">
      <c r="B133" s="45"/>
      <c r="C133" s="17"/>
      <c r="D133" s="49"/>
      <c r="E133" s="58"/>
      <c r="F133" s="29" t="s">
        <v>8</v>
      </c>
      <c r="G133" s="18" t="s">
        <v>6</v>
      </c>
      <c r="H133" s="18" t="s">
        <v>7</v>
      </c>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row>
    <row r="134" spans="1:40" ht="19.5" x14ac:dyDescent="0.25">
      <c r="B134" s="45"/>
      <c r="C134" s="17"/>
      <c r="D134" s="69"/>
      <c r="E134" s="52"/>
      <c r="F134" s="30" t="str">
        <f>IF(E132="comprobar",H129+H123+H117+H111+H105+H99+H93+H87+H81+H75,"")</f>
        <v/>
      </c>
      <c r="G134" s="18">
        <f>10/2</f>
        <v>5</v>
      </c>
      <c r="H134" s="18"/>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row>
    <row r="135" spans="1:40" ht="16.5" thickBot="1" x14ac:dyDescent="0.3">
      <c r="B135" s="46"/>
      <c r="C135" s="31"/>
      <c r="D135" s="32"/>
      <c r="E135" s="56"/>
      <c r="F135" s="33" t="str">
        <f>IF(F134&gt;G134,G133,H133)</f>
        <v>APROBADO</v>
      </c>
      <c r="G135" s="18"/>
      <c r="H135" s="18"/>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row>
    <row r="136" spans="1:40" ht="28.5" x14ac:dyDescent="0.45">
      <c r="B136" s="62" t="s">
        <v>17</v>
      </c>
      <c r="C136" s="129" t="s">
        <v>113</v>
      </c>
      <c r="D136" s="70"/>
      <c r="E136" s="70"/>
      <c r="F136" s="71"/>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row>
    <row r="137" spans="1:40" s="47" customFormat="1" x14ac:dyDescent="0.25">
      <c r="A137" s="139"/>
      <c r="B137" s="86" t="s">
        <v>64</v>
      </c>
      <c r="C137" s="88" t="s">
        <v>115</v>
      </c>
      <c r="D137" s="73"/>
      <c r="E137" s="48"/>
      <c r="F137" s="74"/>
      <c r="G137" s="48"/>
      <c r="H137" s="48"/>
    </row>
    <row r="138" spans="1:40" x14ac:dyDescent="0.25">
      <c r="B138" s="87" t="s">
        <v>15</v>
      </c>
      <c r="C138" s="91" t="s">
        <v>116</v>
      </c>
      <c r="D138" s="39"/>
      <c r="E138" s="54" t="s">
        <v>9</v>
      </c>
      <c r="F138" s="26"/>
      <c r="G138" s="18"/>
      <c r="H138" s="20" t="b">
        <f>IF(D140="x",H$2,H$1)</f>
        <v>0</v>
      </c>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row>
    <row r="139" spans="1:40" x14ac:dyDescent="0.25">
      <c r="B139" s="87" t="s">
        <v>15</v>
      </c>
      <c r="C139" s="91" t="s">
        <v>117</v>
      </c>
      <c r="D139" s="39"/>
      <c r="E139" s="54" t="s">
        <v>10</v>
      </c>
      <c r="F139" s="21" t="str">
        <f>IF(H140=1,IF(H138=H$2,H138,""),"")</f>
        <v/>
      </c>
      <c r="G139" s="18"/>
      <c r="H139" s="20" t="str">
        <f>IF(E197="comprobar",COUNTIF(D138:D142,"x"),"")</f>
        <v/>
      </c>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row>
    <row r="140" spans="1:40" x14ac:dyDescent="0.25">
      <c r="B140" s="87" t="s">
        <v>15</v>
      </c>
      <c r="C140" s="91" t="s">
        <v>118</v>
      </c>
      <c r="D140" s="39"/>
      <c r="E140" s="54" t="s">
        <v>11</v>
      </c>
      <c r="F140" s="22" t="str">
        <f>IF(H140=-0.33,IF(H138=H$1,H138,""),"")</f>
        <v/>
      </c>
      <c r="G140" s="18"/>
      <c r="H140" s="23">
        <f t="shared" ref="H140:H194" si="10">IF(H139=1,IF(H138=H$2,1,-0.33),0)</f>
        <v>0</v>
      </c>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row>
    <row r="141" spans="1:40" x14ac:dyDescent="0.25">
      <c r="B141" s="87" t="s">
        <v>15</v>
      </c>
      <c r="C141" s="91" t="s">
        <v>119</v>
      </c>
      <c r="D141" s="39"/>
      <c r="E141" s="54" t="s">
        <v>12</v>
      </c>
      <c r="F141" s="26"/>
      <c r="G141" s="18"/>
      <c r="H141" s="23"/>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row>
    <row r="142" spans="1:40" x14ac:dyDescent="0.25">
      <c r="B142" s="65"/>
      <c r="C142" s="66"/>
      <c r="D142" s="39"/>
      <c r="E142" s="54" t="s">
        <v>13</v>
      </c>
      <c r="F142" s="19"/>
      <c r="G142" s="18"/>
      <c r="H142" s="23"/>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row>
    <row r="143" spans="1:40" s="4" customFormat="1" x14ac:dyDescent="0.25">
      <c r="B143" s="81"/>
      <c r="C143" s="82"/>
      <c r="D143" s="49"/>
      <c r="E143" s="54"/>
      <c r="F143" s="26"/>
      <c r="G143" s="18"/>
      <c r="H143" s="18"/>
    </row>
    <row r="144" spans="1:40" x14ac:dyDescent="0.25">
      <c r="B144" s="86" t="s">
        <v>62</v>
      </c>
      <c r="C144" s="88" t="s">
        <v>120</v>
      </c>
      <c r="D144" s="73"/>
      <c r="E144" s="48"/>
      <c r="F144" s="73"/>
      <c r="G144" s="18"/>
      <c r="H144" s="20" t="b">
        <f>IF(D146="x",H$2,H$1)</f>
        <v>0</v>
      </c>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row>
    <row r="145" spans="1:40" x14ac:dyDescent="0.25">
      <c r="B145" s="87" t="s">
        <v>15</v>
      </c>
      <c r="C145" s="91" t="s">
        <v>121</v>
      </c>
      <c r="D145" s="39"/>
      <c r="E145" s="54" t="s">
        <v>9</v>
      </c>
      <c r="F145" s="21" t="str">
        <f>IF(H146=1,IF(H144=H$2,H144,""),"")</f>
        <v/>
      </c>
      <c r="G145" s="18"/>
      <c r="H145" s="20" t="str">
        <f>IF(E$197="comprobar",COUNTIF(D145:D148,"x"),"")</f>
        <v/>
      </c>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row>
    <row r="146" spans="1:40" x14ac:dyDescent="0.25">
      <c r="B146" s="87" t="s">
        <v>15</v>
      </c>
      <c r="C146" s="91" t="s">
        <v>122</v>
      </c>
      <c r="D146" s="39"/>
      <c r="E146" s="54" t="s">
        <v>10</v>
      </c>
      <c r="F146" s="22" t="str">
        <f>IF(H146=-0.33,IF(H144=H$1,H144,""),"")</f>
        <v/>
      </c>
      <c r="G146" s="18"/>
      <c r="H146" s="23">
        <f t="shared" si="10"/>
        <v>0</v>
      </c>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row>
    <row r="147" spans="1:40" x14ac:dyDescent="0.25">
      <c r="B147" s="87" t="s">
        <v>15</v>
      </c>
      <c r="C147" s="91" t="s">
        <v>123</v>
      </c>
      <c r="D147" s="39"/>
      <c r="E147" s="54" t="s">
        <v>11</v>
      </c>
      <c r="F147" s="26"/>
      <c r="G147" s="18"/>
      <c r="H147" s="23"/>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row>
    <row r="148" spans="1:40" x14ac:dyDescent="0.25">
      <c r="B148" s="87" t="s">
        <v>15</v>
      </c>
      <c r="C148" s="91" t="s">
        <v>124</v>
      </c>
      <c r="D148" s="39"/>
      <c r="E148" s="54" t="s">
        <v>12</v>
      </c>
      <c r="F148" s="19"/>
      <c r="G148" s="18"/>
      <c r="H148" s="23"/>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row>
    <row r="149" spans="1:40" s="16" customFormat="1" x14ac:dyDescent="0.25">
      <c r="A149" s="139"/>
      <c r="B149" s="86" t="s">
        <v>69</v>
      </c>
      <c r="C149" s="88" t="s">
        <v>125</v>
      </c>
      <c r="D149" s="80"/>
      <c r="E149" s="53"/>
      <c r="F149" s="28"/>
      <c r="G149" s="14"/>
      <c r="H149" s="14"/>
    </row>
    <row r="150" spans="1:40" x14ac:dyDescent="0.25">
      <c r="B150" s="87" t="s">
        <v>15</v>
      </c>
      <c r="C150" s="91" t="s">
        <v>126</v>
      </c>
      <c r="D150" s="39"/>
      <c r="E150" s="54" t="s">
        <v>9</v>
      </c>
      <c r="F150" s="26"/>
      <c r="G150" s="18"/>
      <c r="H150" s="20" t="b">
        <f>IF(D153="x",H$2,H$1)</f>
        <v>0</v>
      </c>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row>
    <row r="151" spans="1:40" x14ac:dyDescent="0.25">
      <c r="B151" s="87" t="s">
        <v>15</v>
      </c>
      <c r="C151" s="143" t="s">
        <v>127</v>
      </c>
      <c r="D151" s="39"/>
      <c r="E151" s="54" t="s">
        <v>10</v>
      </c>
      <c r="F151" s="21" t="str">
        <f>IF(H152=1,IF(H150=H$2,H150,""),"")</f>
        <v/>
      </c>
      <c r="G151" s="18"/>
      <c r="H151" s="20" t="str">
        <f>IF(E$197="comprobar",COUNTIF(D150:D154,"x"),"")</f>
        <v/>
      </c>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row>
    <row r="152" spans="1:40" x14ac:dyDescent="0.25">
      <c r="B152" s="87" t="s">
        <v>15</v>
      </c>
      <c r="C152" t="s">
        <v>128</v>
      </c>
      <c r="D152" s="39"/>
      <c r="E152" s="54" t="s">
        <v>11</v>
      </c>
      <c r="F152" s="22" t="str">
        <f>IF(H152=-0.33,IF(H150=H$1,H150,""),"")</f>
        <v/>
      </c>
      <c r="G152" s="18"/>
      <c r="H152" s="23">
        <f t="shared" si="10"/>
        <v>0</v>
      </c>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row>
    <row r="153" spans="1:40" x14ac:dyDescent="0.25">
      <c r="B153" s="87" t="s">
        <v>15</v>
      </c>
      <c r="C153" s="91" t="s">
        <v>129</v>
      </c>
      <c r="D153" s="39"/>
      <c r="E153" s="54" t="s">
        <v>12</v>
      </c>
      <c r="F153" s="26"/>
      <c r="G153" s="18"/>
      <c r="H153" s="23"/>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row>
    <row r="154" spans="1:40" x14ac:dyDescent="0.25">
      <c r="B154" s="65"/>
      <c r="C154" s="66"/>
      <c r="D154" s="39"/>
      <c r="E154" s="54" t="s">
        <v>13</v>
      </c>
      <c r="F154" s="19"/>
      <c r="G154" s="18"/>
      <c r="H154" s="23"/>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row>
    <row r="155" spans="1:40" s="16" customFormat="1" x14ac:dyDescent="0.25">
      <c r="A155" s="4"/>
      <c r="B155" s="86" t="s">
        <v>75</v>
      </c>
      <c r="C155" s="88" t="s">
        <v>130</v>
      </c>
      <c r="D155" s="80"/>
      <c r="E155" s="53"/>
      <c r="F155" s="28"/>
      <c r="G155" s="14"/>
      <c r="H155" s="14"/>
    </row>
    <row r="156" spans="1:40" ht="32.25" customHeight="1" x14ac:dyDescent="0.25">
      <c r="B156" s="87" t="s">
        <v>15</v>
      </c>
      <c r="C156" s="144" t="s">
        <v>131</v>
      </c>
      <c r="D156" s="39"/>
      <c r="E156" s="54" t="s">
        <v>9</v>
      </c>
      <c r="F156" s="26"/>
      <c r="G156" s="18"/>
      <c r="H156" s="20" t="b">
        <f>IF(D158="x",H$2,H$1)</f>
        <v>0</v>
      </c>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row>
    <row r="157" spans="1:40" ht="27.75" customHeight="1" x14ac:dyDescent="0.25">
      <c r="B157" s="87" t="s">
        <v>15</v>
      </c>
      <c r="C157" s="143" t="s">
        <v>132</v>
      </c>
      <c r="D157" s="39"/>
      <c r="E157" s="54" t="s">
        <v>10</v>
      </c>
      <c r="F157" s="21" t="str">
        <f>IF(H158=1,IF(H156=H$2,H156,""),"")</f>
        <v/>
      </c>
      <c r="G157" s="18"/>
      <c r="H157" s="20" t="str">
        <f>IF(E$197="comprobar",COUNTIF(D156:D160,"x"),"")</f>
        <v/>
      </c>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row>
    <row r="158" spans="1:40" ht="30" customHeight="1" x14ac:dyDescent="0.25">
      <c r="B158" s="87" t="s">
        <v>15</v>
      </c>
      <c r="C158" s="145" t="s">
        <v>133</v>
      </c>
      <c r="D158" s="39"/>
      <c r="E158" s="54" t="s">
        <v>11</v>
      </c>
      <c r="F158" s="22" t="str">
        <f>IF(H158=-0.33,IF(H156=H$1,H156,""),"")</f>
        <v/>
      </c>
      <c r="G158" s="18"/>
      <c r="H158" s="23">
        <f t="shared" si="10"/>
        <v>0</v>
      </c>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row>
    <row r="159" spans="1:40" x14ac:dyDescent="0.25">
      <c r="B159" s="87" t="s">
        <v>15</v>
      </c>
      <c r="C159" s="91" t="s">
        <v>134</v>
      </c>
      <c r="D159" s="39"/>
      <c r="E159" s="54" t="s">
        <v>12</v>
      </c>
      <c r="F159" s="26"/>
      <c r="G159" s="18"/>
      <c r="H159" s="23"/>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row>
    <row r="160" spans="1:40" x14ac:dyDescent="0.25">
      <c r="B160" s="65"/>
      <c r="C160" s="66"/>
      <c r="D160" s="39"/>
      <c r="E160" s="54" t="s">
        <v>13</v>
      </c>
      <c r="F160" s="19"/>
      <c r="G160" s="18"/>
      <c r="H160" s="23"/>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row>
    <row r="161" spans="1:40" s="16" customFormat="1" x14ac:dyDescent="0.25">
      <c r="A161" s="4"/>
      <c r="B161" s="140" t="s">
        <v>80</v>
      </c>
      <c r="C161" s="92" t="s">
        <v>135</v>
      </c>
      <c r="D161" s="80"/>
      <c r="E161" s="53"/>
      <c r="F161" s="28"/>
      <c r="G161" s="14"/>
      <c r="H161" s="14"/>
    </row>
    <row r="162" spans="1:40" x14ac:dyDescent="0.25">
      <c r="B162" s="87" t="s">
        <v>15</v>
      </c>
      <c r="C162" s="64" t="s">
        <v>136</v>
      </c>
      <c r="D162" s="39"/>
      <c r="E162" s="54" t="s">
        <v>9</v>
      </c>
      <c r="F162" s="26"/>
      <c r="G162" s="18"/>
      <c r="H162" s="20" t="b">
        <f>IF(D163="x",H$2,H$1)</f>
        <v>0</v>
      </c>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row>
    <row r="163" spans="1:40" x14ac:dyDescent="0.25">
      <c r="B163" s="87" t="s">
        <v>15</v>
      </c>
      <c r="C163" s="91" t="s">
        <v>137</v>
      </c>
      <c r="D163" s="39"/>
      <c r="E163" s="54" t="s">
        <v>10</v>
      </c>
      <c r="F163" s="21" t="str">
        <f>IF(H164=1,IF(H162=H$2,H162,""),"")</f>
        <v/>
      </c>
      <c r="G163" s="18"/>
      <c r="H163" s="20" t="str">
        <f>IF(E$197="comprobar",COUNTIF(D162:D166,"x"),"")</f>
        <v/>
      </c>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row>
    <row r="164" spans="1:40" x14ac:dyDescent="0.25">
      <c r="B164" s="87" t="s">
        <v>15</v>
      </c>
      <c r="C164" s="91" t="s">
        <v>138</v>
      </c>
      <c r="D164" s="39"/>
      <c r="E164" s="54" t="s">
        <v>11</v>
      </c>
      <c r="F164" s="22" t="str">
        <f>IF(H164=-0.33,IF(H162=H$1,H162,""),"")</f>
        <v/>
      </c>
      <c r="G164" s="18"/>
      <c r="H164" s="23">
        <f t="shared" si="10"/>
        <v>0</v>
      </c>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row>
    <row r="165" spans="1:40" x14ac:dyDescent="0.25">
      <c r="B165" s="87" t="s">
        <v>15</v>
      </c>
      <c r="C165" s="91" t="s">
        <v>139</v>
      </c>
      <c r="D165" s="39"/>
      <c r="E165" s="54" t="s">
        <v>12</v>
      </c>
      <c r="F165" s="26"/>
      <c r="G165" s="18"/>
      <c r="H165" s="23"/>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row>
    <row r="166" spans="1:40" x14ac:dyDescent="0.25">
      <c r="B166" s="65"/>
      <c r="C166" s="66"/>
      <c r="D166" s="39"/>
      <c r="E166" s="54" t="s">
        <v>13</v>
      </c>
      <c r="F166" s="19"/>
      <c r="G166" s="18"/>
      <c r="H166" s="23"/>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row>
    <row r="167" spans="1:40" s="16" customFormat="1" x14ac:dyDescent="0.25">
      <c r="A167" s="4"/>
      <c r="B167" s="140" t="s">
        <v>85</v>
      </c>
      <c r="C167" s="92" t="s">
        <v>140</v>
      </c>
      <c r="D167" s="80"/>
      <c r="E167" s="53"/>
      <c r="F167" s="28"/>
      <c r="G167" s="14"/>
      <c r="H167" s="14"/>
    </row>
    <row r="168" spans="1:40" x14ac:dyDescent="0.25">
      <c r="B168" s="87" t="s">
        <v>15</v>
      </c>
      <c r="C168" s="64" t="s">
        <v>141</v>
      </c>
      <c r="D168" s="39"/>
      <c r="E168" s="54" t="s">
        <v>9</v>
      </c>
      <c r="F168" s="26"/>
      <c r="G168" s="18"/>
      <c r="H168" s="20" t="b">
        <f>IF(D171="x",H$2,H$1)</f>
        <v>0</v>
      </c>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row>
    <row r="169" spans="1:40" x14ac:dyDescent="0.25">
      <c r="B169" s="87" t="s">
        <v>15</v>
      </c>
      <c r="C169" s="91" t="s">
        <v>142</v>
      </c>
      <c r="D169" s="39"/>
      <c r="E169" s="54" t="s">
        <v>10</v>
      </c>
      <c r="F169" s="21" t="str">
        <f>IF(H170=1,IF(H168=H$2,H168,""),"")</f>
        <v/>
      </c>
      <c r="G169" s="18"/>
      <c r="H169" s="20" t="str">
        <f>IF(E$197="comprobar",COUNTIF(D168:D172,"x"),"")</f>
        <v/>
      </c>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row>
    <row r="170" spans="1:40" x14ac:dyDescent="0.25">
      <c r="B170" s="87" t="s">
        <v>15</v>
      </c>
      <c r="C170" s="91" t="s">
        <v>143</v>
      </c>
      <c r="D170" s="39"/>
      <c r="E170" s="54" t="s">
        <v>11</v>
      </c>
      <c r="F170" s="22" t="str">
        <f>IF(H170=-0.33,IF(H168=H$1,H168,""),"")</f>
        <v/>
      </c>
      <c r="G170" s="18"/>
      <c r="H170" s="23">
        <f t="shared" si="10"/>
        <v>0</v>
      </c>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row>
    <row r="171" spans="1:40" x14ac:dyDescent="0.25">
      <c r="B171" s="87" t="s">
        <v>15</v>
      </c>
      <c r="C171" s="91" t="s">
        <v>144</v>
      </c>
      <c r="D171" s="39"/>
      <c r="E171" s="54" t="s">
        <v>12</v>
      </c>
      <c r="F171" s="26"/>
      <c r="G171" s="18"/>
      <c r="H171" s="23"/>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row>
    <row r="172" spans="1:40" x14ac:dyDescent="0.25">
      <c r="B172" s="65"/>
      <c r="C172" s="66"/>
      <c r="D172" s="39"/>
      <c r="E172" s="54" t="s">
        <v>13</v>
      </c>
      <c r="F172" s="19"/>
      <c r="G172" s="18"/>
      <c r="H172" s="23"/>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row>
    <row r="173" spans="1:40" s="16" customFormat="1" x14ac:dyDescent="0.25">
      <c r="A173" s="4"/>
      <c r="B173" s="140" t="s">
        <v>91</v>
      </c>
      <c r="C173" s="92" t="s">
        <v>145</v>
      </c>
      <c r="D173" s="80"/>
      <c r="E173" s="53"/>
      <c r="F173" s="28"/>
      <c r="G173" s="14"/>
      <c r="H173" s="14"/>
    </row>
    <row r="174" spans="1:40" s="35" customFormat="1" x14ac:dyDescent="0.25">
      <c r="A174" s="4"/>
      <c r="B174" s="87" t="s">
        <v>15</v>
      </c>
      <c r="C174" s="142" t="s">
        <v>146</v>
      </c>
      <c r="D174" s="39"/>
      <c r="E174" s="54" t="s">
        <v>9</v>
      </c>
      <c r="F174" s="26"/>
      <c r="G174" s="18"/>
      <c r="H174" s="20" t="b">
        <f>IF(D176="x",H$2,H$1)</f>
        <v>0</v>
      </c>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row>
    <row r="175" spans="1:40" x14ac:dyDescent="0.25">
      <c r="B175" s="87" t="s">
        <v>15</v>
      </c>
      <c r="C175" s="91" t="s">
        <v>147</v>
      </c>
      <c r="D175" s="39"/>
      <c r="E175" s="54" t="s">
        <v>10</v>
      </c>
      <c r="F175" s="21" t="str">
        <f>IF(H176=1,IF(H174=H$2,H174,""),"")</f>
        <v/>
      </c>
      <c r="G175" s="18"/>
      <c r="H175" s="20" t="str">
        <f>IF(E$197="comprobar",COUNTIF(D174:D178,"x"),"")</f>
        <v/>
      </c>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row>
    <row r="176" spans="1:40" x14ac:dyDescent="0.25">
      <c r="B176" s="87" t="s">
        <v>15</v>
      </c>
      <c r="C176" s="143" t="s">
        <v>148</v>
      </c>
      <c r="D176" s="39"/>
      <c r="E176" s="54" t="s">
        <v>11</v>
      </c>
      <c r="F176" s="22" t="str">
        <f>IF(H176=-0.33,IF(H174=H$1,H174,""),"")</f>
        <v/>
      </c>
      <c r="G176" s="18"/>
      <c r="H176" s="23">
        <f t="shared" si="10"/>
        <v>0</v>
      </c>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row>
    <row r="177" spans="1:40" x14ac:dyDescent="0.25">
      <c r="B177" s="87" t="s">
        <v>15</v>
      </c>
      <c r="C177" s="91" t="s">
        <v>149</v>
      </c>
      <c r="D177" s="39"/>
      <c r="E177" s="54" t="s">
        <v>12</v>
      </c>
      <c r="F177" s="26"/>
      <c r="G177" s="18"/>
      <c r="H177" s="23"/>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row>
    <row r="178" spans="1:40" x14ac:dyDescent="0.25">
      <c r="B178" s="65"/>
      <c r="C178" s="66"/>
      <c r="D178" s="39"/>
      <c r="E178" s="54" t="s">
        <v>13</v>
      </c>
      <c r="F178" s="19"/>
      <c r="G178" s="18"/>
      <c r="H178" s="23"/>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row>
    <row r="179" spans="1:40" s="16" customFormat="1" x14ac:dyDescent="0.25">
      <c r="A179" s="4"/>
      <c r="B179" s="140" t="s">
        <v>92</v>
      </c>
      <c r="C179" s="92" t="s">
        <v>150</v>
      </c>
      <c r="D179" s="40"/>
      <c r="E179" s="53"/>
      <c r="F179" s="28"/>
      <c r="G179" s="14"/>
      <c r="H179" s="14"/>
    </row>
    <row r="180" spans="1:40" x14ac:dyDescent="0.25">
      <c r="B180" s="87" t="s">
        <v>15</v>
      </c>
      <c r="C180" s="64" t="s">
        <v>151</v>
      </c>
      <c r="D180" s="39"/>
      <c r="E180" s="54" t="s">
        <v>9</v>
      </c>
      <c r="F180" s="26"/>
      <c r="G180" s="18"/>
      <c r="H180" s="20" t="b">
        <f>IF(D181="x",H$2,H$1)</f>
        <v>0</v>
      </c>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row>
    <row r="181" spans="1:40" x14ac:dyDescent="0.25">
      <c r="B181" s="87" t="s">
        <v>15</v>
      </c>
      <c r="C181" s="91" t="s">
        <v>152</v>
      </c>
      <c r="D181" s="39"/>
      <c r="E181" s="54" t="s">
        <v>10</v>
      </c>
      <c r="F181" s="21" t="str">
        <f>IF(H182=1,IF(H180=H$2,H180,""),"")</f>
        <v/>
      </c>
      <c r="G181" s="18"/>
      <c r="H181" s="20" t="str">
        <f>IF(E$197="comprobar",COUNTIF(D180:D184,"x"),"")</f>
        <v/>
      </c>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row>
    <row r="182" spans="1:40" x14ac:dyDescent="0.25">
      <c r="B182" s="87" t="s">
        <v>15</v>
      </c>
      <c r="C182" s="91" t="s">
        <v>153</v>
      </c>
      <c r="D182" s="39"/>
      <c r="E182" s="54" t="s">
        <v>11</v>
      </c>
      <c r="F182" s="22" t="str">
        <f>IF(H182=-0.33,IF(H180=H$1,H180,""),"")</f>
        <v/>
      </c>
      <c r="G182" s="18"/>
      <c r="H182" s="23">
        <f t="shared" si="10"/>
        <v>0</v>
      </c>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row>
    <row r="183" spans="1:40" x14ac:dyDescent="0.25">
      <c r="B183" s="87" t="s">
        <v>15</v>
      </c>
      <c r="C183" s="91" t="s">
        <v>154</v>
      </c>
      <c r="D183" s="39"/>
      <c r="E183" s="54" t="s">
        <v>12</v>
      </c>
      <c r="F183" s="26"/>
      <c r="G183" s="18"/>
      <c r="H183" s="23"/>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row>
    <row r="184" spans="1:40" x14ac:dyDescent="0.25">
      <c r="B184" s="65"/>
      <c r="C184" s="66"/>
      <c r="D184" s="39"/>
      <c r="E184" s="54" t="s">
        <v>13</v>
      </c>
      <c r="F184" s="19"/>
      <c r="G184" s="18"/>
      <c r="H184" s="23"/>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row>
    <row r="185" spans="1:40" s="16" customFormat="1" x14ac:dyDescent="0.25">
      <c r="A185" s="4"/>
      <c r="B185" s="140" t="s">
        <v>93</v>
      </c>
      <c r="C185" s="92" t="s">
        <v>155</v>
      </c>
      <c r="D185" s="40"/>
      <c r="E185" s="53"/>
      <c r="F185" s="28"/>
      <c r="G185" s="14"/>
      <c r="H185" s="14"/>
    </row>
    <row r="186" spans="1:40" x14ac:dyDescent="0.25">
      <c r="B186" s="87" t="s">
        <v>15</v>
      </c>
      <c r="C186" s="64" t="s">
        <v>156</v>
      </c>
      <c r="D186" s="39"/>
      <c r="E186" s="54" t="s">
        <v>9</v>
      </c>
      <c r="F186" s="26"/>
      <c r="G186" s="18"/>
      <c r="H186" s="20" t="b">
        <f>IF(D188="x",H$2,H$1)</f>
        <v>0</v>
      </c>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row>
    <row r="187" spans="1:40" ht="31.5" x14ac:dyDescent="0.25">
      <c r="B187" s="87" t="s">
        <v>15</v>
      </c>
      <c r="C187" s="143" t="s">
        <v>157</v>
      </c>
      <c r="D187" s="39"/>
      <c r="E187" s="54" t="s">
        <v>10</v>
      </c>
      <c r="F187" s="21" t="str">
        <f>IF(H188=1,IF(H186=H$2,H186,""),"")</f>
        <v/>
      </c>
      <c r="G187" s="18"/>
      <c r="H187" s="20" t="str">
        <f>IF(E$197="comprobar",COUNTIF(D186:D190,"x"),"")</f>
        <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row>
    <row r="188" spans="1:40" ht="36" customHeight="1" x14ac:dyDescent="0.25">
      <c r="B188" s="87" t="s">
        <v>15</v>
      </c>
      <c r="C188" s="162" t="s">
        <v>507</v>
      </c>
      <c r="D188" s="39"/>
      <c r="E188" s="54" t="s">
        <v>11</v>
      </c>
      <c r="F188" s="22" t="str">
        <f>IF(H188=-0.33,IF(H186=H$1,H186,""),"")</f>
        <v/>
      </c>
      <c r="G188" s="18"/>
      <c r="H188" s="23">
        <f t="shared" si="10"/>
        <v>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row>
    <row r="189" spans="1:40" x14ac:dyDescent="0.25">
      <c r="B189" s="87" t="s">
        <v>15</v>
      </c>
      <c r="C189" s="91" t="s">
        <v>158</v>
      </c>
      <c r="D189" s="39"/>
      <c r="E189" s="54" t="s">
        <v>12</v>
      </c>
      <c r="F189" s="26"/>
      <c r="G189" s="18"/>
      <c r="H189" s="23"/>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row>
    <row r="190" spans="1:40" x14ac:dyDescent="0.25">
      <c r="B190" s="65"/>
      <c r="C190" s="66"/>
      <c r="D190" s="39"/>
      <c r="E190" s="54" t="s">
        <v>13</v>
      </c>
      <c r="F190" s="19"/>
      <c r="G190" s="18"/>
      <c r="H190" s="23"/>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row>
    <row r="191" spans="1:40" s="16" customFormat="1" x14ac:dyDescent="0.25">
      <c r="A191" s="4"/>
      <c r="B191" s="140" t="s">
        <v>159</v>
      </c>
      <c r="C191" s="92" t="s">
        <v>160</v>
      </c>
      <c r="D191" s="40"/>
      <c r="E191" s="53"/>
      <c r="F191" s="28"/>
      <c r="G191" s="27"/>
      <c r="H191" s="14"/>
    </row>
    <row r="192" spans="1:40" x14ac:dyDescent="0.25">
      <c r="B192" s="87" t="s">
        <v>15</v>
      </c>
      <c r="C192" s="141" t="s">
        <v>161</v>
      </c>
      <c r="D192" s="39"/>
      <c r="E192" s="54" t="s">
        <v>9</v>
      </c>
      <c r="F192" s="26"/>
      <c r="G192" s="25"/>
      <c r="H192" s="20" t="b">
        <f>IF(D194="x",H$2,H$1)</f>
        <v>0</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row>
    <row r="193" spans="1:40" x14ac:dyDescent="0.25">
      <c r="B193" s="87" t="s">
        <v>15</v>
      </c>
      <c r="C193" s="91" t="s">
        <v>162</v>
      </c>
      <c r="D193" s="39"/>
      <c r="E193" s="54" t="s">
        <v>10</v>
      </c>
      <c r="F193" s="21" t="str">
        <f>IF(H194=1,IF(H192=H$2,H192,""),"")</f>
        <v/>
      </c>
      <c r="G193" s="25"/>
      <c r="H193" s="20" t="str">
        <f>IF(E$197="comprobar",COUNTIF(D192:D196,"x"),"")</f>
        <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row>
    <row r="194" spans="1:40" x14ac:dyDescent="0.25">
      <c r="B194" s="87" t="s">
        <v>15</v>
      </c>
      <c r="C194" t="s">
        <v>163</v>
      </c>
      <c r="D194" s="39"/>
      <c r="E194" s="54" t="s">
        <v>11</v>
      </c>
      <c r="F194" s="22" t="str">
        <f>IF(H194=-0.33,IF(H192=H$1,H192,""),"")</f>
        <v/>
      </c>
      <c r="G194" s="25"/>
      <c r="H194" s="23">
        <f t="shared" si="10"/>
        <v>0</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row>
    <row r="195" spans="1:40" x14ac:dyDescent="0.25">
      <c r="B195" s="87" t="s">
        <v>15</v>
      </c>
      <c r="C195" s="91" t="s">
        <v>164</v>
      </c>
      <c r="D195" s="39"/>
      <c r="E195" s="54" t="s">
        <v>12</v>
      </c>
      <c r="F195" s="26"/>
      <c r="G195" s="25"/>
      <c r="H195" s="23"/>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row>
    <row r="196" spans="1:40" x14ac:dyDescent="0.25">
      <c r="B196" s="43"/>
      <c r="C196" s="8"/>
      <c r="D196" s="39"/>
      <c r="E196" s="54" t="s">
        <v>13</v>
      </c>
      <c r="F196" s="19"/>
      <c r="G196" s="25"/>
      <c r="H196" s="23"/>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row>
    <row r="197" spans="1:40" x14ac:dyDescent="0.25">
      <c r="B197" s="45"/>
      <c r="C197" s="42"/>
      <c r="D197" s="49"/>
      <c r="E197" s="55"/>
      <c r="F197" s="19"/>
      <c r="G197" s="18"/>
      <c r="H197" s="18"/>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row>
    <row r="198" spans="1:40" x14ac:dyDescent="0.25">
      <c r="B198" s="45"/>
      <c r="C198" s="17"/>
      <c r="D198" s="49"/>
      <c r="E198" s="58"/>
      <c r="F198" s="29" t="s">
        <v>8</v>
      </c>
      <c r="G198" s="18" t="s">
        <v>6</v>
      </c>
      <c r="H198" s="18" t="s">
        <v>7</v>
      </c>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row>
    <row r="199" spans="1:40" ht="19.5" x14ac:dyDescent="0.25">
      <c r="B199" s="45"/>
      <c r="C199" s="17"/>
      <c r="D199" s="69"/>
      <c r="E199" s="52"/>
      <c r="F199" s="30" t="str">
        <f>IF(E197="comprobar",H194+H188+H182+H176+H170+H164+H158+H152+H146+H140,"")</f>
        <v/>
      </c>
      <c r="G199" s="18">
        <f>10/2</f>
        <v>5</v>
      </c>
      <c r="H199" s="18"/>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row>
    <row r="200" spans="1:40" ht="16.5" thickBot="1" x14ac:dyDescent="0.3">
      <c r="B200" s="46"/>
      <c r="C200" s="31"/>
      <c r="D200" s="32"/>
      <c r="E200" s="56"/>
      <c r="F200" s="33" t="str">
        <f>IF(F199&gt;G199,G198,H198)</f>
        <v>APROBADO</v>
      </c>
      <c r="G200" s="18"/>
      <c r="H200" s="18"/>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row>
    <row r="201" spans="1:40" ht="28.5" x14ac:dyDescent="0.45">
      <c r="B201" s="62" t="s">
        <v>17</v>
      </c>
      <c r="C201" s="129" t="s">
        <v>165</v>
      </c>
      <c r="D201" s="70"/>
      <c r="E201" s="70"/>
      <c r="F201" s="71"/>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row>
    <row r="202" spans="1:40" s="16" customFormat="1" ht="18.95" customHeight="1" x14ac:dyDescent="0.25">
      <c r="A202" s="4"/>
      <c r="B202" s="140" t="s">
        <v>64</v>
      </c>
      <c r="C202" s="92" t="s">
        <v>617</v>
      </c>
      <c r="D202" s="40"/>
      <c r="E202" s="53"/>
      <c r="F202" s="28"/>
      <c r="G202" s="14"/>
      <c r="H202" s="14"/>
    </row>
    <row r="203" spans="1:40" x14ac:dyDescent="0.25">
      <c r="B203" s="87" t="s">
        <v>15</v>
      </c>
      <c r="C203" s="141" t="s">
        <v>166</v>
      </c>
      <c r="D203" s="39"/>
      <c r="E203" s="54" t="s">
        <v>9</v>
      </c>
      <c r="F203" s="26"/>
      <c r="G203" s="18"/>
      <c r="H203" s="20" t="b">
        <f>IF(D205="x",H$2,H$1)</f>
        <v>0</v>
      </c>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row>
    <row r="204" spans="1:40" x14ac:dyDescent="0.25">
      <c r="B204" s="87" t="s">
        <v>15</v>
      </c>
      <c r="C204" s="91" t="s">
        <v>167</v>
      </c>
      <c r="D204" s="39"/>
      <c r="E204" s="54" t="s">
        <v>10</v>
      </c>
      <c r="F204" s="21" t="str">
        <f>IF(H205=1,IF(H203=H$2,H203,""),"")</f>
        <v/>
      </c>
      <c r="G204" s="18"/>
      <c r="H204" s="20" t="str">
        <f>IF(E262="comprobar",COUNTIF(D203:D207,"x"),"")</f>
        <v/>
      </c>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row>
    <row r="205" spans="1:40" x14ac:dyDescent="0.25">
      <c r="B205" s="87" t="s">
        <v>15</v>
      </c>
      <c r="C205" t="s">
        <v>168</v>
      </c>
      <c r="D205" s="39"/>
      <c r="E205" s="54" t="s">
        <v>11</v>
      </c>
      <c r="F205" s="22" t="str">
        <f>IF(H205=-0.33,IF(H203=H$1,H203,""),"")</f>
        <v/>
      </c>
      <c r="G205" s="18"/>
      <c r="H205" s="23">
        <f>IF(H204=1,IF(H203=H$2,1,-0.33),0)</f>
        <v>0</v>
      </c>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row>
    <row r="206" spans="1:40" x14ac:dyDescent="0.25">
      <c r="B206" s="87" t="s">
        <v>15</v>
      </c>
      <c r="C206" s="91" t="s">
        <v>169</v>
      </c>
      <c r="D206" s="39"/>
      <c r="E206" s="54" t="s">
        <v>12</v>
      </c>
      <c r="F206" s="26"/>
      <c r="G206" s="18"/>
      <c r="H206" s="23"/>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row>
    <row r="207" spans="1:40" x14ac:dyDescent="0.25">
      <c r="B207" s="65"/>
      <c r="C207" s="66"/>
      <c r="D207" s="39"/>
      <c r="E207" s="54" t="s">
        <v>13</v>
      </c>
      <c r="F207" s="19"/>
      <c r="G207" s="18"/>
      <c r="H207" s="23"/>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row>
    <row r="208" spans="1:40" s="16" customFormat="1" x14ac:dyDescent="0.25">
      <c r="A208" s="4"/>
      <c r="B208" s="140" t="s">
        <v>170</v>
      </c>
      <c r="C208" s="92" t="s">
        <v>616</v>
      </c>
      <c r="D208" s="40"/>
      <c r="E208" s="53"/>
      <c r="F208" s="28"/>
      <c r="G208" s="14"/>
      <c r="H208" s="14"/>
    </row>
    <row r="209" spans="1:40" x14ac:dyDescent="0.25">
      <c r="B209" s="87" t="s">
        <v>15</v>
      </c>
      <c r="C209" s="141" t="s">
        <v>171</v>
      </c>
      <c r="D209" s="39"/>
      <c r="E209" s="54" t="s">
        <v>9</v>
      </c>
      <c r="F209" s="26"/>
      <c r="G209" s="18"/>
      <c r="H209" s="20" t="b">
        <f>IF(D212="x",H$2,H$1)</f>
        <v>0</v>
      </c>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row>
    <row r="210" spans="1:40" x14ac:dyDescent="0.25">
      <c r="B210" s="87" t="s">
        <v>15</v>
      </c>
      <c r="C210" s="91" t="s">
        <v>172</v>
      </c>
      <c r="D210" s="39"/>
      <c r="E210" s="54" t="s">
        <v>10</v>
      </c>
      <c r="F210" s="21" t="str">
        <f>IF(H211=1,IF(H209=H$2,H209,""),"")</f>
        <v/>
      </c>
      <c r="G210" s="18"/>
      <c r="H210" s="20" t="str">
        <f>IF(E$262="comprobar",COUNTIF(D209:D213,"x"),"")</f>
        <v/>
      </c>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row>
    <row r="211" spans="1:40" x14ac:dyDescent="0.25">
      <c r="B211" s="87" t="s">
        <v>15</v>
      </c>
      <c r="C211" s="82" t="s">
        <v>173</v>
      </c>
      <c r="D211" s="39"/>
      <c r="E211" s="54" t="s">
        <v>11</v>
      </c>
      <c r="F211" s="22" t="str">
        <f>IF(H211=-0.33,IF(H209=H$1,H209,""),"")</f>
        <v/>
      </c>
      <c r="G211" s="18"/>
      <c r="H211" s="23">
        <f t="shared" ref="H211" si="11">IF(H210=1,IF(H209=H$2,1,-0.33),0)</f>
        <v>0</v>
      </c>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row>
    <row r="212" spans="1:40" x14ac:dyDescent="0.25">
      <c r="B212" s="87" t="s">
        <v>15</v>
      </c>
      <c r="C212" s="91" t="s">
        <v>174</v>
      </c>
      <c r="D212" s="39"/>
      <c r="E212" s="54" t="s">
        <v>12</v>
      </c>
      <c r="F212" s="26"/>
      <c r="G212" s="18"/>
      <c r="H212" s="23"/>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row>
    <row r="213" spans="1:40" x14ac:dyDescent="0.25">
      <c r="B213" s="65"/>
      <c r="C213" s="66"/>
      <c r="D213" s="39"/>
      <c r="E213" s="54" t="s">
        <v>13</v>
      </c>
      <c r="F213" s="19"/>
      <c r="G213" s="18"/>
      <c r="H213" s="23"/>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row>
    <row r="214" spans="1:40" s="16" customFormat="1" x14ac:dyDescent="0.25">
      <c r="A214" s="4"/>
      <c r="B214" s="140" t="s">
        <v>69</v>
      </c>
      <c r="C214" s="92" t="s">
        <v>175</v>
      </c>
      <c r="D214" s="40"/>
      <c r="E214" s="53"/>
      <c r="F214" s="28"/>
      <c r="G214" s="14"/>
      <c r="H214" s="14"/>
    </row>
    <row r="215" spans="1:40" x14ac:dyDescent="0.25">
      <c r="B215" s="87" t="s">
        <v>15</v>
      </c>
      <c r="C215" s="141" t="s">
        <v>176</v>
      </c>
      <c r="D215" s="39"/>
      <c r="E215" s="54" t="s">
        <v>9</v>
      </c>
      <c r="F215" s="26"/>
      <c r="G215" s="18"/>
      <c r="H215" s="20" t="b">
        <f>IF(D217="x",H$2,H$1)</f>
        <v>0</v>
      </c>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row>
    <row r="216" spans="1:40" x14ac:dyDescent="0.25">
      <c r="B216" s="87" t="s">
        <v>15</v>
      </c>
      <c r="C216" s="91" t="s">
        <v>177</v>
      </c>
      <c r="D216" s="39"/>
      <c r="E216" s="54" t="s">
        <v>10</v>
      </c>
      <c r="F216" s="21" t="str">
        <f>IF(H217=1,IF(H215=H$2,H215,""),"")</f>
        <v/>
      </c>
      <c r="G216" s="18"/>
      <c r="H216" s="20" t="str">
        <f>IF(E$262="comprobar",COUNTIF(D215:D219,"x"),"")</f>
        <v/>
      </c>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row>
    <row r="217" spans="1:40" x14ac:dyDescent="0.25">
      <c r="B217" s="87" t="s">
        <v>15</v>
      </c>
      <c r="C217" s="82" t="s">
        <v>178</v>
      </c>
      <c r="D217" s="39"/>
      <c r="E217" s="54" t="s">
        <v>11</v>
      </c>
      <c r="F217" s="22" t="str">
        <f>IF(H217=-0.33,IF(H215=H$1,H215,""),"")</f>
        <v/>
      </c>
      <c r="G217" s="18"/>
      <c r="H217" s="23">
        <f t="shared" ref="H217" si="12">IF(H216=1,IF(H215=H$2,1,-0.33),0)</f>
        <v>0</v>
      </c>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row>
    <row r="218" spans="1:40" x14ac:dyDescent="0.25">
      <c r="B218" s="87" t="s">
        <v>15</v>
      </c>
      <c r="C218" s="91" t="s">
        <v>179</v>
      </c>
      <c r="D218" s="39"/>
      <c r="E218" s="54" t="s">
        <v>12</v>
      </c>
      <c r="F218" s="26"/>
      <c r="G218" s="18"/>
      <c r="H218" s="23"/>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row>
    <row r="219" spans="1:40" x14ac:dyDescent="0.25">
      <c r="B219" s="65"/>
      <c r="C219" s="66"/>
      <c r="D219" s="39"/>
      <c r="E219" s="54" t="s">
        <v>13</v>
      </c>
      <c r="F219" s="19"/>
      <c r="G219" s="18"/>
      <c r="H219" s="23"/>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row>
    <row r="220" spans="1:40" s="16" customFormat="1" x14ac:dyDescent="0.25">
      <c r="A220" s="4"/>
      <c r="B220" s="140" t="s">
        <v>75</v>
      </c>
      <c r="C220" s="92" t="s">
        <v>180</v>
      </c>
      <c r="D220" s="40"/>
      <c r="E220" s="53"/>
      <c r="F220" s="28"/>
      <c r="G220" s="14"/>
      <c r="H220" s="14"/>
    </row>
    <row r="221" spans="1:40" x14ac:dyDescent="0.25">
      <c r="B221" s="87" t="s">
        <v>15</v>
      </c>
      <c r="C221" s="141" t="s">
        <v>181</v>
      </c>
      <c r="D221" s="39"/>
      <c r="E221" s="54" t="s">
        <v>9</v>
      </c>
      <c r="F221" s="26"/>
      <c r="G221" s="18"/>
      <c r="H221" s="20" t="b">
        <f>IF(D224="x",H$2,H$1)</f>
        <v>0</v>
      </c>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row>
    <row r="222" spans="1:40" x14ac:dyDescent="0.25">
      <c r="B222" s="87" t="s">
        <v>15</v>
      </c>
      <c r="C222" s="91" t="s">
        <v>182</v>
      </c>
      <c r="D222" s="39"/>
      <c r="E222" s="54" t="s">
        <v>10</v>
      </c>
      <c r="F222" s="21" t="str">
        <f>IF(H223=1,IF(H221=H$2,H221,""),"")</f>
        <v/>
      </c>
      <c r="G222" s="18"/>
      <c r="H222" s="20" t="str">
        <f>IF(E$262="comprobar",COUNTIF(D221:D225,"x"),"")</f>
        <v/>
      </c>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row>
    <row r="223" spans="1:40" x14ac:dyDescent="0.25">
      <c r="B223" s="87" t="s">
        <v>15</v>
      </c>
      <c r="C223" s="82" t="s">
        <v>183</v>
      </c>
      <c r="D223" s="39"/>
      <c r="E223" s="54" t="s">
        <v>11</v>
      </c>
      <c r="F223" s="22" t="str">
        <f>IF(H223=-0.33,IF(H221=H$1,H221,""),"")</f>
        <v/>
      </c>
      <c r="G223" s="18"/>
      <c r="H223" s="23">
        <f t="shared" ref="H223" si="13">IF(H222=1,IF(H221=H$2,1,-0.33),0)</f>
        <v>0</v>
      </c>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row>
    <row r="224" spans="1:40" x14ac:dyDescent="0.25">
      <c r="B224" s="87" t="s">
        <v>15</v>
      </c>
      <c r="C224" s="143" t="s">
        <v>184</v>
      </c>
      <c r="D224" s="39"/>
      <c r="E224" s="54" t="s">
        <v>12</v>
      </c>
      <c r="F224" s="26"/>
      <c r="G224" s="18"/>
      <c r="H224" s="23"/>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row>
    <row r="225" spans="1:40" x14ac:dyDescent="0.25">
      <c r="B225" s="65"/>
      <c r="C225" s="66"/>
      <c r="D225" s="39"/>
      <c r="E225" s="54" t="s">
        <v>13</v>
      </c>
      <c r="F225" s="19"/>
      <c r="G225" s="18"/>
      <c r="H225" s="23"/>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row>
    <row r="226" spans="1:40" s="16" customFormat="1" x14ac:dyDescent="0.25">
      <c r="A226" s="4"/>
      <c r="B226" s="140" t="s">
        <v>80</v>
      </c>
      <c r="C226" s="92" t="s">
        <v>185</v>
      </c>
      <c r="D226" s="40"/>
      <c r="E226" s="53"/>
      <c r="F226" s="28"/>
      <c r="G226" s="14"/>
      <c r="H226" s="14"/>
    </row>
    <row r="227" spans="1:40" x14ac:dyDescent="0.25">
      <c r="B227" s="87" t="s">
        <v>15</v>
      </c>
      <c r="C227" s="141" t="s">
        <v>186</v>
      </c>
      <c r="D227" s="39"/>
      <c r="E227" s="54" t="s">
        <v>9</v>
      </c>
      <c r="F227" s="26"/>
      <c r="G227" s="18"/>
      <c r="H227" s="20" t="b">
        <f>IF(D228="x",H$2,H$1)</f>
        <v>0</v>
      </c>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row>
    <row r="228" spans="1:40" x14ac:dyDescent="0.25">
      <c r="B228" s="87" t="s">
        <v>15</v>
      </c>
      <c r="C228" s="91" t="s">
        <v>187</v>
      </c>
      <c r="D228" s="39"/>
      <c r="E228" s="54" t="s">
        <v>10</v>
      </c>
      <c r="F228" s="21" t="str">
        <f>IF(H229=1,IF(H227=H$2,H227,""),"")</f>
        <v/>
      </c>
      <c r="G228" s="18"/>
      <c r="H228" s="20" t="str">
        <f>IF(E$262="comprobar",COUNTIF(D227:D231,"x"),"")</f>
        <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row>
    <row r="229" spans="1:40" x14ac:dyDescent="0.25">
      <c r="B229" s="87" t="s">
        <v>15</v>
      </c>
      <c r="C229" s="82" t="s">
        <v>188</v>
      </c>
      <c r="D229" s="39"/>
      <c r="E229" s="54" t="s">
        <v>11</v>
      </c>
      <c r="F229" s="22" t="str">
        <f>IF(H229=-0.33,IF(H227=H$1,H227,""),"")</f>
        <v/>
      </c>
      <c r="G229" s="18"/>
      <c r="H229" s="23">
        <f t="shared" ref="H229" si="14">IF(H228=1,IF(H227=H$2,1,-0.33),0)</f>
        <v>0</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row>
    <row r="230" spans="1:40" x14ac:dyDescent="0.25">
      <c r="B230" s="87" t="s">
        <v>15</v>
      </c>
      <c r="C230" s="91" t="s">
        <v>189</v>
      </c>
      <c r="D230" s="39"/>
      <c r="E230" s="54" t="s">
        <v>12</v>
      </c>
      <c r="F230" s="26"/>
      <c r="G230" s="18"/>
      <c r="H230" s="23"/>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row>
    <row r="231" spans="1:40" x14ac:dyDescent="0.25">
      <c r="B231" s="65"/>
      <c r="C231" s="66"/>
      <c r="D231" s="39"/>
      <c r="E231" s="54" t="s">
        <v>13</v>
      </c>
      <c r="F231" s="19"/>
      <c r="G231" s="18"/>
      <c r="H231" s="23"/>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row>
    <row r="232" spans="1:40" s="16" customFormat="1" x14ac:dyDescent="0.25">
      <c r="A232" s="4"/>
      <c r="B232" s="140" t="s">
        <v>85</v>
      </c>
      <c r="C232" s="92" t="s">
        <v>618</v>
      </c>
      <c r="D232" s="40"/>
      <c r="E232" s="53"/>
      <c r="F232" s="28"/>
      <c r="G232" s="14"/>
      <c r="H232" s="14"/>
    </row>
    <row r="233" spans="1:40" x14ac:dyDescent="0.25">
      <c r="B233" s="87" t="s">
        <v>15</v>
      </c>
      <c r="C233" s="141" t="s">
        <v>190</v>
      </c>
      <c r="D233" s="39"/>
      <c r="E233" s="54" t="s">
        <v>9</v>
      </c>
      <c r="F233" s="26"/>
      <c r="G233" s="18"/>
      <c r="H233" s="20" t="b">
        <f>IF(D234="x",H$2,H$1)</f>
        <v>0</v>
      </c>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row>
    <row r="234" spans="1:40" x14ac:dyDescent="0.25">
      <c r="B234" s="87" t="s">
        <v>15</v>
      </c>
      <c r="C234" s="91" t="s">
        <v>191</v>
      </c>
      <c r="D234" s="39"/>
      <c r="E234" s="54" t="s">
        <v>10</v>
      </c>
      <c r="F234" s="21" t="str">
        <f>IF(H235=1,IF(H233=H$2,H233,""),"")</f>
        <v/>
      </c>
      <c r="G234" s="18"/>
      <c r="H234" s="20" t="str">
        <f>IF(E$262="comprobar",COUNTIF(D233:D237,"x"),"")</f>
        <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row>
    <row r="235" spans="1:40" x14ac:dyDescent="0.25">
      <c r="B235" s="87" t="s">
        <v>15</v>
      </c>
      <c r="C235" s="82" t="s">
        <v>192</v>
      </c>
      <c r="D235" s="39"/>
      <c r="E235" s="54" t="s">
        <v>11</v>
      </c>
      <c r="F235" s="22" t="str">
        <f>IF(H235=-0.33,IF(H233=H$1,H233,""),"")</f>
        <v/>
      </c>
      <c r="G235" s="18"/>
      <c r="H235" s="23">
        <f t="shared" ref="H235" si="15">IF(H234=1,IF(H233=H$2,1,-0.33),0)</f>
        <v>0</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row>
    <row r="236" spans="1:40" x14ac:dyDescent="0.25">
      <c r="B236" s="87" t="s">
        <v>15</v>
      </c>
      <c r="C236" s="91" t="s">
        <v>193</v>
      </c>
      <c r="D236" s="39"/>
      <c r="E236" s="54" t="s">
        <v>12</v>
      </c>
      <c r="F236" s="26"/>
      <c r="G236" s="18"/>
      <c r="H236" s="23"/>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row>
    <row r="237" spans="1:40" x14ac:dyDescent="0.25">
      <c r="B237" s="65"/>
      <c r="C237" s="66"/>
      <c r="D237" s="39"/>
      <c r="E237" s="54" t="s">
        <v>13</v>
      </c>
      <c r="F237" s="19"/>
      <c r="G237" s="18"/>
      <c r="H237" s="23"/>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row>
    <row r="238" spans="1:40" s="16" customFormat="1" x14ac:dyDescent="0.25">
      <c r="A238" s="4"/>
      <c r="B238" s="140" t="s">
        <v>91</v>
      </c>
      <c r="C238" s="92" t="s">
        <v>194</v>
      </c>
      <c r="D238" s="40"/>
      <c r="E238" s="53"/>
      <c r="F238" s="28"/>
      <c r="G238" s="14"/>
      <c r="H238" s="14"/>
    </row>
    <row r="239" spans="1:40" x14ac:dyDescent="0.25">
      <c r="B239" s="87" t="s">
        <v>15</v>
      </c>
      <c r="C239" s="141" t="s">
        <v>195</v>
      </c>
      <c r="D239" s="39"/>
      <c r="E239" s="54" t="s">
        <v>9</v>
      </c>
      <c r="F239" s="26"/>
      <c r="G239" s="18"/>
      <c r="H239" s="20" t="b">
        <f>IF(D241="x",H$2,H$1)</f>
        <v>0</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row>
    <row r="240" spans="1:40" x14ac:dyDescent="0.25">
      <c r="B240" s="87" t="s">
        <v>15</v>
      </c>
      <c r="C240" s="91" t="s">
        <v>196</v>
      </c>
      <c r="D240" s="39"/>
      <c r="E240" s="54" t="s">
        <v>10</v>
      </c>
      <c r="F240" s="21" t="str">
        <f>IF(H241=1,IF(H239=H$2,H239,""),"")</f>
        <v/>
      </c>
      <c r="G240" s="18"/>
      <c r="H240" s="20" t="str">
        <f>IF(E$262="comprobar",COUNTIF(D239:D243,"x"),"")</f>
        <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row>
    <row r="241" spans="1:40" x14ac:dyDescent="0.25">
      <c r="B241" s="87" t="s">
        <v>15</v>
      </c>
      <c r="C241" s="82" t="s">
        <v>197</v>
      </c>
      <c r="D241" s="39"/>
      <c r="E241" s="54" t="s">
        <v>11</v>
      </c>
      <c r="F241" s="22" t="str">
        <f>IF(H241=-0.33,IF(H239=H$1,H239,""),"")</f>
        <v/>
      </c>
      <c r="G241" s="18"/>
      <c r="H241" s="23">
        <f t="shared" ref="H241" si="16">IF(H240=1,IF(H239=H$2,1,-0.33),0)</f>
        <v>0</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row>
    <row r="242" spans="1:40" x14ac:dyDescent="0.25">
      <c r="B242" s="87" t="s">
        <v>15</v>
      </c>
      <c r="C242" s="91" t="s">
        <v>198</v>
      </c>
      <c r="D242" s="39"/>
      <c r="E242" s="54" t="s">
        <v>12</v>
      </c>
      <c r="F242" s="26"/>
      <c r="G242" s="18"/>
      <c r="H242" s="23"/>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row>
    <row r="243" spans="1:40" x14ac:dyDescent="0.25">
      <c r="B243" s="65"/>
      <c r="C243" s="66"/>
      <c r="D243" s="39"/>
      <c r="E243" s="54" t="s">
        <v>13</v>
      </c>
      <c r="F243" s="19"/>
      <c r="G243" s="18"/>
      <c r="H243" s="23"/>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row>
    <row r="244" spans="1:40" s="16" customFormat="1" x14ac:dyDescent="0.25">
      <c r="A244" s="4"/>
      <c r="B244" s="140" t="s">
        <v>92</v>
      </c>
      <c r="C244" s="92" t="s">
        <v>619</v>
      </c>
      <c r="D244" s="40"/>
      <c r="E244" s="53"/>
      <c r="F244" s="28"/>
      <c r="G244" s="14"/>
      <c r="H244" s="14"/>
    </row>
    <row r="245" spans="1:40" x14ac:dyDescent="0.25">
      <c r="B245" s="87" t="s">
        <v>15</v>
      </c>
      <c r="C245" s="64" t="s">
        <v>200</v>
      </c>
      <c r="D245" s="39"/>
      <c r="E245" s="54" t="s">
        <v>9</v>
      </c>
      <c r="F245" s="26"/>
      <c r="G245" s="18"/>
      <c r="H245" s="20" t="b">
        <f>IF(D246="x",H$2,H$1)</f>
        <v>0</v>
      </c>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row>
    <row r="246" spans="1:40" x14ac:dyDescent="0.25">
      <c r="B246" s="87" t="s">
        <v>15</v>
      </c>
      <c r="C246" s="91" t="s">
        <v>201</v>
      </c>
      <c r="D246" s="39"/>
      <c r="E246" s="54" t="s">
        <v>10</v>
      </c>
      <c r="F246" s="21" t="str">
        <f>IF(H247=1,IF(H245=H$2,H245,""),"")</f>
        <v/>
      </c>
      <c r="G246" s="18"/>
      <c r="H246" s="20" t="str">
        <f>IF(E$262="comprobar",COUNTIF(D245:D249,"x"),"")</f>
        <v/>
      </c>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row>
    <row r="247" spans="1:40" x14ac:dyDescent="0.25">
      <c r="B247" s="87" t="s">
        <v>15</v>
      </c>
      <c r="C247" s="91" t="s">
        <v>202</v>
      </c>
      <c r="D247" s="39"/>
      <c r="E247" s="54" t="s">
        <v>11</v>
      </c>
      <c r="F247" s="22" t="str">
        <f>IF(H247=-0.33,IF(H245=H$1,H245,""),"")</f>
        <v/>
      </c>
      <c r="G247" s="18"/>
      <c r="H247" s="23">
        <f t="shared" ref="H247" si="17">IF(H246=1,IF(H245=H$2,1,-0.33),0)</f>
        <v>0</v>
      </c>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row>
    <row r="248" spans="1:40" x14ac:dyDescent="0.25">
      <c r="B248" s="87" t="s">
        <v>15</v>
      </c>
      <c r="C248" s="91" t="s">
        <v>203</v>
      </c>
      <c r="D248" s="39"/>
      <c r="E248" s="54" t="s">
        <v>12</v>
      </c>
      <c r="F248" s="26"/>
      <c r="G248" s="18"/>
      <c r="H248" s="23"/>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row>
    <row r="249" spans="1:40" x14ac:dyDescent="0.25">
      <c r="B249" s="65"/>
      <c r="C249" s="66"/>
      <c r="D249" s="39"/>
      <c r="E249" s="54" t="s">
        <v>13</v>
      </c>
      <c r="F249" s="19"/>
      <c r="G249" s="18"/>
      <c r="H249" s="23"/>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row>
    <row r="250" spans="1:40" s="16" customFormat="1" x14ac:dyDescent="0.25">
      <c r="A250" s="4"/>
      <c r="B250" s="140" t="s">
        <v>199</v>
      </c>
      <c r="C250" s="146" t="s">
        <v>204</v>
      </c>
      <c r="D250" s="40"/>
      <c r="E250" s="53"/>
      <c r="F250" s="28"/>
      <c r="G250" s="14"/>
      <c r="H250" s="14"/>
    </row>
    <row r="251" spans="1:40" x14ac:dyDescent="0.25">
      <c r="B251" s="87" t="s">
        <v>15</v>
      </c>
      <c r="C251" s="64" t="s">
        <v>205</v>
      </c>
      <c r="D251" s="39"/>
      <c r="E251" s="54" t="s">
        <v>9</v>
      </c>
      <c r="F251" s="26"/>
      <c r="G251" s="18"/>
      <c r="H251" s="20" t="b">
        <f>IF(D254="x",H$2,H$1)</f>
        <v>0</v>
      </c>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row>
    <row r="252" spans="1:40" x14ac:dyDescent="0.25">
      <c r="B252" s="87" t="s">
        <v>15</v>
      </c>
      <c r="C252" s="91" t="s">
        <v>206</v>
      </c>
      <c r="D252" s="39"/>
      <c r="E252" s="54" t="s">
        <v>10</v>
      </c>
      <c r="F252" s="21" t="str">
        <f>IF(H253=1,IF(H251=H$2,H251,""),"")</f>
        <v/>
      </c>
      <c r="G252" s="18"/>
      <c r="H252" s="20" t="str">
        <f>IF(E$262="comprobar",COUNTIF(D251:D255,"x"),"")</f>
        <v/>
      </c>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row>
    <row r="253" spans="1:40" x14ac:dyDescent="0.25">
      <c r="B253" s="87" t="s">
        <v>15</v>
      </c>
      <c r="C253" s="91" t="s">
        <v>207</v>
      </c>
      <c r="D253" s="39"/>
      <c r="E253" s="54" t="s">
        <v>11</v>
      </c>
      <c r="F253" s="22" t="str">
        <f>IF(H253=-0.33,IF(H251=H$1,H251,""),"")</f>
        <v/>
      </c>
      <c r="G253" s="18"/>
      <c r="H253" s="23">
        <f t="shared" ref="H253" si="18">IF(H252=1,IF(H251=H$2,1,-0.33),0)</f>
        <v>0</v>
      </c>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row>
    <row r="254" spans="1:40" x14ac:dyDescent="0.25">
      <c r="B254" s="87" t="s">
        <v>15</v>
      </c>
      <c r="C254" s="91" t="s">
        <v>208</v>
      </c>
      <c r="D254" s="39"/>
      <c r="E254" s="54" t="s">
        <v>12</v>
      </c>
      <c r="F254" s="26"/>
      <c r="G254" s="18"/>
      <c r="H254" s="23"/>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row>
    <row r="255" spans="1:40" x14ac:dyDescent="0.25">
      <c r="B255" s="65"/>
      <c r="C255" s="66"/>
      <c r="D255" s="39"/>
      <c r="E255" s="54" t="s">
        <v>13</v>
      </c>
      <c r="F255" s="19"/>
      <c r="G255" s="18"/>
      <c r="H255" s="23"/>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row>
    <row r="256" spans="1:40" s="16" customFormat="1" ht="39" customHeight="1" x14ac:dyDescent="0.25">
      <c r="A256" s="4"/>
      <c r="B256" s="140" t="s">
        <v>159</v>
      </c>
      <c r="C256" s="92" t="s">
        <v>508</v>
      </c>
      <c r="D256" s="40"/>
      <c r="E256" s="53"/>
      <c r="F256" s="28"/>
      <c r="G256" s="27"/>
      <c r="H256" s="14"/>
    </row>
    <row r="257" spans="1:40" x14ac:dyDescent="0.25">
      <c r="B257" s="87" t="s">
        <v>15</v>
      </c>
      <c r="C257" s="64" t="s">
        <v>209</v>
      </c>
      <c r="D257" s="39"/>
      <c r="E257" s="54" t="s">
        <v>9</v>
      </c>
      <c r="F257" s="26"/>
      <c r="G257" s="25"/>
      <c r="H257" s="20" t="b">
        <f>IF(D257="x",H$2,H$1)</f>
        <v>0</v>
      </c>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row>
    <row r="258" spans="1:40" x14ac:dyDescent="0.25">
      <c r="B258" s="87" t="s">
        <v>15</v>
      </c>
      <c r="C258" s="91" t="s">
        <v>210</v>
      </c>
      <c r="D258" s="39"/>
      <c r="E258" s="54" t="s">
        <v>10</v>
      </c>
      <c r="F258" s="21" t="str">
        <f>IF(H259=1,IF(H257=H$2,H257,""),"")</f>
        <v/>
      </c>
      <c r="G258" s="25"/>
      <c r="H258" s="20" t="str">
        <f>IF(E$262="comprobar",COUNTIF(D257:D261,"x"),"")</f>
        <v/>
      </c>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row>
    <row r="259" spans="1:40" x14ac:dyDescent="0.25">
      <c r="B259" s="87" t="s">
        <v>15</v>
      </c>
      <c r="C259" s="91" t="s">
        <v>211</v>
      </c>
      <c r="D259" s="39"/>
      <c r="E259" s="54" t="s">
        <v>11</v>
      </c>
      <c r="F259" s="22" t="str">
        <f>IF(H259=-0.33,IF(H257=H$1,H257,""),"")</f>
        <v/>
      </c>
      <c r="G259" s="25"/>
      <c r="H259" s="23">
        <f t="shared" ref="H259" si="19">IF(H258=1,IF(H257=H$2,1,-0.33),0)</f>
        <v>0</v>
      </c>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row>
    <row r="260" spans="1:40" x14ac:dyDescent="0.25">
      <c r="B260" s="87" t="s">
        <v>15</v>
      </c>
      <c r="C260" s="91" t="s">
        <v>212</v>
      </c>
      <c r="D260" s="39"/>
      <c r="E260" s="54" t="s">
        <v>12</v>
      </c>
      <c r="F260" s="26"/>
      <c r="G260" s="25"/>
      <c r="H260" s="23"/>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row>
    <row r="261" spans="1:40" x14ac:dyDescent="0.25">
      <c r="B261" s="65"/>
      <c r="C261" s="66"/>
      <c r="D261" s="39"/>
      <c r="E261" s="54" t="s">
        <v>13</v>
      </c>
      <c r="F261" s="19"/>
      <c r="G261" s="25"/>
      <c r="H261" s="23"/>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row>
    <row r="262" spans="1:40" x14ac:dyDescent="0.25">
      <c r="B262" s="45"/>
      <c r="C262" s="42"/>
      <c r="D262" s="49"/>
      <c r="E262" s="55"/>
      <c r="F262" s="19"/>
      <c r="G262" s="18"/>
      <c r="H262" s="18"/>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row>
    <row r="263" spans="1:40" x14ac:dyDescent="0.25">
      <c r="B263" s="45"/>
      <c r="C263" s="17"/>
      <c r="D263" s="49"/>
      <c r="E263" s="58"/>
      <c r="F263" s="29" t="s">
        <v>8</v>
      </c>
      <c r="G263" s="18" t="s">
        <v>6</v>
      </c>
      <c r="H263" s="18" t="s">
        <v>7</v>
      </c>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row>
    <row r="264" spans="1:40" ht="19.5" x14ac:dyDescent="0.25">
      <c r="B264" s="45"/>
      <c r="C264" s="17"/>
      <c r="D264" s="69"/>
      <c r="E264" s="52"/>
      <c r="F264" s="30" t="str">
        <f>IF(E262="comprobar",H259+H253+H247+H241+H235+H229+H223+H217+H211+H205,"")</f>
        <v/>
      </c>
      <c r="G264" s="18">
        <f>10/2</f>
        <v>5</v>
      </c>
      <c r="H264" s="18"/>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row>
    <row r="265" spans="1:40" ht="16.5" thickBot="1" x14ac:dyDescent="0.3">
      <c r="B265" s="46"/>
      <c r="C265" s="31"/>
      <c r="D265" s="32"/>
      <c r="E265" s="56"/>
      <c r="F265" s="33" t="str">
        <f>IF(F264&gt;G264,G263,H263)</f>
        <v>APROBADO</v>
      </c>
      <c r="G265" s="18"/>
      <c r="H265" s="18"/>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row>
    <row r="266" spans="1:40" s="4" customFormat="1" ht="28.5" hidden="1" x14ac:dyDescent="0.45">
      <c r="B266" s="97"/>
      <c r="C266" s="94"/>
      <c r="D266" s="95"/>
      <c r="E266" s="95"/>
      <c r="F266" s="95"/>
    </row>
    <row r="267" spans="1:40" s="4" customFormat="1" hidden="1" x14ac:dyDescent="0.25">
      <c r="B267" s="18"/>
      <c r="C267" s="18"/>
      <c r="D267" s="49"/>
      <c r="E267" s="54"/>
      <c r="F267" s="98"/>
      <c r="G267" s="18"/>
      <c r="H267" s="18"/>
    </row>
    <row r="268" spans="1:40" s="4" customFormat="1" hidden="1" x14ac:dyDescent="0.25">
      <c r="B268" s="99"/>
      <c r="C268" s="17"/>
      <c r="D268" s="49"/>
      <c r="E268" s="54"/>
      <c r="F268" s="98"/>
      <c r="G268" s="18"/>
      <c r="H268" s="96"/>
    </row>
    <row r="269" spans="1:40" s="76" customFormat="1" ht="14.1" hidden="1" customHeight="1" thickBot="1" x14ac:dyDescent="0.3">
      <c r="B269" s="100"/>
      <c r="C269" s="100"/>
      <c r="D269" s="101"/>
      <c r="E269" s="102"/>
      <c r="F269" s="103"/>
      <c r="G269" s="75"/>
      <c r="H269" s="96"/>
    </row>
    <row r="270" spans="1:40" s="16" customFormat="1" ht="29.1" customHeight="1" x14ac:dyDescent="0.45">
      <c r="A270" s="4"/>
      <c r="B270" s="62" t="s">
        <v>17</v>
      </c>
      <c r="C270" s="129" t="s">
        <v>213</v>
      </c>
      <c r="D270" s="63"/>
      <c r="E270" s="63"/>
      <c r="F270" s="93"/>
      <c r="G270" s="18"/>
      <c r="H270" s="106"/>
      <c r="I270" s="4"/>
      <c r="J270" s="4"/>
      <c r="K270" s="4"/>
      <c r="L270" s="4"/>
      <c r="M270" s="4"/>
      <c r="N270" s="4"/>
      <c r="O270" s="4"/>
      <c r="P270" s="4"/>
      <c r="Q270" s="4"/>
      <c r="R270" s="4"/>
      <c r="S270" s="4"/>
      <c r="T270" s="4"/>
      <c r="U270" s="4"/>
      <c r="V270" s="4"/>
      <c r="W270" s="4"/>
      <c r="X270" s="4"/>
    </row>
    <row r="271" spans="1:40" s="16" customFormat="1" x14ac:dyDescent="0.25">
      <c r="A271" s="4"/>
      <c r="B271" s="140" t="s">
        <v>64</v>
      </c>
      <c r="C271" s="146" t="s">
        <v>214</v>
      </c>
      <c r="D271" s="40"/>
      <c r="E271" s="53"/>
      <c r="F271" s="28"/>
      <c r="G271" s="18"/>
      <c r="H271" s="96" t="b">
        <f>IF(D274="x",H$2,H$1)</f>
        <v>0</v>
      </c>
      <c r="I271" s="4"/>
      <c r="J271" s="4"/>
      <c r="K271" s="4"/>
      <c r="L271" s="4"/>
      <c r="M271" s="4"/>
      <c r="N271" s="4"/>
      <c r="O271" s="4"/>
      <c r="P271" s="4"/>
      <c r="Q271" s="4"/>
      <c r="R271" s="4"/>
      <c r="S271" s="4"/>
      <c r="T271" s="4"/>
      <c r="U271" s="4"/>
      <c r="V271" s="4"/>
      <c r="W271" s="4"/>
      <c r="X271" s="4"/>
    </row>
    <row r="272" spans="1:40" s="16" customFormat="1" x14ac:dyDescent="0.25">
      <c r="A272" s="4"/>
      <c r="B272" s="87" t="s">
        <v>15</v>
      </c>
      <c r="C272" s="91" t="s">
        <v>215</v>
      </c>
      <c r="D272" s="110"/>
      <c r="E272" s="113" t="s">
        <v>9</v>
      </c>
      <c r="F272" s="115"/>
      <c r="G272" s="18"/>
      <c r="H272" s="96" t="str">
        <f>IF(E$331="comprobar",COUNTIF(D272:D276,"x"),"")</f>
        <v/>
      </c>
      <c r="I272" s="4"/>
      <c r="J272" s="4"/>
      <c r="K272" s="4"/>
      <c r="L272" s="4"/>
      <c r="M272" s="4"/>
      <c r="N272" s="4"/>
      <c r="O272" s="4"/>
      <c r="P272" s="4"/>
      <c r="Q272" s="4"/>
      <c r="R272" s="4"/>
      <c r="S272" s="4"/>
      <c r="T272" s="4"/>
      <c r="U272" s="4"/>
      <c r="V272" s="4"/>
      <c r="W272" s="4"/>
      <c r="X272" s="4"/>
    </row>
    <row r="273" spans="1:40" x14ac:dyDescent="0.25">
      <c r="B273" s="87" t="s">
        <v>15</v>
      </c>
      <c r="C273" s="91" t="s">
        <v>216</v>
      </c>
      <c r="D273" s="110"/>
      <c r="E273" s="113" t="s">
        <v>10</v>
      </c>
      <c r="F273" s="112" t="str">
        <f>IF(H273=1,IF(H271=H$2,H271,""),"")</f>
        <v/>
      </c>
      <c r="G273" s="18"/>
      <c r="H273" s="23">
        <f t="shared" ref="H273" si="20">IF(H272=1,IF(H271=H$2,1,-0.33),0)</f>
        <v>0</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row>
    <row r="274" spans="1:40" x14ac:dyDescent="0.25">
      <c r="B274" s="87" t="s">
        <v>15</v>
      </c>
      <c r="C274" s="91" t="s">
        <v>217</v>
      </c>
      <c r="D274" s="110"/>
      <c r="E274" s="113" t="s">
        <v>11</v>
      </c>
      <c r="F274" s="114" t="str">
        <f>IF(H273=-0.33,IF(H271=H$1,H271,""),"")</f>
        <v/>
      </c>
      <c r="G274" s="18"/>
      <c r="H274" s="23"/>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row>
    <row r="275" spans="1:40" x14ac:dyDescent="0.25">
      <c r="B275" s="87" t="s">
        <v>15</v>
      </c>
      <c r="C275" s="91" t="s">
        <v>218</v>
      </c>
      <c r="D275" s="110"/>
      <c r="E275" s="113" t="s">
        <v>12</v>
      </c>
      <c r="F275" s="115"/>
      <c r="G275" s="18"/>
      <c r="H275" s="23"/>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row>
    <row r="276" spans="1:40" x14ac:dyDescent="0.25">
      <c r="B276" s="87"/>
      <c r="C276" s="91"/>
      <c r="D276" s="110"/>
      <c r="E276" s="113" t="s">
        <v>13</v>
      </c>
      <c r="F276" s="115"/>
      <c r="G276" s="18"/>
      <c r="H276" s="23"/>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row>
    <row r="277" spans="1:40" s="16" customFormat="1" x14ac:dyDescent="0.25">
      <c r="A277" s="4"/>
      <c r="B277" s="140" t="s">
        <v>62</v>
      </c>
      <c r="C277" s="146" t="s">
        <v>219</v>
      </c>
      <c r="D277" s="40"/>
      <c r="E277" s="53"/>
      <c r="F277" s="28"/>
      <c r="G277" s="14"/>
      <c r="H277" s="14"/>
    </row>
    <row r="278" spans="1:40" x14ac:dyDescent="0.25">
      <c r="B278" s="87" t="s">
        <v>15</v>
      </c>
      <c r="C278" s="91" t="s">
        <v>220</v>
      </c>
      <c r="D278" s="110"/>
      <c r="E278" s="113" t="s">
        <v>9</v>
      </c>
      <c r="F278" s="26"/>
      <c r="G278" s="18"/>
      <c r="H278" s="96" t="b">
        <f>IF(D281="x",H$2,H$1)</f>
        <v>0</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row>
    <row r="279" spans="1:40" s="16" customFormat="1" x14ac:dyDescent="0.25">
      <c r="A279" s="4"/>
      <c r="B279" s="87" t="s">
        <v>15</v>
      </c>
      <c r="C279" s="91" t="s">
        <v>221</v>
      </c>
      <c r="D279" s="110"/>
      <c r="E279" s="113" t="s">
        <v>10</v>
      </c>
      <c r="F279" s="112" t="str">
        <f>IF(H280=1,IF(H278=H$2,H278,""),"")</f>
        <v/>
      </c>
      <c r="G279" s="18"/>
      <c r="H279" s="20" t="str">
        <f>IF(E$331="comprobar",COUNTIF(D278:D282,"x"),"")</f>
        <v/>
      </c>
      <c r="I279" s="4"/>
      <c r="J279" s="4"/>
      <c r="K279" s="4"/>
      <c r="L279" s="4"/>
      <c r="M279" s="4"/>
      <c r="N279" s="4"/>
      <c r="O279" s="4"/>
    </row>
    <row r="280" spans="1:40" x14ac:dyDescent="0.25">
      <c r="B280" s="87" t="s">
        <v>15</v>
      </c>
      <c r="C280" s="91" t="s">
        <v>222</v>
      </c>
      <c r="D280" s="110"/>
      <c r="E280" s="113" t="s">
        <v>11</v>
      </c>
      <c r="F280" s="114" t="str">
        <f>IF(H280=-0.33,IF(H278=H$1,H278,""),"")</f>
        <v/>
      </c>
      <c r="G280" s="18"/>
      <c r="H280" s="23">
        <f t="shared" ref="H280" si="21">IF(H279=1,IF(H278=H$2,1,-0.33),0)</f>
        <v>0</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row>
    <row r="281" spans="1:40" s="4" customFormat="1" x14ac:dyDescent="0.25">
      <c r="B281" s="87" t="s">
        <v>15</v>
      </c>
      <c r="C281" s="91" t="s">
        <v>223</v>
      </c>
      <c r="D281" s="110"/>
      <c r="E281" s="113" t="s">
        <v>12</v>
      </c>
      <c r="F281" s="26"/>
      <c r="G281" s="18"/>
      <c r="H281" s="106"/>
    </row>
    <row r="282" spans="1:40" s="4" customFormat="1" x14ac:dyDescent="0.25">
      <c r="B282" s="87"/>
      <c r="C282" s="66"/>
      <c r="D282" s="110"/>
      <c r="E282" s="113" t="s">
        <v>13</v>
      </c>
      <c r="F282" s="26"/>
      <c r="G282" s="18"/>
      <c r="H282" s="106"/>
    </row>
    <row r="283" spans="1:40" s="16" customFormat="1" x14ac:dyDescent="0.25">
      <c r="A283" s="4"/>
      <c r="B283" s="140" t="s">
        <v>69</v>
      </c>
      <c r="C283" s="146" t="s">
        <v>224</v>
      </c>
      <c r="D283" s="40"/>
      <c r="E283" s="53"/>
      <c r="F283" s="28"/>
      <c r="G283" s="14"/>
      <c r="H283" s="14"/>
    </row>
    <row r="284" spans="1:40" x14ac:dyDescent="0.25">
      <c r="B284" s="87" t="s">
        <v>15</v>
      </c>
      <c r="C284" s="64" t="s">
        <v>225</v>
      </c>
      <c r="D284" s="110"/>
      <c r="E284" s="113" t="s">
        <v>9</v>
      </c>
      <c r="F284" s="26"/>
      <c r="G284" s="18"/>
      <c r="H284" s="96" t="b">
        <f>IF(D287="x",H$2,H$1)</f>
        <v>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row>
    <row r="285" spans="1:40" s="16" customFormat="1" x14ac:dyDescent="0.25">
      <c r="A285" s="4"/>
      <c r="B285" s="87" t="s">
        <v>15</v>
      </c>
      <c r="C285" s="91" t="s">
        <v>226</v>
      </c>
      <c r="D285" s="110"/>
      <c r="E285" s="113" t="s">
        <v>10</v>
      </c>
      <c r="F285" s="112" t="str">
        <f>IF(H286=1,IF(H284=H$2,H284,""),"")</f>
        <v/>
      </c>
      <c r="G285" s="18"/>
      <c r="H285" s="20" t="str">
        <f>IF(E$331="comprobar",COUNTIF(D284:D288,"x"),"")</f>
        <v/>
      </c>
    </row>
    <row r="286" spans="1:40" x14ac:dyDescent="0.25">
      <c r="B286" s="87" t="s">
        <v>15</v>
      </c>
      <c r="C286" s="91" t="s">
        <v>227</v>
      </c>
      <c r="D286" s="110"/>
      <c r="E286" s="113" t="s">
        <v>11</v>
      </c>
      <c r="F286" s="114" t="str">
        <f>IF(H286=-0.33,IF(H284=H$1,H284,""),"")</f>
        <v/>
      </c>
      <c r="G286" s="18"/>
      <c r="H286" s="23">
        <f t="shared" ref="H286" si="22">IF(H285=1,IF(H284=H$2,1,-0.33),0)</f>
        <v>0</v>
      </c>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row>
    <row r="287" spans="1:40" s="4" customFormat="1" x14ac:dyDescent="0.25">
      <c r="B287" s="87" t="s">
        <v>15</v>
      </c>
      <c r="C287" s="91" t="s">
        <v>228</v>
      </c>
      <c r="D287" s="110"/>
      <c r="E287" s="113" t="s">
        <v>12</v>
      </c>
      <c r="F287" s="26"/>
      <c r="G287" s="18"/>
      <c r="H287" s="106"/>
    </row>
    <row r="288" spans="1:40" s="4" customFormat="1" x14ac:dyDescent="0.25">
      <c r="B288" s="87"/>
      <c r="C288" s="91"/>
      <c r="D288" s="110"/>
      <c r="E288" s="113" t="s">
        <v>13</v>
      </c>
      <c r="F288" s="26"/>
      <c r="G288" s="18"/>
      <c r="H288" s="106"/>
    </row>
    <row r="289" spans="1:40" s="16" customFormat="1" x14ac:dyDescent="0.25">
      <c r="A289" s="4"/>
      <c r="B289" s="140" t="s">
        <v>75</v>
      </c>
      <c r="C289" s="146" t="s">
        <v>229</v>
      </c>
      <c r="D289" s="40"/>
      <c r="E289" s="53"/>
      <c r="F289" s="28"/>
      <c r="G289" s="14"/>
      <c r="H289" s="14"/>
    </row>
    <row r="290" spans="1:40" x14ac:dyDescent="0.25">
      <c r="B290" s="87" t="s">
        <v>15</v>
      </c>
      <c r="C290" s="91" t="s">
        <v>230</v>
      </c>
      <c r="D290" s="110"/>
      <c r="E290" s="113" t="s">
        <v>9</v>
      </c>
      <c r="F290" s="26"/>
      <c r="G290" s="18"/>
      <c r="H290" s="20" t="b">
        <f>IF(D292="x",H$2,H$1)</f>
        <v>0</v>
      </c>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row>
    <row r="291" spans="1:40" s="16" customFormat="1" x14ac:dyDescent="0.25">
      <c r="A291" s="4"/>
      <c r="B291" s="87" t="s">
        <v>15</v>
      </c>
      <c r="C291" s="91" t="s">
        <v>231</v>
      </c>
      <c r="D291" s="110"/>
      <c r="E291" s="113" t="s">
        <v>10</v>
      </c>
      <c r="F291" s="112" t="str">
        <f>IF(H292=1,IF(H290=H$2,H290,""),"")</f>
        <v/>
      </c>
      <c r="G291" s="18"/>
      <c r="H291" s="20" t="str">
        <f>IF(E$331="comprobar",COUNTIF(D290:D294,"x"),"")</f>
        <v/>
      </c>
    </row>
    <row r="292" spans="1:40" x14ac:dyDescent="0.25">
      <c r="B292" s="87" t="s">
        <v>15</v>
      </c>
      <c r="C292" s="91" t="s">
        <v>232</v>
      </c>
      <c r="D292" s="110"/>
      <c r="E292" s="113" t="s">
        <v>11</v>
      </c>
      <c r="F292" s="114" t="str">
        <f>IF(H292=-0.33,IF(H290=H$1,H290,""),"")</f>
        <v/>
      </c>
      <c r="G292" s="18"/>
      <c r="H292" s="23">
        <f t="shared" ref="H292" si="23">IF(H291=1,IF(H290=H$2,1,-0.33),0)</f>
        <v>0</v>
      </c>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row>
    <row r="293" spans="1:40" x14ac:dyDescent="0.25">
      <c r="B293" s="87" t="s">
        <v>15</v>
      </c>
      <c r="C293" s="91" t="s">
        <v>233</v>
      </c>
      <c r="D293" s="110"/>
      <c r="E293" s="113" t="s">
        <v>12</v>
      </c>
      <c r="F293" s="26"/>
      <c r="G293" s="18"/>
      <c r="H293" s="23"/>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row>
    <row r="294" spans="1:40" x14ac:dyDescent="0.25">
      <c r="B294" s="87"/>
      <c r="C294" s="66"/>
      <c r="D294" s="110"/>
      <c r="E294" s="113" t="s">
        <v>13</v>
      </c>
      <c r="F294" s="26"/>
      <c r="G294" s="18"/>
      <c r="H294" s="23"/>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row>
    <row r="295" spans="1:40" s="16" customFormat="1" ht="16.5" customHeight="1" x14ac:dyDescent="0.25">
      <c r="A295" s="4"/>
      <c r="B295" s="140" t="s">
        <v>80</v>
      </c>
      <c r="C295" s="165" t="s">
        <v>620</v>
      </c>
      <c r="D295" s="116"/>
      <c r="E295" s="111"/>
      <c r="F295" s="28"/>
      <c r="G295" s="14"/>
      <c r="H295" s="14"/>
    </row>
    <row r="296" spans="1:40" x14ac:dyDescent="0.25">
      <c r="B296" s="87" t="s">
        <v>15</v>
      </c>
      <c r="C296" s="91" t="s">
        <v>234</v>
      </c>
      <c r="D296" s="110"/>
      <c r="E296" s="113" t="s">
        <v>9</v>
      </c>
      <c r="F296" s="26"/>
      <c r="G296" s="18"/>
      <c r="H296" s="20" t="b">
        <f>IF(D296="x",H$2,H$1)</f>
        <v>0</v>
      </c>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row>
    <row r="297" spans="1:40" s="16" customFormat="1" x14ac:dyDescent="0.25">
      <c r="A297" s="4"/>
      <c r="B297" s="87" t="s">
        <v>15</v>
      </c>
      <c r="C297" s="91" t="s">
        <v>235</v>
      </c>
      <c r="D297" s="110"/>
      <c r="E297" s="113" t="s">
        <v>10</v>
      </c>
      <c r="F297" s="112" t="str">
        <f>IF(H298=1,IF(H296=H$2,H296,""),"")</f>
        <v/>
      </c>
      <c r="G297" s="18"/>
      <c r="H297" s="20" t="str">
        <f>IF(E$331="comprobar",COUNTIF(D296:D300,"x"),"")</f>
        <v/>
      </c>
    </row>
    <row r="298" spans="1:40" x14ac:dyDescent="0.25">
      <c r="B298" s="87" t="s">
        <v>15</v>
      </c>
      <c r="C298" s="91" t="s">
        <v>236</v>
      </c>
      <c r="D298" s="110"/>
      <c r="E298" s="113" t="s">
        <v>11</v>
      </c>
      <c r="F298" s="114" t="str">
        <f>IF(H298=-0.33,IF(H296=H$1,H296,""),"")</f>
        <v/>
      </c>
      <c r="G298" s="18"/>
      <c r="H298" s="23">
        <f t="shared" ref="H298" si="24">IF(H297=1,IF(H296=H$2,1,-0.33),0)</f>
        <v>0</v>
      </c>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row>
    <row r="299" spans="1:40" x14ac:dyDescent="0.25">
      <c r="B299" s="87" t="s">
        <v>15</v>
      </c>
      <c r="C299" s="91" t="s">
        <v>237</v>
      </c>
      <c r="D299" s="110"/>
      <c r="E299" s="113" t="s">
        <v>12</v>
      </c>
      <c r="F299" s="26"/>
      <c r="G299" s="18"/>
      <c r="H299" s="23"/>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row>
    <row r="300" spans="1:40" x14ac:dyDescent="0.25">
      <c r="B300" s="109"/>
      <c r="C300" s="66"/>
      <c r="D300" s="110"/>
      <c r="E300" s="113" t="s">
        <v>13</v>
      </c>
      <c r="F300" s="115"/>
      <c r="G300" s="18"/>
      <c r="H300" s="23"/>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row>
    <row r="301" spans="1:40" s="16" customFormat="1" x14ac:dyDescent="0.25">
      <c r="A301" s="4"/>
      <c r="B301" s="140" t="s">
        <v>85</v>
      </c>
      <c r="C301" s="148" t="s">
        <v>238</v>
      </c>
      <c r="D301" s="116"/>
      <c r="E301" s="111"/>
      <c r="F301" s="28"/>
      <c r="G301" s="14"/>
      <c r="H301" s="14"/>
    </row>
    <row r="302" spans="1:40" x14ac:dyDescent="0.25">
      <c r="B302" s="87" t="s">
        <v>15</v>
      </c>
      <c r="C302" s="64" t="s">
        <v>239</v>
      </c>
      <c r="D302" s="110"/>
      <c r="E302" s="113" t="s">
        <v>9</v>
      </c>
      <c r="F302" s="26"/>
      <c r="G302" s="18"/>
      <c r="H302" s="20" t="b">
        <f>IF(D304="x",H$2,H$1)</f>
        <v>0</v>
      </c>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row>
    <row r="303" spans="1:40" s="16" customFormat="1" x14ac:dyDescent="0.25">
      <c r="A303" s="4"/>
      <c r="B303" s="87" t="s">
        <v>15</v>
      </c>
      <c r="C303" s="91" t="s">
        <v>240</v>
      </c>
      <c r="D303" s="110"/>
      <c r="E303" s="113" t="s">
        <v>10</v>
      </c>
      <c r="F303" s="112" t="str">
        <f>IF(H304=1,IF(H302=H$2,H302,""),"")</f>
        <v/>
      </c>
      <c r="G303" s="18"/>
      <c r="H303" s="20" t="str">
        <f>IF(E$331="comprobar",COUNTIF(D302:D306,"x"),"")</f>
        <v/>
      </c>
    </row>
    <row r="304" spans="1:40" x14ac:dyDescent="0.25">
      <c r="B304" s="87" t="s">
        <v>15</v>
      </c>
      <c r="C304" s="91" t="s">
        <v>241</v>
      </c>
      <c r="D304" s="110"/>
      <c r="E304" s="113" t="s">
        <v>11</v>
      </c>
      <c r="F304" s="114" t="str">
        <f>IF(H304=-0.33,IF(H302=H$1,H302,""),"")</f>
        <v/>
      </c>
      <c r="G304" s="18"/>
      <c r="H304" s="23">
        <f t="shared" ref="H304" si="25">IF(H303=1,IF(H302=H$2,1,-0.33),0)</f>
        <v>0</v>
      </c>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row>
    <row r="305" spans="1:40" x14ac:dyDescent="0.25">
      <c r="B305" s="87" t="s">
        <v>15</v>
      </c>
      <c r="C305" s="91" t="s">
        <v>242</v>
      </c>
      <c r="D305" s="110"/>
      <c r="E305" s="113" t="s">
        <v>12</v>
      </c>
      <c r="F305" s="26"/>
      <c r="G305" s="18"/>
      <c r="H305" s="23"/>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row>
    <row r="306" spans="1:40" x14ac:dyDescent="0.25">
      <c r="B306" s="65"/>
      <c r="C306" s="66"/>
      <c r="D306" s="110"/>
      <c r="E306" s="113" t="s">
        <v>13</v>
      </c>
      <c r="F306" s="115"/>
      <c r="G306" s="18"/>
      <c r="H306" s="23"/>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row>
    <row r="307" spans="1:40" s="16" customFormat="1" x14ac:dyDescent="0.25">
      <c r="A307" s="4"/>
      <c r="B307" s="140" t="s">
        <v>91</v>
      </c>
      <c r="C307" s="148" t="s">
        <v>243</v>
      </c>
      <c r="D307" s="116"/>
      <c r="E307" s="111"/>
      <c r="F307" s="28"/>
      <c r="G307" s="14"/>
      <c r="H307" s="14"/>
    </row>
    <row r="308" spans="1:40" x14ac:dyDescent="0.25">
      <c r="B308" s="87" t="s">
        <v>15</v>
      </c>
      <c r="C308" s="91" t="s">
        <v>244</v>
      </c>
      <c r="D308" s="110"/>
      <c r="E308" s="113" t="s">
        <v>9</v>
      </c>
      <c r="F308" s="26"/>
      <c r="G308" s="18"/>
      <c r="H308" s="20" t="b">
        <f>IF(D311="x",H$2,H$1)</f>
        <v>0</v>
      </c>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row>
    <row r="309" spans="1:40" s="16" customFormat="1" x14ac:dyDescent="0.25">
      <c r="A309" s="4"/>
      <c r="B309" s="87" t="s">
        <v>15</v>
      </c>
      <c r="C309" s="91" t="s">
        <v>245</v>
      </c>
      <c r="D309" s="110"/>
      <c r="E309" s="113" t="s">
        <v>10</v>
      </c>
      <c r="F309" s="112" t="str">
        <f>IF(H310=1,IF(H308=H$2,H308,""),"")</f>
        <v/>
      </c>
      <c r="G309" s="18"/>
      <c r="H309" s="20" t="str">
        <f>IF(E$331="comprobar",COUNTIF(D308:D312,"x"),"")</f>
        <v/>
      </c>
    </row>
    <row r="310" spans="1:40" x14ac:dyDescent="0.25">
      <c r="B310" s="87" t="s">
        <v>15</v>
      </c>
      <c r="C310" s="91" t="s">
        <v>246</v>
      </c>
      <c r="D310" s="110"/>
      <c r="E310" s="113" t="s">
        <v>11</v>
      </c>
      <c r="F310" s="114" t="str">
        <f>IF(H310=-0.33,IF(H308=H$1,H308,""),"")</f>
        <v/>
      </c>
      <c r="G310" s="18"/>
      <c r="H310" s="23">
        <f t="shared" ref="H310" si="26">IF(H309=1,IF(H308=H$2,1,-0.33),0)</f>
        <v>0</v>
      </c>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row>
    <row r="311" spans="1:40" x14ac:dyDescent="0.25">
      <c r="B311" s="87" t="s">
        <v>15</v>
      </c>
      <c r="C311" s="91" t="s">
        <v>247</v>
      </c>
      <c r="D311" s="110"/>
      <c r="E311" s="113" t="s">
        <v>12</v>
      </c>
      <c r="F311" s="26"/>
      <c r="G311" s="18"/>
      <c r="H311" s="23"/>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row>
    <row r="312" spans="1:40" x14ac:dyDescent="0.25">
      <c r="B312" s="65"/>
      <c r="C312" s="66"/>
      <c r="D312" s="110"/>
      <c r="E312" s="113" t="s">
        <v>13</v>
      </c>
      <c r="F312" s="115"/>
      <c r="G312" s="18"/>
      <c r="H312" s="23"/>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row>
    <row r="313" spans="1:40" s="16" customFormat="1" x14ac:dyDescent="0.25">
      <c r="A313" s="4"/>
      <c r="B313" s="140" t="s">
        <v>92</v>
      </c>
      <c r="C313" s="147" t="s">
        <v>621</v>
      </c>
      <c r="D313" s="116"/>
      <c r="E313" s="111"/>
      <c r="F313" s="28"/>
      <c r="G313" s="14"/>
      <c r="H313" s="14"/>
    </row>
    <row r="314" spans="1:40" x14ac:dyDescent="0.25">
      <c r="B314" s="87" t="s">
        <v>15</v>
      </c>
      <c r="C314" s="64" t="s">
        <v>250</v>
      </c>
      <c r="D314" s="110"/>
      <c r="E314" s="113" t="s">
        <v>9</v>
      </c>
      <c r="F314" s="26"/>
      <c r="G314" s="18"/>
      <c r="H314" s="20" t="b">
        <f>IF(D315="x",H$2,H$1)</f>
        <v>0</v>
      </c>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row>
    <row r="315" spans="1:40" s="16" customFormat="1" x14ac:dyDescent="0.25">
      <c r="A315" s="4"/>
      <c r="B315" s="87" t="s">
        <v>15</v>
      </c>
      <c r="C315" s="91" t="s">
        <v>249</v>
      </c>
      <c r="D315" s="110"/>
      <c r="E315" s="113" t="s">
        <v>10</v>
      </c>
      <c r="F315" s="112" t="str">
        <f>IF(H316=1,IF(H314=H$2,H314,""),"")</f>
        <v/>
      </c>
      <c r="G315" s="18"/>
      <c r="H315" s="20" t="str">
        <f>IF(E$331="comprobar",COUNTIF(D314:D318,"x"),"")</f>
        <v/>
      </c>
    </row>
    <row r="316" spans="1:40" x14ac:dyDescent="0.25">
      <c r="B316" s="87" t="s">
        <v>15</v>
      </c>
      <c r="C316" s="91" t="s">
        <v>251</v>
      </c>
      <c r="D316" s="110"/>
      <c r="E316" s="113" t="s">
        <v>11</v>
      </c>
      <c r="F316" s="114" t="str">
        <f>IF(H316=-0.33,IF(H314=H$1,H314,""),"")</f>
        <v/>
      </c>
      <c r="G316" s="18"/>
      <c r="H316" s="23">
        <f t="shared" ref="H316" si="27">IF(H315=1,IF(H314=H$2,1,-0.33),0)</f>
        <v>0</v>
      </c>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row>
    <row r="317" spans="1:40" x14ac:dyDescent="0.25">
      <c r="B317" s="87" t="s">
        <v>15</v>
      </c>
      <c r="C317" s="91" t="s">
        <v>252</v>
      </c>
      <c r="D317" s="110"/>
      <c r="E317" s="113" t="s">
        <v>12</v>
      </c>
      <c r="F317" s="26"/>
      <c r="G317" s="18"/>
      <c r="H317" s="23"/>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row>
    <row r="318" spans="1:40" x14ac:dyDescent="0.25">
      <c r="B318" s="65"/>
      <c r="C318" s="66"/>
      <c r="D318" s="110"/>
      <c r="E318" s="113" t="s">
        <v>13</v>
      </c>
      <c r="F318" s="115"/>
      <c r="G318" s="18"/>
      <c r="H318" s="23"/>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row>
    <row r="319" spans="1:40" s="16" customFormat="1" x14ac:dyDescent="0.25">
      <c r="A319" s="4"/>
      <c r="B319" s="140" t="s">
        <v>199</v>
      </c>
      <c r="C319" s="90" t="s">
        <v>253</v>
      </c>
      <c r="D319" s="116"/>
      <c r="E319" s="111"/>
      <c r="F319" s="28"/>
      <c r="G319" s="27"/>
      <c r="H319" s="14"/>
    </row>
    <row r="320" spans="1:40" s="4" customFormat="1" x14ac:dyDescent="0.25">
      <c r="B320" s="87" t="s">
        <v>15</v>
      </c>
      <c r="C320" s="64" t="s">
        <v>254</v>
      </c>
      <c r="D320" s="110"/>
      <c r="E320" s="113" t="s">
        <v>9</v>
      </c>
      <c r="F320" s="26"/>
      <c r="G320" s="105"/>
      <c r="H320" s="96" t="b">
        <f>IF(D323="x",H$2,H$1)</f>
        <v>0</v>
      </c>
    </row>
    <row r="321" spans="1:40" s="4" customFormat="1" x14ac:dyDescent="0.25">
      <c r="B321" s="87" t="s">
        <v>15</v>
      </c>
      <c r="C321" s="91" t="s">
        <v>255</v>
      </c>
      <c r="D321" s="110"/>
      <c r="E321" s="113" t="s">
        <v>10</v>
      </c>
      <c r="F321" s="112" t="str">
        <f>IF(H322=1,IF(H320=H$2,H320,""),"")</f>
        <v/>
      </c>
      <c r="G321" s="105"/>
      <c r="H321" s="96" t="str">
        <f>IF(E$331="comprobar",COUNTIF(D320:D324,"x"),"")</f>
        <v/>
      </c>
    </row>
    <row r="322" spans="1:40" s="4" customFormat="1" x14ac:dyDescent="0.25">
      <c r="B322" s="87" t="s">
        <v>15</v>
      </c>
      <c r="C322" s="91" t="s">
        <v>256</v>
      </c>
      <c r="D322" s="110"/>
      <c r="E322" s="113" t="s">
        <v>11</v>
      </c>
      <c r="F322" s="114" t="str">
        <f>IF(H322=-0.33,IF(H320=H$1,H320,""),"")</f>
        <v/>
      </c>
      <c r="G322" s="105"/>
      <c r="H322" s="106">
        <f t="shared" ref="H322" si="28">IF(H321=1,IF(H320=H$2,1,-0.33),0)</f>
        <v>0</v>
      </c>
    </row>
    <row r="323" spans="1:40" x14ac:dyDescent="0.25">
      <c r="B323" s="87" t="s">
        <v>15</v>
      </c>
      <c r="C323" s="91" t="s">
        <v>257</v>
      </c>
      <c r="D323" s="110"/>
      <c r="E323" s="113" t="s">
        <v>12</v>
      </c>
      <c r="F323" s="26"/>
      <c r="G323" s="25"/>
      <c r="H323" s="23"/>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row>
    <row r="324" spans="1:40" x14ac:dyDescent="0.25">
      <c r="B324" s="65"/>
      <c r="C324" s="66"/>
      <c r="D324" s="110"/>
      <c r="E324" s="113" t="s">
        <v>13</v>
      </c>
      <c r="F324" s="115"/>
      <c r="G324" s="25"/>
      <c r="H324" s="23"/>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row>
    <row r="325" spans="1:40" s="16" customFormat="1" ht="18" customHeight="1" x14ac:dyDescent="0.25">
      <c r="A325" s="4"/>
      <c r="B325" s="140" t="s">
        <v>159</v>
      </c>
      <c r="C325" s="165" t="s">
        <v>622</v>
      </c>
      <c r="D325" s="116"/>
      <c r="E325" s="111"/>
      <c r="F325" s="28"/>
      <c r="G325" s="14"/>
      <c r="H325" s="14"/>
    </row>
    <row r="326" spans="1:40" x14ac:dyDescent="0.25">
      <c r="B326" s="87" t="s">
        <v>15</v>
      </c>
      <c r="C326" s="64" t="s">
        <v>258</v>
      </c>
      <c r="D326" s="110"/>
      <c r="E326" s="113" t="s">
        <v>9</v>
      </c>
      <c r="F326" s="26"/>
      <c r="G326" s="25"/>
      <c r="H326" s="20" t="b">
        <f>IF(D327="x",H$2,H$1)</f>
        <v>0</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row>
    <row r="327" spans="1:40" s="16" customFormat="1" x14ac:dyDescent="0.25">
      <c r="A327" s="4"/>
      <c r="B327" s="87" t="s">
        <v>15</v>
      </c>
      <c r="C327" s="91" t="s">
        <v>259</v>
      </c>
      <c r="D327" s="110"/>
      <c r="E327" s="113" t="s">
        <v>10</v>
      </c>
      <c r="F327" s="112" t="str">
        <f>IF(H328=1,IF(H326=H$2,H326,""),"")</f>
        <v/>
      </c>
      <c r="G327" s="25"/>
      <c r="H327" s="20" t="str">
        <f>IF(E$331="comprobar",COUNTIF(D326:D330,"x"),"")</f>
        <v/>
      </c>
    </row>
    <row r="328" spans="1:40" x14ac:dyDescent="0.25">
      <c r="B328" s="87" t="s">
        <v>15</v>
      </c>
      <c r="C328" s="91" t="s">
        <v>260</v>
      </c>
      <c r="D328" s="110"/>
      <c r="E328" s="113" t="s">
        <v>11</v>
      </c>
      <c r="F328" s="114" t="str">
        <f>IF(H328=-0.33,IF(H326=H$1,H326,""),"")</f>
        <v/>
      </c>
      <c r="G328" s="25"/>
      <c r="H328" s="23">
        <f t="shared" ref="H328" si="29">IF(H327=1,IF(H326=H$2,1,-0.33),0)</f>
        <v>0</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row>
    <row r="329" spans="1:40" x14ac:dyDescent="0.25">
      <c r="B329" s="87" t="s">
        <v>15</v>
      </c>
      <c r="C329" s="91" t="s">
        <v>261</v>
      </c>
      <c r="D329" s="110"/>
      <c r="E329" s="113" t="s">
        <v>12</v>
      </c>
      <c r="F329" s="26"/>
      <c r="G329" s="25"/>
      <c r="H329" s="23"/>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row>
    <row r="330" spans="1:40" x14ac:dyDescent="0.25">
      <c r="B330" s="65"/>
      <c r="C330" s="66"/>
      <c r="D330" s="110"/>
      <c r="E330" s="113" t="s">
        <v>13</v>
      </c>
      <c r="F330" s="115"/>
      <c r="G330" s="25"/>
      <c r="H330" s="23"/>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row>
    <row r="331" spans="1:40" x14ac:dyDescent="0.25">
      <c r="B331" s="117"/>
      <c r="C331" s="8"/>
      <c r="D331" s="118"/>
      <c r="E331" s="78"/>
      <c r="F331" s="119" t="s">
        <v>8</v>
      </c>
      <c r="G331" s="18" t="s">
        <v>6</v>
      </c>
      <c r="H331" s="18" t="s">
        <v>7</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row>
    <row r="332" spans="1:40" ht="19.5" x14ac:dyDescent="0.25">
      <c r="B332" s="45"/>
      <c r="C332" s="42"/>
      <c r="D332" s="41"/>
      <c r="E332" s="120"/>
      <c r="F332" s="30" t="str">
        <f>IF(E$331="comprobar",H328+H322+H316+H310+H304+H298+H292+H286+H280+H273,"")</f>
        <v/>
      </c>
      <c r="G332" s="18">
        <f>10/2</f>
        <v>5</v>
      </c>
      <c r="H332" s="18"/>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row>
    <row r="333" spans="1:40" ht="16.5" thickBot="1" x14ac:dyDescent="0.3">
      <c r="B333" s="46"/>
      <c r="C333" s="31"/>
      <c r="D333" s="121"/>
      <c r="E333" s="122"/>
      <c r="F333" s="123" t="str">
        <f>IF(F332&gt;G332,G331,H331)</f>
        <v>APROBADO</v>
      </c>
      <c r="G333" s="18"/>
      <c r="H333" s="18"/>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row>
    <row r="334" spans="1:40" hidden="1" x14ac:dyDescent="0.25">
      <c r="B334" s="45"/>
      <c r="C334" s="17"/>
      <c r="D334" s="61"/>
      <c r="E334" s="52"/>
      <c r="F334" s="77"/>
      <c r="G334" s="18"/>
      <c r="H334" s="18"/>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row>
    <row r="335" spans="1:40" ht="16.5" hidden="1" thickBot="1" x14ac:dyDescent="0.3">
      <c r="B335" s="45"/>
      <c r="C335" s="17"/>
      <c r="D335" s="61"/>
      <c r="E335" s="52"/>
      <c r="F335" s="77"/>
      <c r="G335" s="18"/>
      <c r="H335" s="18"/>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row>
    <row r="336" spans="1:40" ht="28.5" x14ac:dyDescent="0.45">
      <c r="B336" s="62" t="s">
        <v>17</v>
      </c>
      <c r="C336" s="129" t="s">
        <v>262</v>
      </c>
      <c r="D336" s="84"/>
      <c r="E336" s="84"/>
      <c r="F336" s="85"/>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row>
    <row r="337" spans="1:40" s="16" customFormat="1" ht="18.95" customHeight="1" x14ac:dyDescent="0.25">
      <c r="A337" s="4"/>
      <c r="B337" s="140" t="s">
        <v>64</v>
      </c>
      <c r="C337" s="165" t="s">
        <v>623</v>
      </c>
      <c r="D337" s="40"/>
      <c r="E337" s="53"/>
      <c r="F337" s="28"/>
      <c r="G337" s="14"/>
      <c r="H337" s="14"/>
    </row>
    <row r="338" spans="1:40" x14ac:dyDescent="0.25">
      <c r="B338" s="87" t="s">
        <v>15</v>
      </c>
      <c r="C338" s="64" t="s">
        <v>263</v>
      </c>
      <c r="D338" s="39"/>
      <c r="E338" s="54" t="s">
        <v>9</v>
      </c>
      <c r="F338" s="26"/>
      <c r="G338" s="18"/>
      <c r="H338" s="20" t="b">
        <f>IF(D340="x",H$2,H$1)</f>
        <v>0</v>
      </c>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row>
    <row r="339" spans="1:40" ht="15.95" customHeight="1" x14ac:dyDescent="0.25">
      <c r="B339" s="87" t="s">
        <v>15</v>
      </c>
      <c r="C339" s="91" t="s">
        <v>264</v>
      </c>
      <c r="D339" s="39"/>
      <c r="E339" s="54" t="s">
        <v>10</v>
      </c>
      <c r="F339" s="21" t="str">
        <f>IF(H340=1,IF(H338=H$2,H338,""),"")</f>
        <v/>
      </c>
      <c r="G339" s="18"/>
      <c r="H339" s="20" t="str">
        <f>IF(E397="comprobar",COUNTIF(D338:D342,"x"),"")</f>
        <v/>
      </c>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row>
    <row r="340" spans="1:40" ht="18.95" customHeight="1" x14ac:dyDescent="0.25">
      <c r="B340" s="87" t="s">
        <v>15</v>
      </c>
      <c r="C340" s="91" t="s">
        <v>265</v>
      </c>
      <c r="D340" s="39"/>
      <c r="E340" s="54" t="s">
        <v>11</v>
      </c>
      <c r="F340" s="22" t="str">
        <f>IF(H340=-0.33,IF(H338=H$1,H338,""),"")</f>
        <v/>
      </c>
      <c r="G340" s="18"/>
      <c r="H340" s="23">
        <f>IF(H339=1,IF(H338=H$2,1,-0.33),0)</f>
        <v>0</v>
      </c>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row>
    <row r="341" spans="1:40" x14ac:dyDescent="0.25">
      <c r="B341" s="87" t="s">
        <v>15</v>
      </c>
      <c r="C341" s="91" t="s">
        <v>266</v>
      </c>
      <c r="D341" s="39"/>
      <c r="E341" s="54" t="s">
        <v>12</v>
      </c>
      <c r="F341" s="26"/>
      <c r="G341" s="18"/>
      <c r="H341" s="23"/>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row>
    <row r="342" spans="1:40" x14ac:dyDescent="0.25">
      <c r="B342" s="45"/>
      <c r="C342" s="64"/>
      <c r="D342" s="39"/>
      <c r="E342" s="54" t="s">
        <v>13</v>
      </c>
      <c r="F342" s="19"/>
      <c r="G342" s="18"/>
      <c r="H342" s="23"/>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row>
    <row r="343" spans="1:40" s="16" customFormat="1" ht="18.95" customHeight="1" x14ac:dyDescent="0.25">
      <c r="A343" s="4"/>
      <c r="B343" s="140" t="s">
        <v>170</v>
      </c>
      <c r="C343" s="165" t="s">
        <v>267</v>
      </c>
      <c r="D343" s="40"/>
      <c r="E343" s="53"/>
      <c r="F343" s="28"/>
      <c r="G343" s="14"/>
      <c r="H343" s="14"/>
    </row>
    <row r="344" spans="1:40" x14ac:dyDescent="0.25">
      <c r="B344" s="87" t="s">
        <v>15</v>
      </c>
      <c r="C344" s="64" t="s">
        <v>268</v>
      </c>
      <c r="D344" s="39"/>
      <c r="E344" s="54" t="s">
        <v>9</v>
      </c>
      <c r="F344" s="26"/>
      <c r="G344" s="18"/>
      <c r="H344" s="20" t="b">
        <f>IF(D344="x",H$2,H$1)</f>
        <v>0</v>
      </c>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row>
    <row r="345" spans="1:40" x14ac:dyDescent="0.25">
      <c r="B345" s="87" t="s">
        <v>15</v>
      </c>
      <c r="C345" s="91" t="s">
        <v>269</v>
      </c>
      <c r="D345" s="39"/>
      <c r="E345" s="54" t="s">
        <v>10</v>
      </c>
      <c r="F345" s="21" t="str">
        <f>IF(H346=1,IF(H344=H$2,H344,""),"")</f>
        <v/>
      </c>
      <c r="G345" s="18"/>
      <c r="H345" s="20" t="str">
        <f>IF(E$397="comprobar",COUNTIF(D344:D348,"x"),"")</f>
        <v/>
      </c>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row>
    <row r="346" spans="1:40" x14ac:dyDescent="0.25">
      <c r="B346" s="87" t="s">
        <v>15</v>
      </c>
      <c r="C346" s="91" t="s">
        <v>270</v>
      </c>
      <c r="D346" s="39"/>
      <c r="E346" s="54" t="s">
        <v>11</v>
      </c>
      <c r="F346" s="22" t="str">
        <f>IF(H346=-0.33,IF(H344=H$1,H344,""),"")</f>
        <v/>
      </c>
      <c r="G346" s="18"/>
      <c r="H346" s="23">
        <f t="shared" ref="H346" si="30">IF(H345=1,IF(H344=H$2,1,-0.33),0)</f>
        <v>0</v>
      </c>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row>
    <row r="347" spans="1:40" x14ac:dyDescent="0.25">
      <c r="B347" s="87" t="s">
        <v>15</v>
      </c>
      <c r="C347" s="91" t="s">
        <v>271</v>
      </c>
      <c r="D347" s="39"/>
      <c r="E347" s="54" t="s">
        <v>12</v>
      </c>
      <c r="F347" s="26"/>
      <c r="G347" s="18"/>
      <c r="H347" s="23"/>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row>
    <row r="348" spans="1:40" x14ac:dyDescent="0.25">
      <c r="B348" s="45"/>
      <c r="C348" s="64"/>
      <c r="D348" s="39"/>
      <c r="E348" s="54" t="s">
        <v>13</v>
      </c>
      <c r="F348" s="19"/>
      <c r="G348" s="18"/>
      <c r="H348" s="23"/>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row>
    <row r="349" spans="1:40" s="16" customFormat="1" ht="18.95" customHeight="1" x14ac:dyDescent="0.25">
      <c r="A349" s="4"/>
      <c r="B349" s="140" t="s">
        <v>273</v>
      </c>
      <c r="C349" s="165" t="s">
        <v>272</v>
      </c>
      <c r="D349" s="40"/>
      <c r="E349" s="53"/>
      <c r="F349" s="28"/>
      <c r="G349" s="14"/>
      <c r="H349" s="14"/>
    </row>
    <row r="350" spans="1:40" x14ac:dyDescent="0.25">
      <c r="B350" s="87" t="s">
        <v>15</v>
      </c>
      <c r="C350" s="64" t="s">
        <v>274</v>
      </c>
      <c r="D350" s="39"/>
      <c r="E350" s="54" t="s">
        <v>9</v>
      </c>
      <c r="F350" s="26"/>
      <c r="G350" s="18"/>
      <c r="H350" s="20" t="b">
        <f>IF(D350="x",H$2,H$1)</f>
        <v>0</v>
      </c>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row>
    <row r="351" spans="1:40" x14ac:dyDescent="0.25">
      <c r="B351" s="87" t="s">
        <v>15</v>
      </c>
      <c r="C351" s="91" t="s">
        <v>275</v>
      </c>
      <c r="D351" s="39"/>
      <c r="E351" s="54" t="s">
        <v>10</v>
      </c>
      <c r="F351" s="21" t="str">
        <f>IF(H352=1,IF(H350=H$2,H350,""),"")</f>
        <v/>
      </c>
      <c r="G351" s="18"/>
      <c r="H351" s="20" t="str">
        <f>IF(E$397="comprobar",COUNTIF(D350:D354,"x"),"")</f>
        <v/>
      </c>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row>
    <row r="352" spans="1:40" x14ac:dyDescent="0.25">
      <c r="B352" s="87" t="s">
        <v>15</v>
      </c>
      <c r="C352" s="91" t="s">
        <v>276</v>
      </c>
      <c r="D352" s="39"/>
      <c r="E352" s="54" t="s">
        <v>11</v>
      </c>
      <c r="F352" s="22" t="str">
        <f>IF(H352=-0.33,IF(H350=H$1,H350,""),"")</f>
        <v/>
      </c>
      <c r="G352" s="18"/>
      <c r="H352" s="23">
        <f t="shared" ref="H352" si="31">IF(H351=1,IF(H350=H$2,1,-0.33),0)</f>
        <v>0</v>
      </c>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row>
    <row r="353" spans="1:40" x14ac:dyDescent="0.25">
      <c r="B353" s="87" t="s">
        <v>15</v>
      </c>
      <c r="C353" s="91" t="s">
        <v>277</v>
      </c>
      <c r="D353" s="39"/>
      <c r="E353" s="54" t="s">
        <v>12</v>
      </c>
      <c r="F353" s="26"/>
      <c r="G353" s="18"/>
      <c r="H353" s="23"/>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row>
    <row r="354" spans="1:40" x14ac:dyDescent="0.25">
      <c r="B354" s="45"/>
      <c r="C354" s="64"/>
      <c r="D354" s="39"/>
      <c r="E354" s="54" t="s">
        <v>13</v>
      </c>
      <c r="F354" s="19"/>
      <c r="G354" s="18"/>
      <c r="H354" s="23"/>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row>
    <row r="355" spans="1:40" s="16" customFormat="1" ht="15.95" customHeight="1" x14ac:dyDescent="0.25">
      <c r="A355" s="4"/>
      <c r="B355" s="140" t="s">
        <v>75</v>
      </c>
      <c r="C355" s="165" t="s">
        <v>278</v>
      </c>
      <c r="D355" s="40"/>
      <c r="E355" s="53"/>
      <c r="F355" s="28"/>
      <c r="G355" s="14"/>
      <c r="H355" s="14"/>
    </row>
    <row r="356" spans="1:40" x14ac:dyDescent="0.25">
      <c r="B356" s="87" t="s">
        <v>15</v>
      </c>
      <c r="C356" s="64" t="s">
        <v>279</v>
      </c>
      <c r="D356" s="39"/>
      <c r="E356" s="54" t="s">
        <v>9</v>
      </c>
      <c r="F356" s="26"/>
      <c r="G356" s="18"/>
      <c r="H356" s="20" t="b">
        <f>IF(D357="x",H$2,H$1)</f>
        <v>0</v>
      </c>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row>
    <row r="357" spans="1:40" x14ac:dyDescent="0.25">
      <c r="B357" s="87" t="s">
        <v>15</v>
      </c>
      <c r="C357" s="91" t="s">
        <v>280</v>
      </c>
      <c r="D357" s="39"/>
      <c r="E357" s="54" t="s">
        <v>10</v>
      </c>
      <c r="F357" s="21" t="str">
        <f>IF(H358=1,IF(H356=H$2,H356,""),"")</f>
        <v/>
      </c>
      <c r="G357" s="18"/>
      <c r="H357" s="20" t="str">
        <f>IF(E$397="comprobar",COUNTIF(D356:D360,"x"),"")</f>
        <v/>
      </c>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row>
    <row r="358" spans="1:40" x14ac:dyDescent="0.25">
      <c r="B358" s="87" t="s">
        <v>15</v>
      </c>
      <c r="C358" s="91" t="s">
        <v>281</v>
      </c>
      <c r="D358" s="39"/>
      <c r="E358" s="54" t="s">
        <v>11</v>
      </c>
      <c r="F358" s="22" t="str">
        <f>IF(H358=-0.33,IF(H356=H$1,H356,""),"")</f>
        <v/>
      </c>
      <c r="G358" s="18"/>
      <c r="H358" s="23">
        <f t="shared" ref="H358" si="32">IF(H357=1,IF(H356=H$2,1,-0.33),0)</f>
        <v>0</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row>
    <row r="359" spans="1:40" x14ac:dyDescent="0.25">
      <c r="B359" s="87" t="s">
        <v>15</v>
      </c>
      <c r="C359" s="91" t="s">
        <v>282</v>
      </c>
      <c r="D359" s="39"/>
      <c r="E359" s="54" t="s">
        <v>12</v>
      </c>
      <c r="F359" s="26"/>
      <c r="G359" s="18"/>
      <c r="H359" s="23"/>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row>
    <row r="360" spans="1:40" ht="18.75" x14ac:dyDescent="0.25">
      <c r="B360" s="136"/>
      <c r="C360" s="64"/>
      <c r="D360" s="39"/>
      <c r="E360" s="54" t="s">
        <v>13</v>
      </c>
      <c r="F360" s="19"/>
      <c r="G360" s="18"/>
      <c r="H360" s="23"/>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row>
    <row r="361" spans="1:40" s="16" customFormat="1" ht="18.95" customHeight="1" x14ac:dyDescent="0.25">
      <c r="A361" s="4"/>
      <c r="B361" s="140" t="s">
        <v>80</v>
      </c>
      <c r="C361" s="165" t="s">
        <v>283</v>
      </c>
      <c r="D361" s="40"/>
      <c r="E361" s="53"/>
      <c r="F361" s="28"/>
      <c r="G361" s="14"/>
      <c r="H361" s="14"/>
    </row>
    <row r="362" spans="1:40" x14ac:dyDescent="0.25">
      <c r="B362" s="87" t="s">
        <v>15</v>
      </c>
      <c r="C362" s="64" t="s">
        <v>284</v>
      </c>
      <c r="D362" s="39"/>
      <c r="E362" s="54" t="s">
        <v>9</v>
      </c>
      <c r="F362" s="26"/>
      <c r="G362" s="18"/>
      <c r="H362" s="20" t="b">
        <f>IF(D365="x",H$2,H$1)</f>
        <v>0</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row>
    <row r="363" spans="1:40" x14ac:dyDescent="0.25">
      <c r="B363" s="87" t="s">
        <v>15</v>
      </c>
      <c r="C363" s="91" t="s">
        <v>285</v>
      </c>
      <c r="D363" s="39"/>
      <c r="E363" s="54" t="s">
        <v>10</v>
      </c>
      <c r="F363" s="21" t="str">
        <f>IF(H364=1,IF(H362=H$2,H362,""),"")</f>
        <v/>
      </c>
      <c r="G363" s="18"/>
      <c r="H363" s="20" t="str">
        <f>IF(E$397="comprobar",COUNTIF(D362:D366,"x"),"")</f>
        <v/>
      </c>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row>
    <row r="364" spans="1:40" x14ac:dyDescent="0.25">
      <c r="B364" s="87" t="s">
        <v>15</v>
      </c>
      <c r="C364" s="91" t="s">
        <v>286</v>
      </c>
      <c r="D364" s="39"/>
      <c r="E364" s="54" t="s">
        <v>11</v>
      </c>
      <c r="F364" s="22" t="str">
        <f>IF(H364=-0.33,IF(H362=H$1,H362,""),"")</f>
        <v/>
      </c>
      <c r="G364" s="18"/>
      <c r="H364" s="23">
        <f t="shared" ref="H364" si="33">IF(H363=1,IF(H362=H$2,1,-0.33),0)</f>
        <v>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row>
    <row r="365" spans="1:40" x14ac:dyDescent="0.25">
      <c r="B365" s="87" t="s">
        <v>15</v>
      </c>
      <c r="C365" s="91" t="s">
        <v>287</v>
      </c>
      <c r="D365" s="39"/>
      <c r="E365" s="54" t="s">
        <v>12</v>
      </c>
      <c r="F365" s="26"/>
      <c r="G365" s="18"/>
      <c r="H365" s="23"/>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row>
    <row r="366" spans="1:40" x14ac:dyDescent="0.25">
      <c r="B366" s="45"/>
      <c r="C366" s="64"/>
      <c r="D366" s="39"/>
      <c r="E366" s="54" t="s">
        <v>13</v>
      </c>
      <c r="F366" s="19"/>
      <c r="G366" s="18"/>
      <c r="H366" s="23"/>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row>
    <row r="367" spans="1:40" s="16" customFormat="1" ht="18.95" customHeight="1" x14ac:dyDescent="0.25">
      <c r="A367" s="4"/>
      <c r="B367" s="140" t="s">
        <v>289</v>
      </c>
      <c r="C367" s="165" t="s">
        <v>288</v>
      </c>
      <c r="D367" s="40"/>
      <c r="E367" s="53"/>
      <c r="F367" s="28"/>
      <c r="G367" s="14"/>
      <c r="H367" s="14"/>
    </row>
    <row r="368" spans="1:40" x14ac:dyDescent="0.25">
      <c r="B368" s="87" t="s">
        <v>15</v>
      </c>
      <c r="C368" s="64" t="s">
        <v>290</v>
      </c>
      <c r="D368" s="39"/>
      <c r="E368" s="54" t="s">
        <v>9</v>
      </c>
      <c r="F368" s="26"/>
      <c r="G368" s="18"/>
      <c r="H368" s="20" t="b">
        <f>IF(D368="x",H$2,H$1)</f>
        <v>0</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row>
    <row r="369" spans="1:40" x14ac:dyDescent="0.25">
      <c r="B369" s="87" t="s">
        <v>15</v>
      </c>
      <c r="C369" s="91" t="s">
        <v>291</v>
      </c>
      <c r="D369" s="39"/>
      <c r="E369" s="54" t="s">
        <v>10</v>
      </c>
      <c r="F369" s="21" t="str">
        <f>IF(H370=1,IF(H368=H$2,H368,""),"")</f>
        <v/>
      </c>
      <c r="G369" s="18"/>
      <c r="H369" s="20" t="str">
        <f>IF(E$397="comprobar",COUNTIF(D368:D372,"x"),"")</f>
        <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row>
    <row r="370" spans="1:40" x14ac:dyDescent="0.25">
      <c r="B370" s="87" t="s">
        <v>15</v>
      </c>
      <c r="C370" s="91" t="s">
        <v>292</v>
      </c>
      <c r="D370" s="39"/>
      <c r="E370" s="54" t="s">
        <v>11</v>
      </c>
      <c r="F370" s="22" t="str">
        <f>IF(H370=-0.33,IF(H368=H$1,H368,""),"")</f>
        <v/>
      </c>
      <c r="G370" s="18"/>
      <c r="H370" s="23">
        <f t="shared" ref="H370" si="34">IF(H369=1,IF(H368=H$2,1,-0.33),0)</f>
        <v>0</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row>
    <row r="371" spans="1:40" x14ac:dyDescent="0.25">
      <c r="B371" s="87" t="s">
        <v>15</v>
      </c>
      <c r="C371" s="91" t="s">
        <v>293</v>
      </c>
      <c r="D371" s="39"/>
      <c r="E371" s="54" t="s">
        <v>12</v>
      </c>
      <c r="F371" s="26"/>
      <c r="G371" s="18"/>
      <c r="H371" s="23"/>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row>
    <row r="372" spans="1:40" x14ac:dyDescent="0.25">
      <c r="B372" s="45"/>
      <c r="C372" s="64"/>
      <c r="D372" s="39"/>
      <c r="E372" s="54" t="s">
        <v>13</v>
      </c>
      <c r="F372" s="19"/>
      <c r="G372" s="18"/>
      <c r="H372" s="23"/>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row>
    <row r="373" spans="1:40" s="16" customFormat="1" ht="15.95" customHeight="1" x14ac:dyDescent="0.25">
      <c r="A373" s="4"/>
      <c r="B373" s="140" t="s">
        <v>91</v>
      </c>
      <c r="C373" s="165" t="s">
        <v>294</v>
      </c>
      <c r="D373" s="40"/>
      <c r="E373" s="53"/>
      <c r="F373" s="28"/>
      <c r="G373" s="14"/>
      <c r="H373" s="14"/>
    </row>
    <row r="374" spans="1:40" x14ac:dyDescent="0.25">
      <c r="B374" s="87" t="s">
        <v>15</v>
      </c>
      <c r="C374" s="64" t="s">
        <v>295</v>
      </c>
      <c r="D374" s="39"/>
      <c r="E374" s="54" t="s">
        <v>9</v>
      </c>
      <c r="F374" s="26"/>
      <c r="G374" s="18"/>
      <c r="H374" s="20" t="b">
        <f>IF(D374="x",H$2,H$1)</f>
        <v>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row>
    <row r="375" spans="1:40" x14ac:dyDescent="0.25">
      <c r="B375" s="87" t="s">
        <v>15</v>
      </c>
      <c r="C375" s="91" t="s">
        <v>296</v>
      </c>
      <c r="D375" s="39"/>
      <c r="E375" s="54" t="s">
        <v>10</v>
      </c>
      <c r="F375" s="21" t="str">
        <f>IF(H376=1,IF(H374=H$2,H374,""),"")</f>
        <v/>
      </c>
      <c r="G375" s="18"/>
      <c r="H375" s="20" t="str">
        <f>IF(E$397="comprobar",COUNTIF(D374:D378,"x"),"")</f>
        <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row>
    <row r="376" spans="1:40" x14ac:dyDescent="0.25">
      <c r="B376" s="87" t="s">
        <v>15</v>
      </c>
      <c r="C376" s="91" t="s">
        <v>297</v>
      </c>
      <c r="D376" s="39"/>
      <c r="E376" s="54" t="s">
        <v>11</v>
      </c>
      <c r="F376" s="22" t="str">
        <f>IF(H376=-0.33,IF(H374=H$1,H374,""),"")</f>
        <v/>
      </c>
      <c r="G376" s="18"/>
      <c r="H376" s="23">
        <f t="shared" ref="H376" si="35">IF(H375=1,IF(H374=H$2,1,-0.33),0)</f>
        <v>0</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row>
    <row r="377" spans="1:40" x14ac:dyDescent="0.25">
      <c r="B377" s="87" t="s">
        <v>15</v>
      </c>
      <c r="C377" s="91" t="s">
        <v>298</v>
      </c>
      <c r="D377" s="39"/>
      <c r="E377" s="54" t="s">
        <v>12</v>
      </c>
      <c r="F377" s="26"/>
      <c r="G377" s="18"/>
      <c r="H377" s="23"/>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row>
    <row r="378" spans="1:40" x14ac:dyDescent="0.25">
      <c r="B378" s="45"/>
      <c r="C378" s="64"/>
      <c r="D378" s="39"/>
      <c r="E378" s="54" t="s">
        <v>13</v>
      </c>
      <c r="F378" s="19"/>
      <c r="G378" s="18"/>
      <c r="H378" s="23"/>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row>
    <row r="379" spans="1:40" s="16" customFormat="1" ht="18.95" customHeight="1" x14ac:dyDescent="0.25">
      <c r="A379" s="4"/>
      <c r="B379" s="140" t="s">
        <v>248</v>
      </c>
      <c r="C379" s="165" t="s">
        <v>299</v>
      </c>
      <c r="D379" s="40"/>
      <c r="E379" s="53"/>
      <c r="F379" s="28"/>
      <c r="G379" s="14"/>
      <c r="H379" s="14"/>
    </row>
    <row r="380" spans="1:40" x14ac:dyDescent="0.25">
      <c r="B380" s="87" t="s">
        <v>15</v>
      </c>
      <c r="C380" s="64" t="s">
        <v>300</v>
      </c>
      <c r="D380" s="39"/>
      <c r="E380" s="54" t="s">
        <v>9</v>
      </c>
      <c r="F380" s="26"/>
      <c r="G380" s="18"/>
      <c r="H380" s="20" t="b">
        <f>IF(D381="x",H$2,H$1)</f>
        <v>0</v>
      </c>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row>
    <row r="381" spans="1:40" x14ac:dyDescent="0.25">
      <c r="B381" s="87" t="s">
        <v>15</v>
      </c>
      <c r="C381" s="91" t="s">
        <v>301</v>
      </c>
      <c r="D381" s="39"/>
      <c r="E381" s="54" t="s">
        <v>10</v>
      </c>
      <c r="F381" s="21" t="str">
        <f>IF(H382=1,IF(H380=H$2,H380,""),"")</f>
        <v/>
      </c>
      <c r="G381" s="18"/>
      <c r="H381" s="20" t="str">
        <f>IF(E$397="comprobar",COUNTIF(D380:D384,"x"),"")</f>
        <v/>
      </c>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row>
    <row r="382" spans="1:40" x14ac:dyDescent="0.25">
      <c r="B382" s="87" t="s">
        <v>15</v>
      </c>
      <c r="C382" s="91" t="s">
        <v>302</v>
      </c>
      <c r="D382" s="39"/>
      <c r="E382" s="54" t="s">
        <v>11</v>
      </c>
      <c r="F382" s="22" t="str">
        <f>IF(H382=-0.33,IF(H380=H$1,H380,""),"")</f>
        <v/>
      </c>
      <c r="G382" s="18"/>
      <c r="H382" s="23">
        <f t="shared" ref="H382" si="36">IF(H381=1,IF(H380=H$2,1,-0.33),0)</f>
        <v>0</v>
      </c>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row>
    <row r="383" spans="1:40" x14ac:dyDescent="0.25">
      <c r="B383" s="87" t="s">
        <v>15</v>
      </c>
      <c r="C383" s="91" t="s">
        <v>271</v>
      </c>
      <c r="D383" s="39"/>
      <c r="E383" s="54" t="s">
        <v>12</v>
      </c>
      <c r="F383" s="26"/>
      <c r="G383" s="18"/>
      <c r="H383" s="23"/>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row>
    <row r="384" spans="1:40" x14ac:dyDescent="0.25">
      <c r="B384" s="45"/>
      <c r="C384" s="64"/>
      <c r="D384" s="39"/>
      <c r="E384" s="54" t="s">
        <v>13</v>
      </c>
      <c r="F384" s="19"/>
      <c r="G384" s="18"/>
      <c r="H384" s="23"/>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row>
    <row r="385" spans="1:40" s="16" customFormat="1" ht="18.95" customHeight="1" x14ac:dyDescent="0.25">
      <c r="A385" s="4"/>
      <c r="B385" s="140" t="s">
        <v>199</v>
      </c>
      <c r="C385" s="165" t="s">
        <v>303</v>
      </c>
      <c r="D385" s="40"/>
      <c r="E385" s="53"/>
      <c r="F385" s="28"/>
      <c r="G385" s="14"/>
      <c r="H385" s="14"/>
    </row>
    <row r="386" spans="1:40" x14ac:dyDescent="0.25">
      <c r="B386" s="87" t="s">
        <v>15</v>
      </c>
      <c r="C386" s="64" t="s">
        <v>304</v>
      </c>
      <c r="D386" s="39"/>
      <c r="E386" s="54" t="s">
        <v>9</v>
      </c>
      <c r="F386" s="26"/>
      <c r="G386" s="18"/>
      <c r="H386" s="20" t="b">
        <f>IF(D388="x",H$2,H$1)</f>
        <v>0</v>
      </c>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row>
    <row r="387" spans="1:40" x14ac:dyDescent="0.25">
      <c r="B387" s="87" t="s">
        <v>15</v>
      </c>
      <c r="C387" s="91" t="s">
        <v>305</v>
      </c>
      <c r="D387" s="39"/>
      <c r="E387" s="54" t="s">
        <v>10</v>
      </c>
      <c r="F387" s="21" t="str">
        <f>IF(H388=1,IF(H386=H$2,H386,""),"")</f>
        <v/>
      </c>
      <c r="G387" s="18"/>
      <c r="H387" s="20" t="str">
        <f>IF(E$397="comprobar",COUNTIF(D386:D390,"x"),"")</f>
        <v/>
      </c>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row>
    <row r="388" spans="1:40" x14ac:dyDescent="0.25">
      <c r="B388" s="87" t="s">
        <v>15</v>
      </c>
      <c r="C388" s="91" t="s">
        <v>306</v>
      </c>
      <c r="D388" s="39"/>
      <c r="E388" s="54" t="s">
        <v>11</v>
      </c>
      <c r="F388" s="22" t="str">
        <f>IF(H388=-0.33,IF(H386=H$1,H386,""),"")</f>
        <v/>
      </c>
      <c r="G388" s="18"/>
      <c r="H388" s="23">
        <f t="shared" ref="H388" si="37">IF(H387=1,IF(H386=H$2,1,-0.33),0)</f>
        <v>0</v>
      </c>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row>
    <row r="389" spans="1:40" x14ac:dyDescent="0.25">
      <c r="B389" s="87" t="s">
        <v>15</v>
      </c>
      <c r="C389" s="91" t="s">
        <v>307</v>
      </c>
      <c r="D389" s="39"/>
      <c r="E389" s="54" t="s">
        <v>12</v>
      </c>
      <c r="F389" s="26"/>
      <c r="G389" s="18"/>
      <c r="H389" s="23"/>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row>
    <row r="390" spans="1:40" s="35" customFormat="1" x14ac:dyDescent="0.25">
      <c r="A390" s="4"/>
      <c r="B390" s="137"/>
      <c r="C390" s="64"/>
      <c r="D390" s="39"/>
      <c r="E390" s="54" t="s">
        <v>14</v>
      </c>
      <c r="F390" s="19"/>
      <c r="G390" s="18"/>
      <c r="H390" s="23"/>
      <c r="I390" s="5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row>
    <row r="391" spans="1:40" s="16" customFormat="1" ht="18.95" customHeight="1" x14ac:dyDescent="0.25">
      <c r="A391" s="4"/>
      <c r="B391" s="140" t="s">
        <v>159</v>
      </c>
      <c r="C391" s="165" t="s">
        <v>308</v>
      </c>
      <c r="D391" s="80"/>
      <c r="E391" s="53"/>
      <c r="F391" s="28"/>
      <c r="G391" s="27"/>
      <c r="H391" s="14"/>
    </row>
    <row r="392" spans="1:40" x14ac:dyDescent="0.25">
      <c r="B392" s="87" t="s">
        <v>15</v>
      </c>
      <c r="C392" s="64" t="s">
        <v>309</v>
      </c>
      <c r="D392" s="39"/>
      <c r="E392" s="54" t="s">
        <v>9</v>
      </c>
      <c r="F392" s="26"/>
      <c r="G392" s="25"/>
      <c r="H392" s="20" t="b">
        <f>IF(D394="x",H$2,H$1)</f>
        <v>0</v>
      </c>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row>
    <row r="393" spans="1:40" x14ac:dyDescent="0.25">
      <c r="B393" s="87" t="s">
        <v>15</v>
      </c>
      <c r="C393" s="91" t="s">
        <v>310</v>
      </c>
      <c r="D393" s="39"/>
      <c r="E393" s="54" t="s">
        <v>10</v>
      </c>
      <c r="F393" s="21" t="str">
        <f>IF(H394=1,IF(H392=H$2,H392,""),"")</f>
        <v/>
      </c>
      <c r="G393" s="25"/>
      <c r="H393" s="20" t="str">
        <f>IF(E$397="comprobar",COUNTIF(D392:D396,"x"),"")</f>
        <v/>
      </c>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row>
    <row r="394" spans="1:40" x14ac:dyDescent="0.25">
      <c r="B394" s="87" t="s">
        <v>15</v>
      </c>
      <c r="C394" s="91" t="s">
        <v>311</v>
      </c>
      <c r="D394" s="39"/>
      <c r="E394" s="54" t="s">
        <v>11</v>
      </c>
      <c r="F394" s="22" t="str">
        <f>IF(H394=-0.33,IF(H392=H$1,H392,""),"")</f>
        <v/>
      </c>
      <c r="G394" s="25"/>
      <c r="H394" s="23">
        <f>IF(H393=1,IF(H392=H$2,1,-0.33),0)</f>
        <v>0</v>
      </c>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row>
    <row r="395" spans="1:40" x14ac:dyDescent="0.25">
      <c r="B395" s="87" t="s">
        <v>15</v>
      </c>
      <c r="C395" s="91" t="s">
        <v>312</v>
      </c>
      <c r="D395" s="39"/>
      <c r="E395" s="54" t="s">
        <v>12</v>
      </c>
      <c r="F395" s="26"/>
      <c r="G395" s="25"/>
      <c r="H395" s="23"/>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row>
    <row r="396" spans="1:40" ht="18.75" x14ac:dyDescent="0.25">
      <c r="B396" s="136"/>
      <c r="C396" s="64"/>
      <c r="D396" s="39"/>
      <c r="E396" s="54" t="s">
        <v>13</v>
      </c>
      <c r="F396" s="19"/>
      <c r="G396" s="25"/>
      <c r="H396" s="23"/>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row>
    <row r="397" spans="1:40" x14ac:dyDescent="0.25">
      <c r="B397" s="45"/>
      <c r="C397" s="42"/>
      <c r="D397" s="49"/>
      <c r="E397" s="55"/>
      <c r="F397" s="19"/>
      <c r="G397" s="18"/>
      <c r="H397" s="18"/>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row>
    <row r="398" spans="1:40" x14ac:dyDescent="0.25">
      <c r="B398" s="45"/>
      <c r="C398" s="17"/>
      <c r="D398" s="49"/>
      <c r="E398" s="58"/>
      <c r="F398" s="29" t="s">
        <v>8</v>
      </c>
      <c r="G398" s="18" t="s">
        <v>6</v>
      </c>
      <c r="H398" s="18" t="s">
        <v>7</v>
      </c>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row>
    <row r="399" spans="1:40" ht="19.5" x14ac:dyDescent="0.25">
      <c r="B399" s="45"/>
      <c r="C399" s="17"/>
      <c r="D399" s="83"/>
      <c r="E399" s="52"/>
      <c r="F399" s="30" t="str">
        <f>IF(E$397="comprobar",H394+H388+H382+H376+H370+H364+H358+H352+H346+H340,"")</f>
        <v/>
      </c>
      <c r="G399" s="18">
        <f>10/2</f>
        <v>5</v>
      </c>
      <c r="H399" s="18"/>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row>
    <row r="400" spans="1:40" ht="16.5" thickBot="1" x14ac:dyDescent="0.3">
      <c r="B400" s="46"/>
      <c r="C400" s="31"/>
      <c r="D400" s="32"/>
      <c r="E400" s="56"/>
      <c r="F400" s="33" t="str">
        <f>IF(F399&gt;G399,G398,H398)</f>
        <v>APROBADO</v>
      </c>
      <c r="G400" s="18"/>
      <c r="H400" s="18"/>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row>
    <row r="401" spans="1:40" ht="28.5" x14ac:dyDescent="0.45">
      <c r="B401" s="62" t="s">
        <v>17</v>
      </c>
      <c r="C401" s="129" t="s">
        <v>313</v>
      </c>
      <c r="D401" s="84"/>
      <c r="E401" s="84"/>
      <c r="F401" s="85"/>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row>
    <row r="402" spans="1:40" s="16" customFormat="1" ht="18.95" customHeight="1" x14ac:dyDescent="0.25">
      <c r="A402" s="4"/>
      <c r="B402" s="140" t="s">
        <v>64</v>
      </c>
      <c r="C402" s="148" t="s">
        <v>314</v>
      </c>
      <c r="D402" s="40"/>
      <c r="E402" s="53"/>
      <c r="F402" s="28"/>
      <c r="G402" s="14"/>
      <c r="H402" s="14"/>
    </row>
    <row r="403" spans="1:40" x14ac:dyDescent="0.25">
      <c r="B403" s="87" t="s">
        <v>15</v>
      </c>
      <c r="C403" s="64" t="s">
        <v>315</v>
      </c>
      <c r="D403" s="39"/>
      <c r="E403" s="54" t="s">
        <v>9</v>
      </c>
      <c r="F403" s="26"/>
      <c r="G403" s="25"/>
      <c r="H403" s="20" t="b">
        <f>IF(D403="x",H$2,H$1)</f>
        <v>0</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row>
    <row r="404" spans="1:40" x14ac:dyDescent="0.25">
      <c r="B404" s="87" t="s">
        <v>15</v>
      </c>
      <c r="C404" s="91" t="s">
        <v>316</v>
      </c>
      <c r="D404" s="39"/>
      <c r="E404" s="54" t="s">
        <v>10</v>
      </c>
      <c r="F404" s="21" t="str">
        <f>IF(H405=1,IF(H403=H$2,H403,""),"")</f>
        <v/>
      </c>
      <c r="G404" s="25"/>
      <c r="H404" s="20" t="str">
        <f>IF(E$462="comprobar",COUNTIF(D403:D407,"x"),"")</f>
        <v/>
      </c>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row>
    <row r="405" spans="1:40" x14ac:dyDescent="0.25">
      <c r="B405" s="87" t="s">
        <v>15</v>
      </c>
      <c r="C405" s="91" t="s">
        <v>317</v>
      </c>
      <c r="D405" s="39"/>
      <c r="E405" s="54" t="s">
        <v>11</v>
      </c>
      <c r="F405" s="22" t="str">
        <f>IF(H405=-0.33,IF(H403=H$1,H403,""),"")</f>
        <v/>
      </c>
      <c r="G405" s="25"/>
      <c r="H405" s="23">
        <f>IF(H404=1,IF(H403=H$2,1,-0.33),0)</f>
        <v>0</v>
      </c>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row>
    <row r="406" spans="1:40" x14ac:dyDescent="0.25">
      <c r="B406" s="87" t="s">
        <v>15</v>
      </c>
      <c r="C406" s="91" t="s">
        <v>318</v>
      </c>
      <c r="D406" s="39"/>
      <c r="E406" s="54" t="s">
        <v>12</v>
      </c>
      <c r="F406" s="26"/>
      <c r="G406" s="25"/>
      <c r="H406" s="23"/>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row>
    <row r="407" spans="1:40" x14ac:dyDescent="0.25">
      <c r="B407" s="65"/>
      <c r="C407" s="66"/>
      <c r="D407" s="39"/>
      <c r="E407" s="54" t="s">
        <v>13</v>
      </c>
      <c r="F407" s="19"/>
      <c r="G407" s="25"/>
      <c r="H407" s="23"/>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row>
    <row r="408" spans="1:40" s="16" customFormat="1" ht="18.95" customHeight="1" x14ac:dyDescent="0.25">
      <c r="A408" s="4"/>
      <c r="B408" s="140" t="s">
        <v>62</v>
      </c>
      <c r="C408" s="148" t="s">
        <v>319</v>
      </c>
      <c r="D408" s="40"/>
      <c r="E408" s="53"/>
      <c r="F408" s="79"/>
      <c r="G408" s="14"/>
      <c r="H408" s="14"/>
    </row>
    <row r="409" spans="1:40" x14ac:dyDescent="0.25">
      <c r="B409" s="87" t="s">
        <v>15</v>
      </c>
      <c r="C409" s="124" t="s">
        <v>320</v>
      </c>
      <c r="D409" s="39"/>
      <c r="E409" s="54" t="s">
        <v>9</v>
      </c>
      <c r="F409" s="26"/>
      <c r="G409" s="25"/>
      <c r="H409" s="20" t="b">
        <f>IF(D410="x",H$2,H$1)</f>
        <v>0</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row>
    <row r="410" spans="1:40" x14ac:dyDescent="0.25">
      <c r="B410" s="87" t="s">
        <v>15</v>
      </c>
      <c r="C410" s="107" t="s">
        <v>321</v>
      </c>
      <c r="D410" s="39"/>
      <c r="E410" s="54" t="s">
        <v>10</v>
      </c>
      <c r="F410" s="21" t="str">
        <f>IF(H411=1,IF(H409=H$2,H409,""),"")</f>
        <v/>
      </c>
      <c r="G410" s="25"/>
      <c r="H410" s="20" t="str">
        <f>IF(E$462="comprobar",COUNTIF(D409:D413,"x"),"")</f>
        <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row>
    <row r="411" spans="1:40" x14ac:dyDescent="0.25">
      <c r="B411" s="87" t="s">
        <v>15</v>
      </c>
      <c r="C411" s="91" t="s">
        <v>322</v>
      </c>
      <c r="D411" s="39"/>
      <c r="E411" s="54" t="s">
        <v>11</v>
      </c>
      <c r="F411" s="22" t="str">
        <f>IF(H411=-0.33,IF(H409=H$1,H409,""),"")</f>
        <v/>
      </c>
      <c r="G411" s="25"/>
      <c r="H411" s="23">
        <f>IF(H410=1,IF(H409=H$2,1,-0.33),0)</f>
        <v>0</v>
      </c>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row>
    <row r="412" spans="1:40" x14ac:dyDescent="0.25">
      <c r="B412" s="87" t="s">
        <v>15</v>
      </c>
      <c r="C412" s="91" t="s">
        <v>323</v>
      </c>
      <c r="D412" s="39"/>
      <c r="E412" s="54" t="s">
        <v>12</v>
      </c>
      <c r="F412" s="26"/>
      <c r="G412" s="25"/>
      <c r="H412" s="23"/>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row>
    <row r="413" spans="1:40" x14ac:dyDescent="0.25">
      <c r="B413" s="65"/>
      <c r="C413" s="66"/>
      <c r="D413" s="39"/>
      <c r="E413" s="54" t="s">
        <v>13</v>
      </c>
      <c r="F413" s="19"/>
      <c r="G413" s="25"/>
      <c r="H413" s="23"/>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row>
    <row r="414" spans="1:40" s="16" customFormat="1" ht="18.95" customHeight="1" x14ac:dyDescent="0.25">
      <c r="A414" s="4"/>
      <c r="B414" s="140" t="s">
        <v>69</v>
      </c>
      <c r="C414" s="125" t="s">
        <v>324</v>
      </c>
      <c r="D414" s="80"/>
      <c r="E414" s="53"/>
      <c r="F414" s="28"/>
      <c r="G414" s="14"/>
      <c r="H414" s="14"/>
    </row>
    <row r="415" spans="1:40" x14ac:dyDescent="0.25">
      <c r="B415" s="87" t="s">
        <v>15</v>
      </c>
      <c r="C415" s="126" t="s">
        <v>325</v>
      </c>
      <c r="D415" s="39"/>
      <c r="E415" s="54" t="s">
        <v>9</v>
      </c>
      <c r="F415" s="26"/>
      <c r="G415" s="25"/>
      <c r="H415" s="20" t="b">
        <f>IF(D416="x",H$2,H$1)</f>
        <v>0</v>
      </c>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row>
    <row r="416" spans="1:40" x14ac:dyDescent="0.25">
      <c r="B416" s="87" t="s">
        <v>15</v>
      </c>
      <c r="C416" s="127" t="s">
        <v>326</v>
      </c>
      <c r="D416" s="39"/>
      <c r="E416" s="54" t="s">
        <v>10</v>
      </c>
      <c r="F416" s="21" t="str">
        <f>IF(H417=1,IF(H415=H$2,H415,""),"")</f>
        <v/>
      </c>
      <c r="G416" s="25"/>
      <c r="H416" s="20" t="str">
        <f>IF(E$462="comprobar",COUNTIF(D415:D419,"x"),"")</f>
        <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row>
    <row r="417" spans="1:40" x14ac:dyDescent="0.25">
      <c r="B417" s="87" t="s">
        <v>15</v>
      </c>
      <c r="C417" s="107" t="s">
        <v>327</v>
      </c>
      <c r="D417" s="39"/>
      <c r="E417" s="54" t="s">
        <v>11</v>
      </c>
      <c r="F417" s="22" t="str">
        <f>IF(H417=-0.33,IF(H415=H$1,H415,""),"")</f>
        <v/>
      </c>
      <c r="G417" s="25"/>
      <c r="H417" s="23">
        <f>IF(H416=1,IF(H415=H$2,1,-0.33),0)</f>
        <v>0</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row>
    <row r="418" spans="1:40" x14ac:dyDescent="0.25">
      <c r="B418" s="87" t="s">
        <v>15</v>
      </c>
      <c r="C418" s="91" t="s">
        <v>328</v>
      </c>
      <c r="D418" s="39"/>
      <c r="E418" s="54" t="s">
        <v>12</v>
      </c>
      <c r="F418" s="26"/>
      <c r="G418" s="25"/>
      <c r="H418" s="23"/>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row>
    <row r="419" spans="1:40" x14ac:dyDescent="0.25">
      <c r="B419" s="65"/>
      <c r="C419" s="128"/>
      <c r="D419" s="39"/>
      <c r="E419" s="54" t="s">
        <v>13</v>
      </c>
      <c r="F419" s="19"/>
      <c r="G419" s="25"/>
      <c r="H419" s="23"/>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row>
    <row r="420" spans="1:40" s="16" customFormat="1" ht="18.95" customHeight="1" x14ac:dyDescent="0.25">
      <c r="A420" s="4"/>
      <c r="B420" s="140" t="s">
        <v>75</v>
      </c>
      <c r="C420" s="148" t="s">
        <v>329</v>
      </c>
      <c r="D420" s="80"/>
      <c r="E420" s="53"/>
      <c r="F420" s="28"/>
      <c r="G420" s="14"/>
      <c r="H420" s="14"/>
    </row>
    <row r="421" spans="1:40" x14ac:dyDescent="0.25">
      <c r="B421" s="87" t="s">
        <v>15</v>
      </c>
      <c r="C421" s="126" t="s">
        <v>330</v>
      </c>
      <c r="D421" s="39"/>
      <c r="E421" s="54" t="s">
        <v>9</v>
      </c>
      <c r="F421" s="26"/>
      <c r="G421" s="25"/>
      <c r="H421" s="20" t="b">
        <f>IF(D422="x",H$2,H$1)</f>
        <v>0</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row>
    <row r="422" spans="1:40" x14ac:dyDescent="0.25">
      <c r="B422" s="87" t="s">
        <v>15</v>
      </c>
      <c r="C422" s="91" t="s">
        <v>331</v>
      </c>
      <c r="D422" s="39"/>
      <c r="E422" s="54" t="s">
        <v>10</v>
      </c>
      <c r="F422" s="21" t="str">
        <f>IF(H423=1,IF(H421=H$2,H421,""),"")</f>
        <v/>
      </c>
      <c r="G422" s="25"/>
      <c r="H422" s="20" t="str">
        <f>IF(E$462="comprobar",COUNTIF(D421:D425,"x"),"")</f>
        <v/>
      </c>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row>
    <row r="423" spans="1:40" x14ac:dyDescent="0.25">
      <c r="B423" s="87" t="s">
        <v>15</v>
      </c>
      <c r="C423" s="127" t="s">
        <v>332</v>
      </c>
      <c r="D423" s="39"/>
      <c r="E423" s="54" t="s">
        <v>11</v>
      </c>
      <c r="F423" s="22" t="str">
        <f>IF(H423=-0.33,IF(H421=H$1,H421,""),"")</f>
        <v/>
      </c>
      <c r="G423" s="25"/>
      <c r="H423" s="23">
        <f>IF(H422=1,IF(H421=H$2,1,-0.33),0)</f>
        <v>0</v>
      </c>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row>
    <row r="424" spans="1:40" x14ac:dyDescent="0.25">
      <c r="B424" s="87" t="s">
        <v>15</v>
      </c>
      <c r="C424" s="107" t="s">
        <v>333</v>
      </c>
      <c r="D424" s="39"/>
      <c r="E424" s="54" t="s">
        <v>12</v>
      </c>
      <c r="F424" s="26"/>
      <c r="G424" s="25"/>
      <c r="H424" s="23"/>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row>
    <row r="425" spans="1:40" x14ac:dyDescent="0.25">
      <c r="B425" s="65"/>
      <c r="C425" s="66"/>
      <c r="D425" s="39"/>
      <c r="E425" s="54" t="s">
        <v>13</v>
      </c>
      <c r="F425" s="19"/>
      <c r="G425" s="25"/>
      <c r="H425" s="23"/>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row>
    <row r="426" spans="1:40" s="16" customFormat="1" x14ac:dyDescent="0.25">
      <c r="A426" s="4"/>
      <c r="B426" s="140" t="s">
        <v>80</v>
      </c>
      <c r="C426" s="90" t="s">
        <v>334</v>
      </c>
      <c r="D426" s="108"/>
      <c r="E426" s="53"/>
      <c r="F426" s="28"/>
      <c r="G426" s="14"/>
      <c r="H426" s="14"/>
    </row>
    <row r="427" spans="1:40" x14ac:dyDescent="0.25">
      <c r="B427" s="87" t="s">
        <v>15</v>
      </c>
      <c r="C427" s="64" t="s">
        <v>335</v>
      </c>
      <c r="D427" s="39"/>
      <c r="E427" s="54" t="s">
        <v>9</v>
      </c>
      <c r="F427" s="26"/>
      <c r="G427" s="25"/>
      <c r="H427" s="20" t="b">
        <f>IF(D429="x",H$2,H$1)</f>
        <v>0</v>
      </c>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row>
    <row r="428" spans="1:40" x14ac:dyDescent="0.25">
      <c r="B428" s="87" t="s">
        <v>15</v>
      </c>
      <c r="C428" s="107" t="s">
        <v>336</v>
      </c>
      <c r="D428" s="39"/>
      <c r="E428" s="54" t="s">
        <v>10</v>
      </c>
      <c r="F428" s="21" t="str">
        <f>IF(H429=1,IF(H427=H$2,H427,""),"")</f>
        <v/>
      </c>
      <c r="G428" s="25"/>
      <c r="H428" s="20" t="str">
        <f>IF(E$462="comprobar",COUNTIF(D427:D431,"x"),"")</f>
        <v/>
      </c>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row>
    <row r="429" spans="1:40" x14ac:dyDescent="0.25">
      <c r="B429" s="87" t="s">
        <v>15</v>
      </c>
      <c r="C429" s="107" t="s">
        <v>337</v>
      </c>
      <c r="D429" s="39"/>
      <c r="E429" s="54" t="s">
        <v>11</v>
      </c>
      <c r="F429" s="22" t="str">
        <f>IF(H429=-0.33,IF(H427=H$1,H427,""),"")</f>
        <v/>
      </c>
      <c r="G429" s="25"/>
      <c r="H429" s="23">
        <f>IF(H428=1,IF(H427=H$2,1,-0.33),0)</f>
        <v>0</v>
      </c>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row>
    <row r="430" spans="1:40" x14ac:dyDescent="0.25">
      <c r="B430" s="87" t="s">
        <v>15</v>
      </c>
      <c r="C430" s="107" t="s">
        <v>338</v>
      </c>
      <c r="D430" s="39"/>
      <c r="E430" s="54" t="s">
        <v>12</v>
      </c>
      <c r="F430" s="26"/>
      <c r="G430" s="25"/>
      <c r="H430" s="23"/>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row>
    <row r="431" spans="1:40" x14ac:dyDescent="0.25">
      <c r="B431" s="65"/>
      <c r="C431" s="66"/>
      <c r="D431" s="39"/>
      <c r="E431" s="54" t="s">
        <v>13</v>
      </c>
      <c r="F431" s="19"/>
      <c r="G431" s="25"/>
      <c r="H431" s="23"/>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row>
    <row r="432" spans="1:40" s="16" customFormat="1" x14ac:dyDescent="0.25">
      <c r="A432" s="4"/>
      <c r="B432" s="140" t="s">
        <v>85</v>
      </c>
      <c r="C432" s="90" t="s">
        <v>339</v>
      </c>
      <c r="D432" s="108"/>
      <c r="E432" s="53"/>
      <c r="F432" s="28"/>
      <c r="G432" s="14"/>
      <c r="H432" s="14"/>
    </row>
    <row r="433" spans="1:40" x14ac:dyDescent="0.25">
      <c r="B433" s="87" t="s">
        <v>15</v>
      </c>
      <c r="C433" s="64" t="s">
        <v>340</v>
      </c>
      <c r="D433" s="39"/>
      <c r="E433" s="54" t="s">
        <v>9</v>
      </c>
      <c r="F433" s="26"/>
      <c r="G433" s="25"/>
      <c r="H433" s="20" t="b">
        <f>IF(D433="x",H$2,H$1)</f>
        <v>0</v>
      </c>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row>
    <row r="434" spans="1:40" x14ac:dyDescent="0.25">
      <c r="B434" s="87" t="s">
        <v>15</v>
      </c>
      <c r="C434" s="107" t="s">
        <v>341</v>
      </c>
      <c r="D434" s="39"/>
      <c r="E434" s="54" t="s">
        <v>10</v>
      </c>
      <c r="F434" s="21" t="str">
        <f>IF(H435=1,IF(H433=H$2,H433,""),"")</f>
        <v/>
      </c>
      <c r="G434" s="25"/>
      <c r="H434" s="20" t="str">
        <f>IF(E$462="comprobar",COUNTIF(D433:D437,"x"),"")</f>
        <v/>
      </c>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row>
    <row r="435" spans="1:40" x14ac:dyDescent="0.25">
      <c r="B435" s="87" t="s">
        <v>15</v>
      </c>
      <c r="C435" s="107" t="s">
        <v>342</v>
      </c>
      <c r="D435" s="39"/>
      <c r="E435" s="54" t="s">
        <v>11</v>
      </c>
      <c r="F435" s="22" t="str">
        <f>IF(H435=-0.33,IF(H433=H$1,H433,""),"")</f>
        <v/>
      </c>
      <c r="G435" s="25"/>
      <c r="H435" s="23">
        <f>IF(H434=1,IF(H433=H$2,1,-0.33),0)</f>
        <v>0</v>
      </c>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row>
    <row r="436" spans="1:40" x14ac:dyDescent="0.25">
      <c r="B436" s="87" t="s">
        <v>15</v>
      </c>
      <c r="C436" s="107" t="s">
        <v>343</v>
      </c>
      <c r="D436" s="39"/>
      <c r="E436" s="54" t="s">
        <v>12</v>
      </c>
      <c r="F436" s="26"/>
      <c r="G436" s="25"/>
      <c r="H436" s="23"/>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row>
    <row r="437" spans="1:40" x14ac:dyDescent="0.25">
      <c r="B437" s="65"/>
      <c r="C437" s="66"/>
      <c r="D437" s="39"/>
      <c r="E437" s="54" t="s">
        <v>13</v>
      </c>
      <c r="F437" s="19"/>
      <c r="G437" s="25"/>
      <c r="H437" s="23"/>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row>
    <row r="438" spans="1:40" s="16" customFormat="1" x14ac:dyDescent="0.25">
      <c r="A438" s="4"/>
      <c r="B438" s="140" t="s">
        <v>91</v>
      </c>
      <c r="C438" s="166" t="s">
        <v>624</v>
      </c>
      <c r="D438" s="108"/>
      <c r="E438" s="53"/>
      <c r="F438" s="28"/>
      <c r="G438" s="14"/>
      <c r="H438" s="14"/>
    </row>
    <row r="439" spans="1:40" x14ac:dyDescent="0.25">
      <c r="B439" s="87" t="s">
        <v>15</v>
      </c>
      <c r="C439" s="64" t="s">
        <v>344</v>
      </c>
      <c r="D439" s="39"/>
      <c r="E439" s="54" t="s">
        <v>9</v>
      </c>
      <c r="F439" s="26"/>
      <c r="G439" s="25"/>
      <c r="H439" s="20" t="b">
        <f>IF(D441="x",H$2,H$1)</f>
        <v>0</v>
      </c>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row>
    <row r="440" spans="1:40" x14ac:dyDescent="0.25">
      <c r="B440" s="87" t="s">
        <v>15</v>
      </c>
      <c r="C440" s="107" t="s">
        <v>345</v>
      </c>
      <c r="D440" s="39"/>
      <c r="E440" s="54" t="s">
        <v>10</v>
      </c>
      <c r="F440" s="21" t="str">
        <f>IF(H441=1,IF(H439=H$2,H439,""),"")</f>
        <v/>
      </c>
      <c r="G440" s="25"/>
      <c r="H440" s="20" t="str">
        <f>IF(E$462="comprobar",COUNTIF(D439:D443,"x"),"")</f>
        <v/>
      </c>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row>
    <row r="441" spans="1:40" x14ac:dyDescent="0.25">
      <c r="B441" s="87" t="s">
        <v>15</v>
      </c>
      <c r="C441" s="107" t="s">
        <v>346</v>
      </c>
      <c r="D441" s="39"/>
      <c r="E441" s="54" t="s">
        <v>11</v>
      </c>
      <c r="F441" s="22" t="str">
        <f>IF(H441=-0.33,IF(H439=H$1,H439,""),"")</f>
        <v/>
      </c>
      <c r="G441" s="25"/>
      <c r="H441" s="23">
        <f>IF(H440=1,IF(H439=H$2,1,-0.33),0)</f>
        <v>0</v>
      </c>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row>
    <row r="442" spans="1:40" x14ac:dyDescent="0.25">
      <c r="B442" s="87" t="s">
        <v>15</v>
      </c>
      <c r="C442" s="107" t="s">
        <v>347</v>
      </c>
      <c r="D442" s="39"/>
      <c r="E442" s="54" t="s">
        <v>12</v>
      </c>
      <c r="F442" s="26"/>
      <c r="G442" s="25"/>
      <c r="H442" s="23"/>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row>
    <row r="443" spans="1:40" x14ac:dyDescent="0.25">
      <c r="B443" s="65"/>
      <c r="C443" s="66"/>
      <c r="D443" s="39"/>
      <c r="E443" s="54" t="s">
        <v>13</v>
      </c>
      <c r="F443" s="19"/>
      <c r="G443" s="25"/>
      <c r="H443" s="23"/>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row>
    <row r="444" spans="1:40" s="16" customFormat="1" x14ac:dyDescent="0.25">
      <c r="A444" s="4"/>
      <c r="B444" s="140" t="s">
        <v>92</v>
      </c>
      <c r="C444" s="90" t="s">
        <v>348</v>
      </c>
      <c r="D444" s="108"/>
      <c r="E444" s="53"/>
      <c r="F444" s="28"/>
      <c r="G444" s="14"/>
      <c r="H444" s="14"/>
    </row>
    <row r="445" spans="1:40" x14ac:dyDescent="0.25">
      <c r="B445" s="87" t="s">
        <v>15</v>
      </c>
      <c r="C445" s="64" t="s">
        <v>349</v>
      </c>
      <c r="D445" s="39"/>
      <c r="E445" s="54" t="s">
        <v>9</v>
      </c>
      <c r="F445" s="26"/>
      <c r="G445" s="25"/>
      <c r="H445" s="20" t="b">
        <f>IF(D447="x",H$2,H$1)</f>
        <v>0</v>
      </c>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row>
    <row r="446" spans="1:40" x14ac:dyDescent="0.25">
      <c r="B446" s="87" t="s">
        <v>15</v>
      </c>
      <c r="C446" s="107" t="s">
        <v>350</v>
      </c>
      <c r="D446" s="39"/>
      <c r="E446" s="54" t="s">
        <v>10</v>
      </c>
      <c r="F446" s="21" t="str">
        <f>IF(H447=1,IF(H445=H$2,H445,""),"")</f>
        <v/>
      </c>
      <c r="G446" s="25"/>
      <c r="H446" s="20" t="str">
        <f>IF(E$462="comprobar",COUNTIF(D445:D449,"x"),"")</f>
        <v/>
      </c>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row>
    <row r="447" spans="1:40" x14ac:dyDescent="0.25">
      <c r="B447" s="87" t="s">
        <v>15</v>
      </c>
      <c r="C447" s="107" t="s">
        <v>351</v>
      </c>
      <c r="D447" s="39"/>
      <c r="E447" s="54" t="s">
        <v>11</v>
      </c>
      <c r="F447" s="22" t="str">
        <f>IF(H447=-0.33,IF(H445=H$1,H445,""),"")</f>
        <v/>
      </c>
      <c r="G447" s="25"/>
      <c r="H447" s="23">
        <f>IF(H446=1,IF(H445=H$2,1,-0.33),0)</f>
        <v>0</v>
      </c>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row>
    <row r="448" spans="1:40" x14ac:dyDescent="0.25">
      <c r="B448" s="87" t="s">
        <v>15</v>
      </c>
      <c r="C448" s="107" t="s">
        <v>352</v>
      </c>
      <c r="D448" s="39"/>
      <c r="E448" s="54" t="s">
        <v>12</v>
      </c>
      <c r="F448" s="26"/>
      <c r="G448" s="25"/>
      <c r="H448" s="23"/>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row>
    <row r="449" spans="1:40" x14ac:dyDescent="0.25">
      <c r="B449" s="65"/>
      <c r="C449" s="66"/>
      <c r="D449" s="39"/>
      <c r="E449" s="54" t="s">
        <v>13</v>
      </c>
      <c r="F449" s="19"/>
      <c r="G449" s="25"/>
      <c r="H449" s="23"/>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row>
    <row r="450" spans="1:40" s="16" customFormat="1" x14ac:dyDescent="0.25">
      <c r="A450" s="4"/>
      <c r="B450" s="140" t="s">
        <v>199</v>
      </c>
      <c r="C450" s="90" t="s">
        <v>353</v>
      </c>
      <c r="D450" s="108"/>
      <c r="E450" s="53"/>
      <c r="F450" s="28"/>
      <c r="G450" s="14"/>
      <c r="H450" s="14"/>
    </row>
    <row r="451" spans="1:40" x14ac:dyDescent="0.25">
      <c r="B451" s="87" t="s">
        <v>15</v>
      </c>
      <c r="C451" s="64" t="s">
        <v>355</v>
      </c>
      <c r="D451" s="39"/>
      <c r="E451" s="54" t="s">
        <v>9</v>
      </c>
      <c r="F451" s="26"/>
      <c r="G451" s="25"/>
      <c r="H451" s="20" t="b">
        <f>IF(D454="x",H$2,H$1)</f>
        <v>0</v>
      </c>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row>
    <row r="452" spans="1:40" x14ac:dyDescent="0.25">
      <c r="B452" s="87" t="s">
        <v>15</v>
      </c>
      <c r="C452" s="107" t="s">
        <v>356</v>
      </c>
      <c r="D452" s="39"/>
      <c r="E452" s="54" t="s">
        <v>10</v>
      </c>
      <c r="F452" s="21" t="str">
        <f>IF(H453=1,IF(H451=H$2,H451,""),"")</f>
        <v/>
      </c>
      <c r="G452" s="25"/>
      <c r="H452" s="20" t="str">
        <f>IF(E$462="comprobar",COUNTIF(D451:D455,"x"),"")</f>
        <v/>
      </c>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row>
    <row r="453" spans="1:40" x14ac:dyDescent="0.25">
      <c r="B453" s="87" t="s">
        <v>15</v>
      </c>
      <c r="C453" s="107" t="s">
        <v>357</v>
      </c>
      <c r="D453" s="39"/>
      <c r="E453" s="54" t="s">
        <v>11</v>
      </c>
      <c r="F453" s="22" t="str">
        <f>IF(H453=-0.33,IF(H451=H$1,H451,""),"")</f>
        <v/>
      </c>
      <c r="G453" s="25"/>
      <c r="H453" s="23">
        <f>IF(H452=1,IF(H451=H$2,1,-0.33),0)</f>
        <v>0</v>
      </c>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row>
    <row r="454" spans="1:40" x14ac:dyDescent="0.25">
      <c r="B454" s="87" t="s">
        <v>15</v>
      </c>
      <c r="C454" s="107" t="s">
        <v>354</v>
      </c>
      <c r="D454" s="39"/>
      <c r="E454" s="54" t="s">
        <v>12</v>
      </c>
      <c r="F454" s="26"/>
      <c r="G454" s="25"/>
      <c r="H454" s="23"/>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row>
    <row r="455" spans="1:40" x14ac:dyDescent="0.25">
      <c r="B455" s="65"/>
      <c r="C455" s="66"/>
      <c r="D455" s="39"/>
      <c r="E455" s="54" t="s">
        <v>13</v>
      </c>
      <c r="F455" s="19"/>
      <c r="G455" s="25"/>
      <c r="H455" s="23"/>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row>
    <row r="456" spans="1:40" s="16" customFormat="1" x14ac:dyDescent="0.25">
      <c r="A456" s="4"/>
      <c r="B456" s="140" t="s">
        <v>159</v>
      </c>
      <c r="C456" s="90" t="s">
        <v>358</v>
      </c>
      <c r="D456" s="108"/>
      <c r="E456" s="53"/>
      <c r="F456" s="28"/>
      <c r="G456" s="14"/>
      <c r="H456" s="14"/>
    </row>
    <row r="457" spans="1:40" x14ac:dyDescent="0.25">
      <c r="B457" s="87" t="s">
        <v>15</v>
      </c>
      <c r="C457" s="64" t="s">
        <v>359</v>
      </c>
      <c r="D457" s="39"/>
      <c r="E457" s="54" t="s">
        <v>9</v>
      </c>
      <c r="F457" s="26"/>
      <c r="G457" s="25"/>
      <c r="H457" s="20" t="b">
        <f>IF(D460="x",H$2,H$1)</f>
        <v>0</v>
      </c>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row>
    <row r="458" spans="1:40" x14ac:dyDescent="0.25">
      <c r="B458" s="87" t="s">
        <v>15</v>
      </c>
      <c r="C458" s="107" t="s">
        <v>360</v>
      </c>
      <c r="D458" s="39"/>
      <c r="E458" s="54" t="s">
        <v>10</v>
      </c>
      <c r="F458" s="21" t="str">
        <f>IF(H459=1,IF(H457=H$2,H457,""),"")</f>
        <v/>
      </c>
      <c r="G458" s="25"/>
      <c r="H458" s="20" t="str">
        <f>IF(E$462="comprobar",COUNTIF(D457:D461,"x"),"")</f>
        <v/>
      </c>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row>
    <row r="459" spans="1:40" x14ac:dyDescent="0.25">
      <c r="B459" s="87" t="s">
        <v>15</v>
      </c>
      <c r="C459" s="107" t="s">
        <v>361</v>
      </c>
      <c r="D459" s="39"/>
      <c r="E459" s="54" t="s">
        <v>11</v>
      </c>
      <c r="F459" s="22" t="str">
        <f>IF(H459=-0.33,IF(H457=H$1,H457,""),"")</f>
        <v/>
      </c>
      <c r="G459" s="25"/>
      <c r="H459" s="23">
        <f>IF(H458=1,IF(H457=H$2,1,-0.33),0)</f>
        <v>0</v>
      </c>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row>
    <row r="460" spans="1:40" x14ac:dyDescent="0.25">
      <c r="B460" s="87" t="s">
        <v>15</v>
      </c>
      <c r="C460" s="107" t="s">
        <v>362</v>
      </c>
      <c r="D460" s="39"/>
      <c r="E460" s="54" t="s">
        <v>12</v>
      </c>
      <c r="F460" s="26"/>
      <c r="G460" s="25"/>
      <c r="H460" s="23"/>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row>
    <row r="461" spans="1:40" x14ac:dyDescent="0.25">
      <c r="B461" s="65"/>
      <c r="C461" s="66"/>
      <c r="D461" s="39"/>
      <c r="E461" s="54" t="s">
        <v>13</v>
      </c>
      <c r="F461" s="19"/>
      <c r="G461" s="25"/>
      <c r="H461" s="23"/>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row>
    <row r="462" spans="1:40" x14ac:dyDescent="0.25">
      <c r="B462" s="65"/>
      <c r="C462" s="66"/>
      <c r="D462" s="49"/>
      <c r="E462" s="55"/>
      <c r="F462" s="19"/>
      <c r="H462" s="18"/>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row>
    <row r="463" spans="1:40" x14ac:dyDescent="0.25">
      <c r="B463" s="45"/>
      <c r="C463" s="41"/>
      <c r="D463" s="49"/>
      <c r="E463" s="55"/>
      <c r="F463" s="19"/>
      <c r="G463" s="18" t="s">
        <v>6</v>
      </c>
      <c r="H463" s="18" t="s">
        <v>7</v>
      </c>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row>
    <row r="464" spans="1:40" ht="19.5" x14ac:dyDescent="0.25">
      <c r="B464" s="45"/>
      <c r="C464" s="17"/>
      <c r="D464" s="83"/>
      <c r="E464" s="52"/>
      <c r="F464" s="30" t="str">
        <f>IF(E$462="comprobar",H405+H411+H417+H423+H429+H435+H441+H447+H453+H459,"")</f>
        <v/>
      </c>
      <c r="G464" s="18">
        <f>10/2</f>
        <v>5</v>
      </c>
      <c r="H464" s="18"/>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row>
    <row r="465" spans="1:40" ht="16.5" thickBot="1" x14ac:dyDescent="0.3">
      <c r="B465" s="46"/>
      <c r="C465" s="31"/>
      <c r="D465" s="32"/>
      <c r="E465" s="56"/>
      <c r="F465" s="33" t="str">
        <f>IF(F464&gt;G464,G463,H463)</f>
        <v>APROBADO</v>
      </c>
      <c r="G465" s="18"/>
      <c r="H465" s="18"/>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row>
    <row r="466" spans="1:40" ht="28.5" x14ac:dyDescent="0.45">
      <c r="B466" s="62" t="s">
        <v>17</v>
      </c>
      <c r="C466" s="84" t="s">
        <v>16</v>
      </c>
      <c r="D466" s="84"/>
      <c r="E466" s="84"/>
      <c r="F466" s="85"/>
    </row>
    <row r="467" spans="1:40" s="16" customFormat="1" x14ac:dyDescent="0.25">
      <c r="A467" s="4"/>
      <c r="B467" s="140" t="s">
        <v>64</v>
      </c>
      <c r="C467" s="90" t="s">
        <v>363</v>
      </c>
      <c r="D467" s="13"/>
      <c r="E467" s="13"/>
      <c r="F467" s="15"/>
      <c r="G467" s="27"/>
      <c r="H467" s="14"/>
    </row>
    <row r="468" spans="1:40" x14ac:dyDescent="0.25">
      <c r="B468" s="87" t="s">
        <v>15</v>
      </c>
      <c r="C468" s="134" t="s">
        <v>364</v>
      </c>
      <c r="D468" s="39"/>
      <c r="E468" s="83" t="s">
        <v>9</v>
      </c>
      <c r="F468" s="19"/>
      <c r="G468" s="25"/>
      <c r="H468" s="20" t="b">
        <f>IF(D470="x",H$2,H$1)</f>
        <v>0</v>
      </c>
    </row>
    <row r="469" spans="1:40" x14ac:dyDescent="0.25">
      <c r="B469" s="87" t="s">
        <v>15</v>
      </c>
      <c r="C469" s="134" t="s">
        <v>365</v>
      </c>
      <c r="D469" s="39"/>
      <c r="E469" s="83" t="s">
        <v>10</v>
      </c>
      <c r="F469" s="21" t="str">
        <f>IF(H470=1,IF(H468=H$2,H468,""),"")</f>
        <v/>
      </c>
      <c r="G469" s="25"/>
      <c r="H469" s="20" t="str">
        <f>IF(E$529="comprobar",COUNTIF(D468:D472,"x"),"")</f>
        <v/>
      </c>
    </row>
    <row r="470" spans="1:40" x14ac:dyDescent="0.25">
      <c r="B470" s="87" t="s">
        <v>15</v>
      </c>
      <c r="C470" s="134" t="s">
        <v>366</v>
      </c>
      <c r="D470" s="39"/>
      <c r="E470" s="83" t="s">
        <v>11</v>
      </c>
      <c r="F470" s="22" t="str">
        <f>IF(H470=-0.33,IF(H468=H$1,H468,""),"")</f>
        <v/>
      </c>
      <c r="G470" s="25"/>
      <c r="H470" s="23">
        <f>IF(H469=1,IF(H468=H$2,1,-0.33),0)</f>
        <v>0</v>
      </c>
    </row>
    <row r="471" spans="1:40" x14ac:dyDescent="0.25">
      <c r="B471" s="87" t="s">
        <v>15</v>
      </c>
      <c r="C471" s="134" t="s">
        <v>367</v>
      </c>
      <c r="D471" s="39"/>
      <c r="E471" s="83" t="s">
        <v>12</v>
      </c>
      <c r="F471" s="19"/>
      <c r="G471" s="25"/>
      <c r="H471" s="23"/>
    </row>
    <row r="472" spans="1:40" x14ac:dyDescent="0.25">
      <c r="B472" s="43"/>
      <c r="C472" s="134"/>
      <c r="D472" s="39"/>
      <c r="E472" s="83" t="s">
        <v>13</v>
      </c>
      <c r="F472" s="19"/>
      <c r="G472" s="18"/>
      <c r="H472" s="23"/>
    </row>
    <row r="473" spans="1:40" s="16" customFormat="1" x14ac:dyDescent="0.25">
      <c r="A473" s="4"/>
      <c r="B473" s="150" t="s">
        <v>62</v>
      </c>
      <c r="C473" s="12" t="s">
        <v>368</v>
      </c>
      <c r="D473" s="40"/>
      <c r="E473" s="13"/>
      <c r="F473" s="15"/>
      <c r="G473" s="27"/>
      <c r="H473" s="14"/>
    </row>
    <row r="474" spans="1:40" x14ac:dyDescent="0.25">
      <c r="B474" s="87" t="s">
        <v>15</v>
      </c>
      <c r="C474" s="134" t="s">
        <v>369</v>
      </c>
      <c r="D474" s="39"/>
      <c r="E474" s="83" t="s">
        <v>9</v>
      </c>
      <c r="F474" s="19"/>
      <c r="G474" s="25"/>
      <c r="H474" s="20" t="b">
        <f>IF(D474="x",H$2,H$1)</f>
        <v>0</v>
      </c>
    </row>
    <row r="475" spans="1:40" x14ac:dyDescent="0.25">
      <c r="B475" s="87" t="s">
        <v>15</v>
      </c>
      <c r="C475" s="134" t="s">
        <v>370</v>
      </c>
      <c r="D475" s="39"/>
      <c r="E475" s="83" t="s">
        <v>10</v>
      </c>
      <c r="F475" s="21" t="str">
        <f>IF(H476=1,IF(H474=H$2,H474,""),"")</f>
        <v/>
      </c>
      <c r="G475" s="25"/>
      <c r="H475" s="20" t="str">
        <f>IF(E$529="comprobar",COUNTIF(D474:D478,"x"),"")</f>
        <v/>
      </c>
    </row>
    <row r="476" spans="1:40" x14ac:dyDescent="0.25">
      <c r="B476" s="87" t="s">
        <v>15</v>
      </c>
      <c r="C476" t="s">
        <v>371</v>
      </c>
      <c r="D476" s="39"/>
      <c r="E476" s="83" t="s">
        <v>11</v>
      </c>
      <c r="F476" s="22" t="str">
        <f>IF(H476=-0.33,IF(H474=H$1,H474,""),"")</f>
        <v/>
      </c>
      <c r="G476" s="25"/>
      <c r="H476" s="23">
        <f t="shared" ref="H476" si="38">IF(H475=1,IF(H474=H$2,1,-0.33),0)</f>
        <v>0</v>
      </c>
    </row>
    <row r="477" spans="1:40" x14ac:dyDescent="0.25">
      <c r="B477" s="87" t="s">
        <v>15</v>
      </c>
      <c r="C477" s="134" t="s">
        <v>372</v>
      </c>
      <c r="D477" s="39"/>
      <c r="E477" s="83" t="s">
        <v>12</v>
      </c>
      <c r="F477" s="19"/>
      <c r="G477" s="25"/>
      <c r="H477" s="23"/>
    </row>
    <row r="478" spans="1:40" x14ac:dyDescent="0.25">
      <c r="B478" s="87"/>
      <c r="C478" s="134"/>
      <c r="D478" s="39"/>
      <c r="E478" s="83" t="s">
        <v>13</v>
      </c>
      <c r="F478" s="19"/>
      <c r="G478" s="18"/>
      <c r="H478" s="23"/>
    </row>
    <row r="479" spans="1:40" s="16" customFormat="1" x14ac:dyDescent="0.25">
      <c r="A479" s="4"/>
      <c r="B479" s="150" t="s">
        <v>69</v>
      </c>
      <c r="C479" s="135" t="s">
        <v>373</v>
      </c>
      <c r="D479" s="40"/>
      <c r="E479" s="13"/>
      <c r="F479" s="15"/>
      <c r="G479" s="27"/>
      <c r="H479" s="14"/>
    </row>
    <row r="480" spans="1:40" x14ac:dyDescent="0.25">
      <c r="B480" s="87" t="s">
        <v>15</v>
      </c>
      <c r="C480" s="134" t="s">
        <v>374</v>
      </c>
      <c r="D480" s="39"/>
      <c r="E480" s="83" t="s">
        <v>9</v>
      </c>
      <c r="F480" s="19"/>
      <c r="G480" s="25"/>
      <c r="H480" s="20" t="b">
        <f>IF(D482="x",H$2,H$1)</f>
        <v>0</v>
      </c>
    </row>
    <row r="481" spans="1:8" x14ac:dyDescent="0.25">
      <c r="B481" s="87" t="s">
        <v>15</v>
      </c>
      <c r="C481" s="134" t="s">
        <v>375</v>
      </c>
      <c r="D481" s="39"/>
      <c r="E481" s="83" t="s">
        <v>10</v>
      </c>
      <c r="F481" s="21" t="str">
        <f>IF(H482=1,IF(H480=H$2,H480,""),"")</f>
        <v/>
      </c>
      <c r="G481" s="25"/>
      <c r="H481" s="20" t="str">
        <f>IF(E$529="comprobar",COUNTIF(D480:D484,"x"),"")</f>
        <v/>
      </c>
    </row>
    <row r="482" spans="1:8" x14ac:dyDescent="0.25">
      <c r="B482" s="87" t="s">
        <v>15</v>
      </c>
      <c r="C482" s="134" t="s">
        <v>376</v>
      </c>
      <c r="D482" s="39"/>
      <c r="E482" s="83" t="s">
        <v>11</v>
      </c>
      <c r="F482" s="22" t="str">
        <f>IF(H482=-0.33,IF(H480=H$1,H480,""),"")</f>
        <v/>
      </c>
      <c r="G482" s="25"/>
      <c r="H482" s="23">
        <f t="shared" ref="H482" si="39">IF(H481=1,IF(H480=H$2,1,-0.33),0)</f>
        <v>0</v>
      </c>
    </row>
    <row r="483" spans="1:8" x14ac:dyDescent="0.25">
      <c r="B483" s="87" t="s">
        <v>15</v>
      </c>
      <c r="C483" s="134" t="s">
        <v>377</v>
      </c>
      <c r="D483" s="39"/>
      <c r="E483" s="83" t="s">
        <v>12</v>
      </c>
      <c r="F483" s="19"/>
      <c r="G483" s="25"/>
      <c r="H483" s="23"/>
    </row>
    <row r="484" spans="1:8" x14ac:dyDescent="0.25">
      <c r="B484" s="87"/>
      <c r="C484" s="134"/>
      <c r="D484" s="39"/>
      <c r="E484" s="83" t="s">
        <v>13</v>
      </c>
      <c r="F484" s="19"/>
      <c r="G484" s="18"/>
      <c r="H484" s="23"/>
    </row>
    <row r="485" spans="1:8" s="16" customFormat="1" x14ac:dyDescent="0.25">
      <c r="A485" s="4"/>
      <c r="B485" s="150" t="s">
        <v>75</v>
      </c>
      <c r="C485" s="131" t="s">
        <v>378</v>
      </c>
      <c r="D485" s="40"/>
      <c r="E485" s="13"/>
      <c r="F485" s="15"/>
      <c r="G485" s="27"/>
      <c r="H485" s="14"/>
    </row>
    <row r="486" spans="1:8" x14ac:dyDescent="0.25">
      <c r="B486" s="87" t="s">
        <v>15</v>
      </c>
      <c r="C486" s="133" t="s">
        <v>379</v>
      </c>
      <c r="D486" s="39"/>
      <c r="E486" s="83" t="s">
        <v>9</v>
      </c>
      <c r="F486" s="19"/>
      <c r="G486" s="25"/>
      <c r="H486" s="20" t="b">
        <f>IF(D486="x",H$2,H$1)</f>
        <v>0</v>
      </c>
    </row>
    <row r="487" spans="1:8" x14ac:dyDescent="0.25">
      <c r="B487" s="87" t="s">
        <v>15</v>
      </c>
      <c r="C487" s="134" t="s">
        <v>380</v>
      </c>
      <c r="D487" s="39"/>
      <c r="E487" s="83" t="s">
        <v>10</v>
      </c>
      <c r="F487" s="21" t="str">
        <f>IF(H488=1,IF(H486=H$2,H486,""),"")</f>
        <v/>
      </c>
      <c r="G487" s="25"/>
      <c r="H487" s="20" t="str">
        <f>IF(E$529="comprobar",COUNTIF(D486:D490,"x"),"")</f>
        <v/>
      </c>
    </row>
    <row r="488" spans="1:8" x14ac:dyDescent="0.25">
      <c r="B488" s="87" t="s">
        <v>15</v>
      </c>
      <c r="C488" s="134" t="s">
        <v>381</v>
      </c>
      <c r="D488" s="39"/>
      <c r="E488" s="83" t="s">
        <v>11</v>
      </c>
      <c r="F488" s="22" t="str">
        <f>IF(H488=-0.33,IF(H486=H$1,H486,""),"")</f>
        <v/>
      </c>
      <c r="G488" s="25"/>
      <c r="H488" s="23">
        <f t="shared" ref="H488" si="40">IF(H487=1,IF(H486=H$2,1,-0.33),0)</f>
        <v>0</v>
      </c>
    </row>
    <row r="489" spans="1:8" x14ac:dyDescent="0.25">
      <c r="B489" s="87" t="s">
        <v>15</v>
      </c>
      <c r="C489" t="s">
        <v>382</v>
      </c>
      <c r="D489" s="39"/>
      <c r="E489" s="83" t="s">
        <v>12</v>
      </c>
      <c r="F489" s="19"/>
      <c r="G489" s="25"/>
      <c r="H489" s="23"/>
    </row>
    <row r="490" spans="1:8" x14ac:dyDescent="0.25">
      <c r="B490" s="87"/>
      <c r="C490" s="17"/>
      <c r="D490" s="39"/>
      <c r="E490" s="83" t="s">
        <v>13</v>
      </c>
      <c r="F490" s="19"/>
      <c r="G490" s="18"/>
      <c r="H490" s="23"/>
    </row>
    <row r="491" spans="1:8" s="16" customFormat="1" x14ac:dyDescent="0.25">
      <c r="A491" s="4"/>
      <c r="B491" s="150" t="s">
        <v>80</v>
      </c>
      <c r="C491" s="12" t="s">
        <v>383</v>
      </c>
      <c r="D491" s="40"/>
      <c r="E491" s="13"/>
      <c r="F491" s="15"/>
      <c r="G491" s="27"/>
      <c r="H491" s="14"/>
    </row>
    <row r="492" spans="1:8" x14ac:dyDescent="0.25">
      <c r="B492" s="87" t="s">
        <v>15</v>
      </c>
      <c r="C492" s="133" t="s">
        <v>384</v>
      </c>
      <c r="D492" s="39"/>
      <c r="E492" s="83" t="s">
        <v>9</v>
      </c>
      <c r="F492" s="19"/>
      <c r="G492" s="25"/>
      <c r="H492" s="20" t="b">
        <f>IF(D494="x",H$2,H$1)</f>
        <v>0</v>
      </c>
    </row>
    <row r="493" spans="1:8" x14ac:dyDescent="0.25">
      <c r="B493" s="87" t="s">
        <v>15</v>
      </c>
      <c r="C493" s="134" t="s">
        <v>385</v>
      </c>
      <c r="D493" s="39"/>
      <c r="E493" s="83" t="s">
        <v>10</v>
      </c>
      <c r="F493" s="21" t="str">
        <f>IF(H494=1,IF(H492=H$2,H492,""),"")</f>
        <v/>
      </c>
      <c r="G493" s="25"/>
      <c r="H493" s="20" t="str">
        <f>IF(E$529="comprobar",COUNTIF(D492:D496,"x"),"")</f>
        <v/>
      </c>
    </row>
    <row r="494" spans="1:8" x14ac:dyDescent="0.25">
      <c r="B494" s="87" t="s">
        <v>15</v>
      </c>
      <c r="C494" s="134" t="s">
        <v>386</v>
      </c>
      <c r="D494" s="39"/>
      <c r="E494" s="83" t="s">
        <v>11</v>
      </c>
      <c r="F494" s="22" t="str">
        <f>IF(H494=-0.33,IF(H492=H$1,H492,""),"")</f>
        <v/>
      </c>
      <c r="G494" s="25"/>
      <c r="H494" s="23">
        <f t="shared" ref="H494" si="41">IF(H493=1,IF(H492=H$2,1,-0.33),0)</f>
        <v>0</v>
      </c>
    </row>
    <row r="495" spans="1:8" x14ac:dyDescent="0.25">
      <c r="B495" s="87" t="s">
        <v>15</v>
      </c>
      <c r="C495" s="134" t="s">
        <v>387</v>
      </c>
      <c r="D495" s="39"/>
      <c r="E495" s="83" t="s">
        <v>12</v>
      </c>
      <c r="F495" s="19"/>
      <c r="G495" s="25"/>
      <c r="H495" s="23"/>
    </row>
    <row r="496" spans="1:8" x14ac:dyDescent="0.25">
      <c r="B496" s="87"/>
      <c r="C496" s="17"/>
      <c r="D496" s="39"/>
      <c r="E496" s="83" t="s">
        <v>13</v>
      </c>
      <c r="F496" s="19"/>
      <c r="G496" s="18"/>
      <c r="H496" s="23"/>
    </row>
    <row r="497" spans="1:8" s="16" customFormat="1" x14ac:dyDescent="0.25">
      <c r="A497" s="4"/>
      <c r="B497" s="150" t="s">
        <v>85</v>
      </c>
      <c r="C497" s="135" t="s">
        <v>388</v>
      </c>
      <c r="D497" s="40"/>
      <c r="E497" s="13"/>
      <c r="F497" s="15"/>
      <c r="G497" s="27"/>
      <c r="H497" s="14"/>
    </row>
    <row r="498" spans="1:8" x14ac:dyDescent="0.25">
      <c r="B498" s="87" t="s">
        <v>15</v>
      </c>
      <c r="C498" s="133" t="s">
        <v>356</v>
      </c>
      <c r="D498" s="39"/>
      <c r="E498" s="83" t="s">
        <v>9</v>
      </c>
      <c r="F498" s="19"/>
      <c r="G498" s="25"/>
      <c r="H498" s="20" t="b">
        <f>IF(D498="x",H$2,H$1)</f>
        <v>0</v>
      </c>
    </row>
    <row r="499" spans="1:8" x14ac:dyDescent="0.25">
      <c r="B499" s="87" t="s">
        <v>15</v>
      </c>
      <c r="C499" s="134" t="s">
        <v>389</v>
      </c>
      <c r="D499" s="39"/>
      <c r="E499" s="83" t="s">
        <v>10</v>
      </c>
      <c r="F499" s="21" t="str">
        <f>IF(H500=1,IF(H498=H$2,H498,""),"")</f>
        <v/>
      </c>
      <c r="G499" s="25"/>
      <c r="H499" s="20" t="str">
        <f>IF(E$529="comprobar",COUNTIF(D498:D502,"x"),"")</f>
        <v/>
      </c>
    </row>
    <row r="500" spans="1:8" x14ac:dyDescent="0.25">
      <c r="B500" s="87" t="s">
        <v>15</v>
      </c>
      <c r="C500" s="134" t="s">
        <v>390</v>
      </c>
      <c r="D500" s="39"/>
      <c r="E500" s="83" t="s">
        <v>11</v>
      </c>
      <c r="F500" s="22" t="str">
        <f>IF(H500=-0.33,IF(H498=H$1,H498,""),"")</f>
        <v/>
      </c>
      <c r="G500" s="25"/>
      <c r="H500" s="23">
        <f t="shared" ref="H500" si="42">IF(H499=1,IF(H498=H$2,1,-0.33),0)</f>
        <v>0</v>
      </c>
    </row>
    <row r="501" spans="1:8" x14ac:dyDescent="0.25">
      <c r="B501" s="87" t="s">
        <v>15</v>
      </c>
      <c r="C501" s="134" t="s">
        <v>391</v>
      </c>
      <c r="D501" s="39"/>
      <c r="E501" s="83" t="s">
        <v>12</v>
      </c>
      <c r="F501" s="19"/>
      <c r="G501" s="25"/>
      <c r="H501" s="23"/>
    </row>
    <row r="502" spans="1:8" x14ac:dyDescent="0.25">
      <c r="B502" s="43"/>
      <c r="C502" s="17"/>
      <c r="D502" s="39"/>
      <c r="E502" s="83" t="s">
        <v>13</v>
      </c>
      <c r="F502" s="19"/>
      <c r="G502" s="18"/>
      <c r="H502" s="23"/>
    </row>
    <row r="503" spans="1:8" s="16" customFormat="1" x14ac:dyDescent="0.25">
      <c r="A503" s="4"/>
      <c r="B503" s="150" t="s">
        <v>91</v>
      </c>
      <c r="C503" s="12" t="s">
        <v>392</v>
      </c>
      <c r="D503" s="40"/>
      <c r="E503" s="13"/>
      <c r="F503" s="15"/>
      <c r="G503" s="27"/>
      <c r="H503" s="14"/>
    </row>
    <row r="504" spans="1:8" x14ac:dyDescent="0.25">
      <c r="B504" s="87" t="s">
        <v>15</v>
      </c>
      <c r="C504" s="133" t="s">
        <v>393</v>
      </c>
      <c r="D504" s="39"/>
      <c r="E504" s="83" t="s">
        <v>9</v>
      </c>
      <c r="F504" s="19"/>
      <c r="G504" s="25"/>
      <c r="H504" s="20" t="b">
        <f>IF(D506="x",H$2,H$1)</f>
        <v>0</v>
      </c>
    </row>
    <row r="505" spans="1:8" x14ac:dyDescent="0.25">
      <c r="B505" s="87" t="s">
        <v>15</v>
      </c>
      <c r="C505" s="134" t="s">
        <v>394</v>
      </c>
      <c r="D505" s="39"/>
      <c r="E505" s="83" t="s">
        <v>10</v>
      </c>
      <c r="F505" s="21" t="str">
        <f>IF(H506=1,IF(H504=H$2,H504,""),"")</f>
        <v/>
      </c>
      <c r="G505" s="25"/>
      <c r="H505" s="20" t="str">
        <f>IF(E$529="comprobar",COUNTIF(D504:D508,"x"),"")</f>
        <v/>
      </c>
    </row>
    <row r="506" spans="1:8" x14ac:dyDescent="0.25">
      <c r="B506" s="87" t="s">
        <v>15</v>
      </c>
      <c r="C506" s="134" t="s">
        <v>628</v>
      </c>
      <c r="D506" s="39"/>
      <c r="E506" s="83" t="s">
        <v>11</v>
      </c>
      <c r="F506" s="22" t="str">
        <f>IF(H506=-0.33,IF(H504=H$1,H504,""),"")</f>
        <v/>
      </c>
      <c r="G506" s="25"/>
      <c r="H506" s="23">
        <f t="shared" ref="H506" si="43">IF(H505=1,IF(H504=H$2,1,-0.33),0)</f>
        <v>0</v>
      </c>
    </row>
    <row r="507" spans="1:8" x14ac:dyDescent="0.25">
      <c r="B507" s="87" t="s">
        <v>15</v>
      </c>
      <c r="C507" s="133" t="s">
        <v>395</v>
      </c>
      <c r="D507" s="39"/>
      <c r="E507" s="83" t="s">
        <v>12</v>
      </c>
      <c r="F507" s="19"/>
      <c r="G507" s="25"/>
      <c r="H507" s="23"/>
    </row>
    <row r="508" spans="1:8" x14ac:dyDescent="0.25">
      <c r="B508" s="43"/>
      <c r="C508" s="134"/>
      <c r="D508" s="39"/>
      <c r="E508" s="83" t="s">
        <v>13</v>
      </c>
      <c r="F508" s="19"/>
      <c r="G508" s="18"/>
      <c r="H508" s="23"/>
    </row>
    <row r="509" spans="1:8" s="16" customFormat="1" x14ac:dyDescent="0.25">
      <c r="A509" s="4"/>
      <c r="B509" s="150" t="s">
        <v>92</v>
      </c>
      <c r="C509" s="12" t="s">
        <v>396</v>
      </c>
      <c r="D509" s="40"/>
      <c r="E509" s="13"/>
      <c r="F509" s="15"/>
      <c r="G509" s="27"/>
      <c r="H509" s="14"/>
    </row>
    <row r="510" spans="1:8" x14ac:dyDescent="0.25">
      <c r="B510" s="87" t="s">
        <v>15</v>
      </c>
      <c r="C510" s="133" t="s">
        <v>397</v>
      </c>
      <c r="D510" s="39"/>
      <c r="E510" s="83" t="s">
        <v>9</v>
      </c>
      <c r="F510" s="19"/>
      <c r="G510" s="25"/>
      <c r="H510" s="20" t="b">
        <f>IF(D512="x",H$2,H$1)</f>
        <v>0</v>
      </c>
    </row>
    <row r="511" spans="1:8" x14ac:dyDescent="0.25">
      <c r="B511" s="87" t="s">
        <v>15</v>
      </c>
      <c r="C511" s="133" t="s">
        <v>398</v>
      </c>
      <c r="D511" s="39"/>
      <c r="E511" s="83" t="s">
        <v>10</v>
      </c>
      <c r="F511" s="21" t="str">
        <f>IF(H512=1,IF(H510=H$2,H510,""),"")</f>
        <v/>
      </c>
      <c r="G511" s="25"/>
      <c r="H511" s="20" t="str">
        <f>IF(E$529="comprobar",COUNTIF(D510:D514,"x"),"")</f>
        <v/>
      </c>
    </row>
    <row r="512" spans="1:8" x14ac:dyDescent="0.25">
      <c r="B512" s="87" t="s">
        <v>15</v>
      </c>
      <c r="C512" s="133" t="s">
        <v>399</v>
      </c>
      <c r="D512" s="39"/>
      <c r="E512" s="83" t="s">
        <v>11</v>
      </c>
      <c r="F512" s="22" t="str">
        <f>IF(H512=-0.33,IF(H510=H$1,H510,""),"")</f>
        <v/>
      </c>
      <c r="G512" s="25"/>
      <c r="H512" s="23">
        <f t="shared" ref="H512" si="44">IF(H511=1,IF(H510=H$2,1,-0.33),0)</f>
        <v>0</v>
      </c>
    </row>
    <row r="513" spans="2:8" x14ac:dyDescent="0.25">
      <c r="B513" s="87" t="s">
        <v>15</v>
      </c>
      <c r="C513" s="133" t="s">
        <v>400</v>
      </c>
      <c r="D513" s="39"/>
      <c r="E513" s="83" t="s">
        <v>12</v>
      </c>
      <c r="F513" s="19"/>
      <c r="G513" s="25"/>
      <c r="H513" s="23"/>
    </row>
    <row r="514" spans="2:8" x14ac:dyDescent="0.25">
      <c r="B514" s="117"/>
      <c r="C514" s="17"/>
      <c r="D514" s="39"/>
      <c r="E514" s="83" t="s">
        <v>13</v>
      </c>
      <c r="F514" s="19"/>
      <c r="G514" s="18"/>
      <c r="H514" s="23"/>
    </row>
    <row r="515" spans="2:8" x14ac:dyDescent="0.25">
      <c r="B515" s="117"/>
      <c r="C515" s="17"/>
      <c r="D515" s="49"/>
      <c r="E515" s="149"/>
      <c r="F515" s="19"/>
      <c r="G515" s="18"/>
      <c r="H515" s="23"/>
    </row>
    <row r="516" spans="2:8" x14ac:dyDescent="0.25">
      <c r="B516" s="150" t="s">
        <v>199</v>
      </c>
      <c r="C516" s="12" t="s">
        <v>401</v>
      </c>
      <c r="D516" s="40"/>
      <c r="E516" s="13"/>
      <c r="F516" s="15"/>
      <c r="G516" s="27"/>
      <c r="H516" s="14"/>
    </row>
    <row r="517" spans="2:8" x14ac:dyDescent="0.25">
      <c r="B517" s="87" t="s">
        <v>15</v>
      </c>
      <c r="C517" s="133" t="s">
        <v>402</v>
      </c>
      <c r="D517" s="39"/>
      <c r="E517" s="149" t="s">
        <v>9</v>
      </c>
      <c r="F517" s="19"/>
      <c r="G517" s="25"/>
      <c r="H517" s="20" t="b">
        <f>IF(D517="x",H$2,H$1)</f>
        <v>0</v>
      </c>
    </row>
    <row r="518" spans="2:8" x14ac:dyDescent="0.25">
      <c r="B518" s="87" t="s">
        <v>15</v>
      </c>
      <c r="C518" s="133" t="s">
        <v>403</v>
      </c>
      <c r="D518" s="39"/>
      <c r="E518" s="149" t="s">
        <v>10</v>
      </c>
      <c r="F518" s="21" t="str">
        <f>IF(H519=1,IF(H517=H$2,H517,""),"")</f>
        <v/>
      </c>
      <c r="G518" s="25"/>
      <c r="H518" s="20" t="str">
        <f>IF(E$529="comprobar",COUNTIF(D517:D521,"x"),"")</f>
        <v/>
      </c>
    </row>
    <row r="519" spans="2:8" x14ac:dyDescent="0.25">
      <c r="B519" s="87" t="s">
        <v>15</v>
      </c>
      <c r="C519" s="133" t="s">
        <v>404</v>
      </c>
      <c r="D519" s="39"/>
      <c r="E519" s="149" t="s">
        <v>11</v>
      </c>
      <c r="F519" s="22" t="str">
        <f>IF(H519=-0.33,IF(H517=H$1,H517,""),"")</f>
        <v/>
      </c>
      <c r="G519" s="25"/>
      <c r="H519" s="23">
        <f t="shared" ref="H519" si="45">IF(H518=1,IF(H517=H$2,1,-0.33),0)</f>
        <v>0</v>
      </c>
    </row>
    <row r="520" spans="2:8" x14ac:dyDescent="0.25">
      <c r="B520" s="87" t="s">
        <v>15</v>
      </c>
      <c r="C520" s="133" t="s">
        <v>405</v>
      </c>
      <c r="D520" s="39"/>
      <c r="E520" s="149" t="s">
        <v>12</v>
      </c>
      <c r="F520" s="19"/>
      <c r="G520" s="25"/>
      <c r="H520" s="23"/>
    </row>
    <row r="521" spans="2:8" x14ac:dyDescent="0.25">
      <c r="B521" s="117"/>
      <c r="C521" s="17"/>
      <c r="D521" s="39"/>
      <c r="E521" s="149" t="s">
        <v>13</v>
      </c>
      <c r="F521" s="19"/>
      <c r="G521" s="18"/>
      <c r="H521" s="23"/>
    </row>
    <row r="522" spans="2:8" x14ac:dyDescent="0.25">
      <c r="B522" s="117"/>
      <c r="C522" s="17"/>
      <c r="D522" s="49"/>
      <c r="E522" s="149"/>
      <c r="F522" s="19"/>
      <c r="G522" s="18"/>
      <c r="H522" s="23"/>
    </row>
    <row r="523" spans="2:8" x14ac:dyDescent="0.25">
      <c r="B523" s="150" t="s">
        <v>159</v>
      </c>
      <c r="C523" s="12" t="s">
        <v>406</v>
      </c>
      <c r="D523" s="40"/>
      <c r="E523" s="13"/>
      <c r="F523" s="15"/>
      <c r="G523" s="27"/>
      <c r="H523" s="14"/>
    </row>
    <row r="524" spans="2:8" x14ac:dyDescent="0.25">
      <c r="B524" s="87" t="s">
        <v>15</v>
      </c>
      <c r="C524" s="133" t="s">
        <v>407</v>
      </c>
      <c r="D524" s="39"/>
      <c r="E524" s="149" t="s">
        <v>9</v>
      </c>
      <c r="F524" s="19"/>
      <c r="G524" s="25"/>
      <c r="H524" s="20" t="b">
        <f>IF(D526="x",H$2,H$1)</f>
        <v>0</v>
      </c>
    </row>
    <row r="525" spans="2:8" x14ac:dyDescent="0.25">
      <c r="B525" s="87" t="s">
        <v>15</v>
      </c>
      <c r="C525" s="133" t="s">
        <v>408</v>
      </c>
      <c r="D525" s="39"/>
      <c r="E525" s="149" t="s">
        <v>10</v>
      </c>
      <c r="F525" s="21" t="str">
        <f>IF(H526=1,IF(H524=H$2,H524,""),"")</f>
        <v/>
      </c>
      <c r="G525" s="25"/>
      <c r="H525" s="20" t="str">
        <f>IF(E$529="comprobar",COUNTIF(D524:D528,"x"),"")</f>
        <v/>
      </c>
    </row>
    <row r="526" spans="2:8" x14ac:dyDescent="0.25">
      <c r="B526" s="87" t="s">
        <v>15</v>
      </c>
      <c r="C526" s="133" t="s">
        <v>409</v>
      </c>
      <c r="D526" s="39"/>
      <c r="E526" s="149" t="s">
        <v>11</v>
      </c>
      <c r="F526" s="22" t="str">
        <f>IF(H526=-0.33,IF(H524=H$1,H524,""),"")</f>
        <v/>
      </c>
      <c r="G526" s="25"/>
      <c r="H526" s="23">
        <f t="shared" ref="H526" si="46">IF(H525=1,IF(H524=H$2,1,-0.33),0)</f>
        <v>0</v>
      </c>
    </row>
    <row r="527" spans="2:8" x14ac:dyDescent="0.25">
      <c r="B527" s="87" t="s">
        <v>15</v>
      </c>
      <c r="C527" s="133" t="s">
        <v>410</v>
      </c>
      <c r="D527" s="39"/>
      <c r="E527" s="149" t="s">
        <v>12</v>
      </c>
      <c r="F527" s="19"/>
      <c r="G527" s="25"/>
      <c r="H527" s="23"/>
    </row>
    <row r="528" spans="2:8" x14ac:dyDescent="0.25">
      <c r="B528" s="117"/>
      <c r="C528" s="17"/>
      <c r="D528" s="39"/>
      <c r="E528" s="149" t="s">
        <v>13</v>
      </c>
      <c r="F528" s="19"/>
      <c r="G528" s="18"/>
      <c r="H528" s="23"/>
    </row>
    <row r="529" spans="1:8" x14ac:dyDescent="0.25">
      <c r="B529" s="117"/>
      <c r="C529" s="17"/>
      <c r="D529" s="49"/>
      <c r="E529" s="55"/>
      <c r="F529" s="19"/>
      <c r="G529" s="18"/>
      <c r="H529" s="23"/>
    </row>
    <row r="530" spans="1:8" x14ac:dyDescent="0.25">
      <c r="B530" s="43"/>
      <c r="C530" s="8"/>
      <c r="D530" s="49"/>
      <c r="E530" s="60"/>
      <c r="F530" s="29" t="s">
        <v>8</v>
      </c>
      <c r="G530" s="18" t="s">
        <v>6</v>
      </c>
      <c r="H530" s="18" t="s">
        <v>7</v>
      </c>
    </row>
    <row r="531" spans="1:8" ht="19.5" x14ac:dyDescent="0.25">
      <c r="B531" s="43"/>
      <c r="C531" s="8"/>
      <c r="D531" s="171"/>
      <c r="E531" s="171"/>
      <c r="F531" s="30" t="str">
        <f>IF(E$529="comprobar",H512+H506+H500+H494+H488+H482+H476+H470+H519+H526,"")</f>
        <v/>
      </c>
      <c r="G531" s="18">
        <f>10/2</f>
        <v>5</v>
      </c>
      <c r="H531" s="18"/>
    </row>
    <row r="532" spans="1:8" ht="16.5" thickBot="1" x14ac:dyDescent="0.3">
      <c r="B532" s="67"/>
      <c r="C532" s="68"/>
      <c r="D532" s="32"/>
      <c r="E532" s="9"/>
      <c r="F532" s="33" t="str">
        <f>IF(F531&gt;G531,G530,H530)</f>
        <v>APROBADO</v>
      </c>
      <c r="G532" s="18"/>
      <c r="H532" s="18"/>
    </row>
    <row r="533" spans="1:8" ht="28.5" x14ac:dyDescent="0.45">
      <c r="B533" s="62" t="s">
        <v>17</v>
      </c>
      <c r="C533" s="84" t="s">
        <v>411</v>
      </c>
      <c r="D533" s="84"/>
      <c r="E533" s="84"/>
      <c r="F533" s="85"/>
    </row>
    <row r="534" spans="1:8" s="16" customFormat="1" ht="31.5" x14ac:dyDescent="0.25">
      <c r="A534" s="4"/>
      <c r="B534" s="152" t="s">
        <v>64</v>
      </c>
      <c r="C534" s="131" t="s">
        <v>412</v>
      </c>
      <c r="D534" s="13"/>
      <c r="E534" s="13"/>
      <c r="F534" s="15"/>
      <c r="G534" s="138"/>
      <c r="H534" s="14"/>
    </row>
    <row r="535" spans="1:8" x14ac:dyDescent="0.25">
      <c r="B535" s="87" t="s">
        <v>15</v>
      </c>
      <c r="C535" s="133" t="s">
        <v>413</v>
      </c>
      <c r="D535" s="39"/>
      <c r="E535" s="83" t="s">
        <v>9</v>
      </c>
      <c r="F535" s="19"/>
      <c r="G535" s="25"/>
      <c r="H535" s="20" t="b">
        <f>IF(D538="x",H$2,H$1)</f>
        <v>0</v>
      </c>
    </row>
    <row r="536" spans="1:8" x14ac:dyDescent="0.25">
      <c r="B536" s="87" t="s">
        <v>15</v>
      </c>
      <c r="C536" t="s">
        <v>414</v>
      </c>
      <c r="D536" s="39"/>
      <c r="E536" s="83" t="s">
        <v>10</v>
      </c>
      <c r="F536" s="21" t="str">
        <f>IF(H537=1,IF(H535=H$2,H535,""),"")</f>
        <v/>
      </c>
      <c r="G536" s="25"/>
      <c r="H536" s="20" t="str">
        <f>IF(E$594="comprobar",COUNTIF(D535:D539,"x"),"")</f>
        <v/>
      </c>
    </row>
    <row r="537" spans="1:8" x14ac:dyDescent="0.25">
      <c r="B537" s="87" t="s">
        <v>15</v>
      </c>
      <c r="C537" s="134" t="s">
        <v>415</v>
      </c>
      <c r="D537" s="39"/>
      <c r="E537" s="83" t="s">
        <v>11</v>
      </c>
      <c r="F537" s="22" t="str">
        <f>IF(H537=-0.33,IF(H535=H$1,H535,""),"")</f>
        <v/>
      </c>
      <c r="G537" s="25"/>
      <c r="H537" s="23">
        <f>IF(H536=1,IF(H535=H$2,1,-0.33),0)</f>
        <v>0</v>
      </c>
    </row>
    <row r="538" spans="1:8" x14ac:dyDescent="0.25">
      <c r="B538" s="87" t="s">
        <v>15</v>
      </c>
      <c r="C538" s="134" t="s">
        <v>416</v>
      </c>
      <c r="D538" s="39"/>
      <c r="E538" s="83" t="s">
        <v>12</v>
      </c>
      <c r="F538" s="19"/>
      <c r="G538" s="25"/>
      <c r="H538" s="23"/>
    </row>
    <row r="539" spans="1:8" x14ac:dyDescent="0.25">
      <c r="B539" s="132"/>
      <c r="C539" s="17"/>
      <c r="D539" s="39"/>
      <c r="E539" s="83" t="s">
        <v>13</v>
      </c>
      <c r="F539" s="19"/>
      <c r="G539" s="18"/>
      <c r="H539" s="23"/>
    </row>
    <row r="540" spans="1:8" s="16" customFormat="1" x14ac:dyDescent="0.25">
      <c r="A540" s="4"/>
      <c r="B540" s="130" t="s">
        <v>62</v>
      </c>
      <c r="C540" s="153" t="s">
        <v>417</v>
      </c>
      <c r="D540" s="40"/>
      <c r="E540" s="13"/>
      <c r="F540" s="15"/>
      <c r="G540" s="138"/>
      <c r="H540" s="14"/>
    </row>
    <row r="541" spans="1:8" x14ac:dyDescent="0.25">
      <c r="B541" s="87" t="s">
        <v>15</v>
      </c>
      <c r="C541" s="133" t="s">
        <v>418</v>
      </c>
      <c r="D541" s="39"/>
      <c r="E541" s="83" t="s">
        <v>9</v>
      </c>
      <c r="F541" s="19"/>
      <c r="G541" s="25"/>
      <c r="H541" s="20" t="b">
        <f>IF(D542="x",H$2,H$1)</f>
        <v>0</v>
      </c>
    </row>
    <row r="542" spans="1:8" x14ac:dyDescent="0.25">
      <c r="B542" s="87" t="s">
        <v>15</v>
      </c>
      <c r="C542" s="134" t="s">
        <v>419</v>
      </c>
      <c r="D542" s="39"/>
      <c r="E542" s="83" t="s">
        <v>10</v>
      </c>
      <c r="F542" s="21" t="str">
        <f>IF(H543=1,IF(H541=H$2,H541,""),"")</f>
        <v/>
      </c>
      <c r="G542" s="25"/>
      <c r="H542" s="20" t="str">
        <f>IF(E$594="comprobar",COUNTIF(D541:D545,"x"),"")</f>
        <v/>
      </c>
    </row>
    <row r="543" spans="1:8" x14ac:dyDescent="0.25">
      <c r="B543" s="87" t="s">
        <v>15</v>
      </c>
      <c r="C543" s="134" t="s">
        <v>420</v>
      </c>
      <c r="D543" s="39"/>
      <c r="E543" s="83" t="s">
        <v>11</v>
      </c>
      <c r="F543" s="22" t="str">
        <f>IF(H543=-0.33,IF(H541=H$1,H541,""),"")</f>
        <v/>
      </c>
      <c r="G543" s="25"/>
      <c r="H543" s="23">
        <f t="shared" ref="H543" si="47">IF(H542=1,IF(H541=H$2,1,-0.33),0)</f>
        <v>0</v>
      </c>
    </row>
    <row r="544" spans="1:8" x14ac:dyDescent="0.25">
      <c r="B544" s="87" t="s">
        <v>15</v>
      </c>
      <c r="C544" s="134" t="s">
        <v>421</v>
      </c>
      <c r="D544" s="39"/>
      <c r="E544" s="83" t="s">
        <v>12</v>
      </c>
      <c r="F544" s="19"/>
      <c r="G544" s="25"/>
      <c r="H544" s="23"/>
    </row>
    <row r="545" spans="1:8" x14ac:dyDescent="0.25">
      <c r="B545" s="132"/>
      <c r="C545" s="17"/>
      <c r="D545" s="39"/>
      <c r="E545" s="83" t="s">
        <v>13</v>
      </c>
      <c r="F545" s="19"/>
      <c r="G545" s="18"/>
      <c r="H545" s="23"/>
    </row>
    <row r="546" spans="1:8" s="16" customFormat="1" x14ac:dyDescent="0.25">
      <c r="A546" s="4"/>
      <c r="B546" s="130" t="s">
        <v>69</v>
      </c>
      <c r="C546" s="153" t="s">
        <v>422</v>
      </c>
      <c r="D546" s="40"/>
      <c r="E546" s="13"/>
      <c r="F546" s="15"/>
      <c r="G546" s="27"/>
      <c r="H546" s="14"/>
    </row>
    <row r="547" spans="1:8" x14ac:dyDescent="0.25">
      <c r="B547" s="87" t="s">
        <v>15</v>
      </c>
      <c r="C547" s="133" t="s">
        <v>423</v>
      </c>
      <c r="D547" s="39"/>
      <c r="E547" s="83" t="s">
        <v>9</v>
      </c>
      <c r="F547" s="19"/>
      <c r="G547" s="25"/>
      <c r="H547" s="20" t="b">
        <f>IF(D547="x",H$2,H$1)</f>
        <v>0</v>
      </c>
    </row>
    <row r="548" spans="1:8" x14ac:dyDescent="0.25">
      <c r="B548" s="87" t="s">
        <v>15</v>
      </c>
      <c r="C548" s="134" t="s">
        <v>424</v>
      </c>
      <c r="D548" s="39"/>
      <c r="E548" s="83" t="s">
        <v>10</v>
      </c>
      <c r="F548" s="21" t="str">
        <f>IF(H549=1,IF(H547=H$2,H547,""),"")</f>
        <v/>
      </c>
      <c r="G548" s="25"/>
      <c r="H548" s="20" t="str">
        <f>IF(E$594="comprobar",COUNTIF(D547:D551,"x"),"")</f>
        <v/>
      </c>
    </row>
    <row r="549" spans="1:8" x14ac:dyDescent="0.25">
      <c r="B549" s="87" t="s">
        <v>15</v>
      </c>
      <c r="C549" s="134" t="s">
        <v>425</v>
      </c>
      <c r="D549" s="39"/>
      <c r="E549" s="83" t="s">
        <v>11</v>
      </c>
      <c r="F549" s="22" t="str">
        <f>IF(H549=-0.33,IF(H547=H$1,H547,""),"")</f>
        <v/>
      </c>
      <c r="G549" s="25"/>
      <c r="H549" s="23">
        <f t="shared" ref="H549" si="48">IF(H548=1,IF(H547=H$2,1,-0.33),0)</f>
        <v>0</v>
      </c>
    </row>
    <row r="550" spans="1:8" x14ac:dyDescent="0.25">
      <c r="B550" s="87" t="s">
        <v>15</v>
      </c>
      <c r="C550" s="134" t="s">
        <v>426</v>
      </c>
      <c r="D550" s="39"/>
      <c r="E550" s="83" t="s">
        <v>12</v>
      </c>
      <c r="F550" s="19"/>
      <c r="G550" s="25"/>
      <c r="H550" s="23"/>
    </row>
    <row r="551" spans="1:8" x14ac:dyDescent="0.25">
      <c r="B551" s="132"/>
      <c r="C551" s="17"/>
      <c r="D551" s="39"/>
      <c r="E551" s="83" t="s">
        <v>13</v>
      </c>
      <c r="F551" s="19"/>
      <c r="G551" s="18"/>
      <c r="H551" s="23"/>
    </row>
    <row r="552" spans="1:8" s="16" customFormat="1" x14ac:dyDescent="0.25">
      <c r="A552" s="4"/>
      <c r="B552" s="130" t="s">
        <v>75</v>
      </c>
      <c r="C552" s="12" t="s">
        <v>626</v>
      </c>
      <c r="D552" s="40"/>
      <c r="E552" s="13"/>
      <c r="F552" s="15"/>
      <c r="G552" s="27"/>
      <c r="H552" s="14"/>
    </row>
    <row r="553" spans="1:8" x14ac:dyDescent="0.25">
      <c r="B553" s="87" t="s">
        <v>15</v>
      </c>
      <c r="C553" s="133" t="s">
        <v>427</v>
      </c>
      <c r="D553" s="39"/>
      <c r="E553" s="83" t="s">
        <v>9</v>
      </c>
      <c r="F553" s="19"/>
      <c r="G553" s="25"/>
      <c r="H553" s="20" t="b">
        <f>IF(D555="x",H$2,H$1)</f>
        <v>0</v>
      </c>
    </row>
    <row r="554" spans="1:8" x14ac:dyDescent="0.25">
      <c r="B554" s="87" t="s">
        <v>15</v>
      </c>
      <c r="C554" s="134" t="s">
        <v>428</v>
      </c>
      <c r="D554" s="39"/>
      <c r="E554" s="83" t="s">
        <v>10</v>
      </c>
      <c r="F554" s="21" t="str">
        <f>IF(H555=1,IF(H553=H$2,H553,""),"")</f>
        <v/>
      </c>
      <c r="G554" s="25"/>
      <c r="H554" s="20" t="str">
        <f>IF(E$594="comprobar",COUNTIF(D553:D557,"x"),"")</f>
        <v/>
      </c>
    </row>
    <row r="555" spans="1:8" x14ac:dyDescent="0.25">
      <c r="B555" s="87" t="s">
        <v>15</v>
      </c>
      <c r="C555" s="134" t="s">
        <v>429</v>
      </c>
      <c r="D555" s="39"/>
      <c r="E555" s="83" t="s">
        <v>11</v>
      </c>
      <c r="F555" s="22" t="str">
        <f>IF(H555=-0.33,IF(H553=H$1,H553,""),"")</f>
        <v/>
      </c>
      <c r="G555" s="25"/>
      <c r="H555" s="23">
        <f t="shared" ref="H555" si="49">IF(H554=1,IF(H553=H$2,1,-0.33),0)</f>
        <v>0</v>
      </c>
    </row>
    <row r="556" spans="1:8" x14ac:dyDescent="0.25">
      <c r="B556" s="87" t="s">
        <v>15</v>
      </c>
      <c r="C556" s="155">
        <v>192168100216</v>
      </c>
      <c r="D556" s="39"/>
      <c r="E556" s="83" t="s">
        <v>12</v>
      </c>
      <c r="F556" s="19"/>
      <c r="G556" s="25"/>
      <c r="H556" s="23"/>
    </row>
    <row r="557" spans="1:8" x14ac:dyDescent="0.25">
      <c r="B557" s="132"/>
      <c r="C557" s="17"/>
      <c r="D557" s="39"/>
      <c r="E557" s="83" t="s">
        <v>13</v>
      </c>
      <c r="F557" s="19"/>
      <c r="G557" s="18"/>
      <c r="H557" s="23"/>
    </row>
    <row r="558" spans="1:8" s="16" customFormat="1" x14ac:dyDescent="0.25">
      <c r="A558" s="4"/>
      <c r="B558" s="130" t="s">
        <v>80</v>
      </c>
      <c r="C558" s="135" t="s">
        <v>625</v>
      </c>
      <c r="D558" s="40"/>
      <c r="E558" s="13"/>
      <c r="F558" s="15"/>
      <c r="G558" s="27"/>
      <c r="H558" s="14"/>
    </row>
    <row r="559" spans="1:8" x14ac:dyDescent="0.25">
      <c r="B559" s="87" t="s">
        <v>15</v>
      </c>
      <c r="C559" s="133" t="s">
        <v>430</v>
      </c>
      <c r="D559" s="39"/>
      <c r="E559" s="83" t="s">
        <v>9</v>
      </c>
      <c r="F559" s="19"/>
      <c r="G559" s="25"/>
      <c r="H559" s="20" t="b">
        <f>IF(D561="x",H$2,H$1)</f>
        <v>0</v>
      </c>
    </row>
    <row r="560" spans="1:8" x14ac:dyDescent="0.25">
      <c r="B560" s="87" t="s">
        <v>15</v>
      </c>
      <c r="C560" s="134" t="s">
        <v>431</v>
      </c>
      <c r="D560" s="39"/>
      <c r="E560" s="83" t="s">
        <v>10</v>
      </c>
      <c r="F560" s="21" t="str">
        <f>IF(H561=1,IF(H559=H$2,H559,""),"")</f>
        <v/>
      </c>
      <c r="G560" s="25"/>
      <c r="H560" s="20" t="str">
        <f>IF(E$594="comprobar",COUNTIF(D559:D563,"x"),"")</f>
        <v/>
      </c>
    </row>
    <row r="561" spans="1:8" x14ac:dyDescent="0.25">
      <c r="B561" s="87" t="s">
        <v>15</v>
      </c>
      <c r="C561" s="134" t="s">
        <v>432</v>
      </c>
      <c r="D561" s="39"/>
      <c r="E561" s="83" t="s">
        <v>11</v>
      </c>
      <c r="F561" s="22" t="str">
        <f>IF(H561=-0.33,IF(H559=H$1,H559,""),"")</f>
        <v/>
      </c>
      <c r="G561" s="25"/>
      <c r="H561" s="23">
        <f t="shared" ref="H561" si="50">IF(H560=1,IF(H559=H$2,1,-0.33),0)</f>
        <v>0</v>
      </c>
    </row>
    <row r="562" spans="1:8" x14ac:dyDescent="0.25">
      <c r="B562" s="87" t="s">
        <v>15</v>
      </c>
      <c r="C562" s="134" t="s">
        <v>433</v>
      </c>
      <c r="D562" s="39"/>
      <c r="E562" s="83" t="s">
        <v>12</v>
      </c>
      <c r="F562" s="19"/>
      <c r="G562" s="25"/>
      <c r="H562" s="23"/>
    </row>
    <row r="563" spans="1:8" x14ac:dyDescent="0.25">
      <c r="B563" s="132"/>
      <c r="C563" s="17"/>
      <c r="D563" s="39"/>
      <c r="E563" s="83" t="s">
        <v>13</v>
      </c>
      <c r="F563" s="19"/>
      <c r="G563" s="18"/>
      <c r="H563" s="23"/>
    </row>
    <row r="564" spans="1:8" s="16" customFormat="1" x14ac:dyDescent="0.25">
      <c r="A564" s="4"/>
      <c r="B564" s="130" t="s">
        <v>85</v>
      </c>
      <c r="C564" s="154" t="s">
        <v>434</v>
      </c>
      <c r="D564" s="40"/>
      <c r="E564" s="13"/>
      <c r="F564" s="15"/>
      <c r="G564" s="27"/>
      <c r="H564" s="14"/>
    </row>
    <row r="565" spans="1:8" x14ac:dyDescent="0.25">
      <c r="B565" s="87" t="s">
        <v>15</v>
      </c>
      <c r="C565" s="133" t="s">
        <v>435</v>
      </c>
      <c r="D565" s="39"/>
      <c r="E565" s="83" t="s">
        <v>9</v>
      </c>
      <c r="F565" s="19"/>
      <c r="G565" s="25"/>
      <c r="H565" s="20" t="b">
        <f>IF(D565="x",H$2,H$1)</f>
        <v>0</v>
      </c>
    </row>
    <row r="566" spans="1:8" x14ac:dyDescent="0.25">
      <c r="B566" s="87" t="s">
        <v>15</v>
      </c>
      <c r="C566" s="134" t="s">
        <v>436</v>
      </c>
      <c r="D566" s="39"/>
      <c r="E566" s="83" t="s">
        <v>10</v>
      </c>
      <c r="F566" s="21" t="str">
        <f>IF(H567=1,IF(H565=H$2,H565,""),"")</f>
        <v/>
      </c>
      <c r="G566" s="25"/>
      <c r="H566" s="20" t="str">
        <f>IF(E$594="comprobar",COUNTIF(D565:D569,"x"),"")</f>
        <v/>
      </c>
    </row>
    <row r="567" spans="1:8" x14ac:dyDescent="0.25">
      <c r="B567" s="87" t="s">
        <v>15</v>
      </c>
      <c r="C567" s="134" t="s">
        <v>437</v>
      </c>
      <c r="D567" s="39"/>
      <c r="E567" s="83" t="s">
        <v>11</v>
      </c>
      <c r="F567" s="22" t="str">
        <f>IF(H567=-0.33,IF(H565=H$1,H565,""),"")</f>
        <v/>
      </c>
      <c r="G567" s="25"/>
      <c r="H567" s="23">
        <f t="shared" ref="H567" si="51">IF(H566=1,IF(H565=H$2,1,-0.33),0)</f>
        <v>0</v>
      </c>
    </row>
    <row r="568" spans="1:8" x14ac:dyDescent="0.25">
      <c r="B568" s="87" t="s">
        <v>15</v>
      </c>
      <c r="C568" s="134" t="s">
        <v>438</v>
      </c>
      <c r="D568" s="39"/>
      <c r="E568" s="83" t="s">
        <v>12</v>
      </c>
      <c r="F568" s="19"/>
      <c r="G568" s="25"/>
      <c r="H568" s="23"/>
    </row>
    <row r="569" spans="1:8" x14ac:dyDescent="0.25">
      <c r="B569" s="132"/>
      <c r="C569" s="17"/>
      <c r="D569" s="39"/>
      <c r="E569" s="83" t="s">
        <v>13</v>
      </c>
      <c r="F569" s="19"/>
      <c r="G569" s="18"/>
      <c r="H569" s="23"/>
    </row>
    <row r="570" spans="1:8" s="16" customFormat="1" x14ac:dyDescent="0.25">
      <c r="A570" s="4"/>
      <c r="B570" s="130" t="s">
        <v>91</v>
      </c>
      <c r="C570" s="153" t="s">
        <v>439</v>
      </c>
      <c r="D570" s="40"/>
      <c r="E570" s="13"/>
      <c r="F570" s="15"/>
      <c r="G570" s="27"/>
      <c r="H570" s="14"/>
    </row>
    <row r="571" spans="1:8" x14ac:dyDescent="0.25">
      <c r="B571" s="87" t="s">
        <v>15</v>
      </c>
      <c r="C571" s="133" t="s">
        <v>441</v>
      </c>
      <c r="D571" s="39"/>
      <c r="E571" s="83" t="s">
        <v>9</v>
      </c>
      <c r="F571" s="19"/>
      <c r="G571" s="25"/>
      <c r="H571" s="20" t="b">
        <f>IF(D574="x",H$2,H$1)</f>
        <v>0</v>
      </c>
    </row>
    <row r="572" spans="1:8" x14ac:dyDescent="0.25">
      <c r="B572" s="87" t="s">
        <v>15</v>
      </c>
      <c r="C572" s="134" t="s">
        <v>442</v>
      </c>
      <c r="D572" s="39"/>
      <c r="E572" s="83" t="s">
        <v>10</v>
      </c>
      <c r="F572" s="21" t="str">
        <f>IF(H573=1,IF(H571=H$2,H571,""),"")</f>
        <v/>
      </c>
      <c r="G572" s="25"/>
      <c r="H572" s="20" t="str">
        <f>IF(E$594="comprobar",COUNTIF(D571:D575,"x"),"")</f>
        <v/>
      </c>
    </row>
    <row r="573" spans="1:8" x14ac:dyDescent="0.25">
      <c r="B573" s="87" t="s">
        <v>15</v>
      </c>
      <c r="C573" s="134" t="s">
        <v>443</v>
      </c>
      <c r="D573" s="39"/>
      <c r="E573" s="83" t="s">
        <v>11</v>
      </c>
      <c r="F573" s="22" t="str">
        <f>IF(H573=-0.33,IF(H571=H$1,H571,""),"")</f>
        <v/>
      </c>
      <c r="G573" s="25"/>
      <c r="H573" s="23">
        <f t="shared" ref="H573" si="52">IF(H572=1,IF(H571=H$2,1,-0.33),0)</f>
        <v>0</v>
      </c>
    </row>
    <row r="574" spans="1:8" x14ac:dyDescent="0.25">
      <c r="B574" s="87" t="s">
        <v>15</v>
      </c>
      <c r="C574" s="134" t="s">
        <v>440</v>
      </c>
      <c r="D574" s="39"/>
      <c r="E574" s="83" t="s">
        <v>12</v>
      </c>
      <c r="F574" s="19"/>
      <c r="G574" s="25"/>
      <c r="H574" s="23"/>
    </row>
    <row r="575" spans="1:8" x14ac:dyDescent="0.25">
      <c r="B575" s="132"/>
      <c r="C575" s="17"/>
      <c r="D575" s="39"/>
      <c r="E575" s="83" t="s">
        <v>13</v>
      </c>
      <c r="F575" s="19"/>
      <c r="G575" s="18"/>
      <c r="H575" s="23"/>
    </row>
    <row r="576" spans="1:8" s="16" customFormat="1" ht="31.5" customHeight="1" x14ac:dyDescent="0.25">
      <c r="A576" s="4"/>
      <c r="B576" s="130" t="s">
        <v>92</v>
      </c>
      <c r="C576" s="167" t="s">
        <v>444</v>
      </c>
      <c r="D576" s="40"/>
      <c r="E576" s="13"/>
      <c r="F576" s="15"/>
      <c r="G576" s="27"/>
      <c r="H576" s="14"/>
    </row>
    <row r="577" spans="2:9" x14ac:dyDescent="0.25">
      <c r="B577" s="87" t="s">
        <v>15</v>
      </c>
      <c r="C577" s="133" t="s">
        <v>445</v>
      </c>
      <c r="D577" s="39"/>
      <c r="E577" s="83" t="s">
        <v>9</v>
      </c>
      <c r="F577" s="19"/>
      <c r="G577" s="25"/>
      <c r="H577" s="20" t="b">
        <f>IF(D580="x",H$2,H$1)</f>
        <v>0</v>
      </c>
    </row>
    <row r="578" spans="2:9" x14ac:dyDescent="0.25">
      <c r="B578" s="87" t="s">
        <v>15</v>
      </c>
      <c r="C578" s="134" t="s">
        <v>446</v>
      </c>
      <c r="D578" s="39"/>
      <c r="E578" s="83" t="s">
        <v>10</v>
      </c>
      <c r="F578" s="21" t="str">
        <f>IF(H579=1,IF(H577=H$2,H577,""),"")</f>
        <v/>
      </c>
      <c r="G578" s="25"/>
      <c r="H578" s="20" t="str">
        <f>IF(E$594="comprobar",COUNTIF(D577:D581,"x"),"")</f>
        <v/>
      </c>
    </row>
    <row r="579" spans="2:9" x14ac:dyDescent="0.25">
      <c r="B579" s="87" t="s">
        <v>15</v>
      </c>
      <c r="C579" s="134" t="s">
        <v>447</v>
      </c>
      <c r="D579" s="39"/>
      <c r="E579" s="83" t="s">
        <v>11</v>
      </c>
      <c r="F579" s="22" t="str">
        <f>IF(H579=-0.33,IF(H577=H$1,H577,""),"")</f>
        <v/>
      </c>
      <c r="G579" s="25"/>
      <c r="H579" s="23">
        <f t="shared" ref="H579" si="53">IF(H578=1,IF(H577=H$2,1,-0.33),0)</f>
        <v>0</v>
      </c>
    </row>
    <row r="580" spans="2:9" x14ac:dyDescent="0.25">
      <c r="B580" s="87" t="s">
        <v>15</v>
      </c>
      <c r="C580" s="134" t="s">
        <v>448</v>
      </c>
      <c r="D580" s="39"/>
      <c r="E580" s="83" t="s">
        <v>12</v>
      </c>
      <c r="F580" s="19"/>
      <c r="G580" s="25"/>
      <c r="H580" s="23"/>
    </row>
    <row r="581" spans="2:9" x14ac:dyDescent="0.25">
      <c r="B581" s="132"/>
      <c r="C581" s="17"/>
      <c r="D581" s="39"/>
      <c r="E581" s="83" t="s">
        <v>13</v>
      </c>
      <c r="F581" s="19"/>
      <c r="G581" s="18"/>
      <c r="H581" s="23"/>
    </row>
    <row r="582" spans="2:9" x14ac:dyDescent="0.25">
      <c r="B582" s="130" t="s">
        <v>199</v>
      </c>
      <c r="C582" s="153" t="s">
        <v>449</v>
      </c>
      <c r="D582" s="40"/>
      <c r="E582" s="13"/>
      <c r="F582" s="15"/>
      <c r="G582" s="27"/>
      <c r="H582" s="14"/>
      <c r="I582" s="16"/>
    </row>
    <row r="583" spans="2:9" x14ac:dyDescent="0.25">
      <c r="B583" s="87" t="s">
        <v>15</v>
      </c>
      <c r="C583" s="133" t="s">
        <v>450</v>
      </c>
      <c r="D583" s="39"/>
      <c r="E583" s="151" t="s">
        <v>9</v>
      </c>
      <c r="F583" s="19"/>
      <c r="G583" s="25"/>
      <c r="H583" s="20" t="b">
        <f>IF(D583="x",H$2,H$1)</f>
        <v>0</v>
      </c>
    </row>
    <row r="584" spans="2:9" x14ac:dyDescent="0.25">
      <c r="B584" s="87" t="s">
        <v>15</v>
      </c>
      <c r="C584" s="134" t="s">
        <v>451</v>
      </c>
      <c r="D584" s="39"/>
      <c r="E584" s="151" t="s">
        <v>10</v>
      </c>
      <c r="F584" s="21" t="str">
        <f>IF(H585=1,IF(H583=H$2,H583,""),"")</f>
        <v/>
      </c>
      <c r="G584" s="25"/>
      <c r="H584" s="20" t="str">
        <f>IF(E$594="comprobar",COUNTIF(D583:D587,"x"),"")</f>
        <v/>
      </c>
    </row>
    <row r="585" spans="2:9" x14ac:dyDescent="0.25">
      <c r="B585" s="87" t="s">
        <v>15</v>
      </c>
      <c r="C585" s="134" t="s">
        <v>452</v>
      </c>
      <c r="D585" s="39"/>
      <c r="E585" s="151" t="s">
        <v>11</v>
      </c>
      <c r="F585" s="22" t="str">
        <f>IF(H585=-0.33,IF(H583=H$1,H583,""),"")</f>
        <v/>
      </c>
      <c r="G585" s="25"/>
      <c r="H585" s="23">
        <f t="shared" ref="H585" si="54">IF(H584=1,IF(H583=H$2,1,-0.33),0)</f>
        <v>0</v>
      </c>
    </row>
    <row r="586" spans="2:9" x14ac:dyDescent="0.25">
      <c r="B586" s="87" t="s">
        <v>15</v>
      </c>
      <c r="C586" s="134" t="s">
        <v>453</v>
      </c>
      <c r="D586" s="39"/>
      <c r="E586" s="151" t="s">
        <v>12</v>
      </c>
      <c r="F586" s="19"/>
      <c r="G586" s="25"/>
      <c r="H586" s="23"/>
    </row>
    <row r="587" spans="2:9" x14ac:dyDescent="0.25">
      <c r="B587" s="132"/>
      <c r="C587" s="17"/>
      <c r="D587" s="39"/>
      <c r="E587" s="151" t="s">
        <v>13</v>
      </c>
      <c r="F587" s="19"/>
      <c r="G587" s="18"/>
      <c r="H587" s="23"/>
    </row>
    <row r="588" spans="2:9" ht="36.75" customHeight="1" x14ac:dyDescent="0.25">
      <c r="B588" s="130" t="s">
        <v>159</v>
      </c>
      <c r="C588" s="167" t="s">
        <v>454</v>
      </c>
      <c r="D588" s="40"/>
      <c r="E588" s="13"/>
      <c r="F588" s="15"/>
      <c r="G588" s="27"/>
      <c r="H588" s="14"/>
      <c r="I588" s="16"/>
    </row>
    <row r="589" spans="2:9" x14ac:dyDescent="0.25">
      <c r="B589" s="87" t="s">
        <v>15</v>
      </c>
      <c r="C589" s="133" t="s">
        <v>455</v>
      </c>
      <c r="D589" s="39"/>
      <c r="E589" s="151" t="s">
        <v>9</v>
      </c>
      <c r="F589" s="19"/>
      <c r="G589" s="25"/>
      <c r="H589" s="20" t="b">
        <f>IF(D589="x",H$2,H$1)</f>
        <v>0</v>
      </c>
    </row>
    <row r="590" spans="2:9" x14ac:dyDescent="0.25">
      <c r="B590" s="87" t="s">
        <v>15</v>
      </c>
      <c r="C590" s="134" t="s">
        <v>456</v>
      </c>
      <c r="D590" s="39"/>
      <c r="E590" s="151" t="s">
        <v>10</v>
      </c>
      <c r="F590" s="21" t="str">
        <f>IF(H591=1,IF(H589=H$2,H589,""),"")</f>
        <v/>
      </c>
      <c r="G590" s="25"/>
      <c r="H590" s="20" t="str">
        <f>IF(E$594="comprobar",COUNTIF(D589:D593,"x"),"")</f>
        <v/>
      </c>
    </row>
    <row r="591" spans="2:9" x14ac:dyDescent="0.25">
      <c r="B591" s="87" t="s">
        <v>15</v>
      </c>
      <c r="C591" s="134" t="s">
        <v>457</v>
      </c>
      <c r="D591" s="39"/>
      <c r="E591" s="151" t="s">
        <v>11</v>
      </c>
      <c r="F591" s="22" t="str">
        <f>IF(H591=-0.33,IF(H589=H$1,H589,""),"")</f>
        <v/>
      </c>
      <c r="G591" s="25"/>
      <c r="H591" s="23">
        <f t="shared" ref="H591" si="55">IF(H590=1,IF(H589=H$2,1,-0.33),0)</f>
        <v>0</v>
      </c>
    </row>
    <row r="592" spans="2:9" x14ac:dyDescent="0.25">
      <c r="B592" s="87" t="s">
        <v>15</v>
      </c>
      <c r="C592" s="134" t="s">
        <v>458</v>
      </c>
      <c r="D592" s="39"/>
      <c r="E592" s="151" t="s">
        <v>12</v>
      </c>
      <c r="F592" s="19"/>
      <c r="G592" s="25"/>
      <c r="H592" s="23"/>
    </row>
    <row r="593" spans="2:9" x14ac:dyDescent="0.25">
      <c r="B593" s="132"/>
      <c r="C593" s="17"/>
      <c r="D593" s="39"/>
      <c r="E593" s="151" t="s">
        <v>13</v>
      </c>
      <c r="F593" s="19"/>
      <c r="G593" s="18"/>
      <c r="H593" s="23"/>
    </row>
    <row r="594" spans="2:9" x14ac:dyDescent="0.25">
      <c r="B594" s="132"/>
      <c r="C594" s="17"/>
      <c r="D594" s="49"/>
      <c r="E594" s="55"/>
      <c r="F594" s="19"/>
      <c r="G594" s="18"/>
      <c r="H594" s="23"/>
    </row>
    <row r="595" spans="2:9" x14ac:dyDescent="0.25">
      <c r="B595" s="43"/>
      <c r="C595" s="8"/>
      <c r="D595" s="49"/>
      <c r="E595" s="60"/>
      <c r="F595" s="29" t="s">
        <v>8</v>
      </c>
      <c r="G595" s="18" t="s">
        <v>6</v>
      </c>
      <c r="H595" s="18" t="s">
        <v>7</v>
      </c>
    </row>
    <row r="596" spans="2:9" ht="20.25" thickBot="1" x14ac:dyDescent="0.3">
      <c r="B596" s="43"/>
      <c r="C596" s="8"/>
      <c r="D596" s="171"/>
      <c r="E596" s="171"/>
      <c r="F596" s="30" t="str">
        <f>IF(E594="comprobar",H579+H573+H567+H561+H555+H549+H543+H537+H585+H591,"")</f>
        <v/>
      </c>
      <c r="G596" s="18">
        <f>10/2</f>
        <v>5</v>
      </c>
      <c r="H596" s="18"/>
    </row>
    <row r="597" spans="2:9" ht="28.5" x14ac:dyDescent="0.45">
      <c r="B597" s="62" t="s">
        <v>17</v>
      </c>
      <c r="C597" s="157" t="s">
        <v>459</v>
      </c>
      <c r="D597" s="157"/>
      <c r="E597" s="157"/>
      <c r="F597" s="158"/>
    </row>
    <row r="598" spans="2:9" x14ac:dyDescent="0.25">
      <c r="B598" s="152" t="s">
        <v>64</v>
      </c>
      <c r="C598" s="131" t="s">
        <v>460</v>
      </c>
      <c r="D598" s="13"/>
      <c r="E598" s="13"/>
      <c r="F598" s="15"/>
      <c r="G598" s="138"/>
      <c r="H598" s="14"/>
      <c r="I598" s="16"/>
    </row>
    <row r="599" spans="2:9" x14ac:dyDescent="0.25">
      <c r="B599" s="87" t="s">
        <v>15</v>
      </c>
      <c r="C599" s="133" t="s">
        <v>461</v>
      </c>
      <c r="D599" s="39"/>
      <c r="E599" s="156" t="s">
        <v>9</v>
      </c>
      <c r="F599" s="19"/>
      <c r="G599" s="25"/>
      <c r="H599" s="20" t="b">
        <f>IF(D600="x",H$2,H$1)</f>
        <v>0</v>
      </c>
    </row>
    <row r="600" spans="2:9" x14ac:dyDescent="0.25">
      <c r="B600" s="87" t="s">
        <v>15</v>
      </c>
      <c r="C600" s="134" t="s">
        <v>462</v>
      </c>
      <c r="D600" s="39"/>
      <c r="E600" s="156" t="s">
        <v>10</v>
      </c>
      <c r="F600" s="21" t="str">
        <f>IF(H601=1,IF(H599=H$2,H599,""),"")</f>
        <v/>
      </c>
      <c r="G600" s="25"/>
      <c r="H600" s="20" t="str">
        <f>IF(E$658="comprobar",COUNTIF(D599:D603,"x"),"")</f>
        <v/>
      </c>
    </row>
    <row r="601" spans="2:9" x14ac:dyDescent="0.25">
      <c r="B601" s="87" t="s">
        <v>15</v>
      </c>
      <c r="C601" s="134" t="s">
        <v>463</v>
      </c>
      <c r="D601" s="39"/>
      <c r="E601" s="156" t="s">
        <v>11</v>
      </c>
      <c r="F601" s="22" t="str">
        <f>IF(H601=-0.33,IF(H599=H$1,H599,""),"")</f>
        <v/>
      </c>
      <c r="G601" s="25"/>
      <c r="H601" s="23">
        <f>IF(H600=1,IF(H599=H$2,1,-0.33),0)</f>
        <v>0</v>
      </c>
    </row>
    <row r="602" spans="2:9" x14ac:dyDescent="0.25">
      <c r="B602" s="87" t="s">
        <v>15</v>
      </c>
      <c r="C602" s="134" t="s">
        <v>464</v>
      </c>
      <c r="D602" s="39"/>
      <c r="E602" s="156" t="s">
        <v>12</v>
      </c>
      <c r="F602" s="19"/>
      <c r="G602" s="25"/>
      <c r="H602" s="23"/>
    </row>
    <row r="603" spans="2:9" x14ac:dyDescent="0.25">
      <c r="B603" s="132"/>
      <c r="C603" s="17"/>
      <c r="D603" s="39"/>
      <c r="E603" s="156" t="s">
        <v>13</v>
      </c>
      <c r="F603" s="19"/>
      <c r="G603" s="18"/>
      <c r="H603" s="23"/>
    </row>
    <row r="604" spans="2:9" x14ac:dyDescent="0.25">
      <c r="B604" s="130" t="s">
        <v>62</v>
      </c>
      <c r="C604" s="154" t="s">
        <v>465</v>
      </c>
      <c r="D604" s="40"/>
      <c r="E604" s="13"/>
      <c r="F604" s="15"/>
      <c r="G604" s="138"/>
      <c r="H604" s="14"/>
      <c r="I604" s="16"/>
    </row>
    <row r="605" spans="2:9" x14ac:dyDescent="0.25">
      <c r="B605" s="87" t="s">
        <v>15</v>
      </c>
      <c r="C605" s="134" t="s">
        <v>466</v>
      </c>
      <c r="D605" s="39"/>
      <c r="E605" s="156" t="s">
        <v>9</v>
      </c>
      <c r="F605" s="19"/>
      <c r="G605" s="25"/>
      <c r="H605" s="20" t="b">
        <f>IF(D605="x",H$2,H$1)</f>
        <v>0</v>
      </c>
    </row>
    <row r="606" spans="2:9" x14ac:dyDescent="0.25">
      <c r="B606" s="87" t="s">
        <v>15</v>
      </c>
      <c r="C606" s="134" t="s">
        <v>467</v>
      </c>
      <c r="D606" s="39"/>
      <c r="E606" s="156" t="s">
        <v>10</v>
      </c>
      <c r="F606" s="21" t="str">
        <f>IF(H607=1,IF(H605=H$2,H605,""),"")</f>
        <v/>
      </c>
      <c r="G606" s="25"/>
      <c r="H606" s="20" t="str">
        <f>IF(E$658="comprobar",COUNTIF(D605:D609,"x"),"")</f>
        <v/>
      </c>
    </row>
    <row r="607" spans="2:9" x14ac:dyDescent="0.25">
      <c r="B607" s="87" t="s">
        <v>15</v>
      </c>
      <c r="C607" s="134" t="s">
        <v>468</v>
      </c>
      <c r="D607" s="39"/>
      <c r="E607" s="156" t="s">
        <v>11</v>
      </c>
      <c r="F607" s="22" t="str">
        <f>IF(H607=-0.33,IF(H605=H$1,H605,""),"")</f>
        <v/>
      </c>
      <c r="G607" s="25"/>
      <c r="H607" s="23">
        <f t="shared" ref="H607" si="56">IF(H606=1,IF(H605=H$2,1,-0.33),0)</f>
        <v>0</v>
      </c>
    </row>
    <row r="608" spans="2:9" x14ac:dyDescent="0.25">
      <c r="B608" s="87" t="s">
        <v>15</v>
      </c>
      <c r="C608" s="134" t="s">
        <v>469</v>
      </c>
      <c r="D608" s="39"/>
      <c r="E608" s="156" t="s">
        <v>12</v>
      </c>
      <c r="F608" s="19"/>
      <c r="G608" s="25"/>
      <c r="H608" s="23"/>
    </row>
    <row r="609" spans="2:9" x14ac:dyDescent="0.25">
      <c r="B609" s="132"/>
      <c r="C609" s="134"/>
      <c r="D609" s="39"/>
      <c r="E609" s="156" t="s">
        <v>13</v>
      </c>
      <c r="F609" s="19"/>
      <c r="G609" s="18"/>
      <c r="H609" s="23"/>
    </row>
    <row r="610" spans="2:9" x14ac:dyDescent="0.25">
      <c r="B610" s="130" t="s">
        <v>69</v>
      </c>
      <c r="C610" s="154" t="s">
        <v>470</v>
      </c>
      <c r="D610" s="40"/>
      <c r="E610" s="13"/>
      <c r="F610" s="15"/>
      <c r="G610" s="27"/>
      <c r="H610" s="14"/>
      <c r="I610" s="16"/>
    </row>
    <row r="611" spans="2:9" x14ac:dyDescent="0.25">
      <c r="B611" s="87" t="s">
        <v>15</v>
      </c>
      <c r="C611" s="133" t="s">
        <v>471</v>
      </c>
      <c r="D611" s="39"/>
      <c r="E611" s="156" t="s">
        <v>9</v>
      </c>
      <c r="F611" s="19"/>
      <c r="G611" s="25"/>
      <c r="H611" s="20" t="b">
        <f>IF(D612="x",H$2,H$1)</f>
        <v>0</v>
      </c>
    </row>
    <row r="612" spans="2:9" x14ac:dyDescent="0.25">
      <c r="B612" s="87" t="s">
        <v>15</v>
      </c>
      <c r="C612" s="134" t="s">
        <v>472</v>
      </c>
      <c r="D612" s="39"/>
      <c r="E612" s="156" t="s">
        <v>10</v>
      </c>
      <c r="F612" s="21" t="str">
        <f>IF(H613=1,IF(H611=H$2,H611,""),"")</f>
        <v/>
      </c>
      <c r="G612" s="25"/>
      <c r="H612" s="20" t="str">
        <f>IF(E$658="comprobar",COUNTIF(D611:D615,"x"),"")</f>
        <v/>
      </c>
    </row>
    <row r="613" spans="2:9" x14ac:dyDescent="0.25">
      <c r="B613" s="87" t="s">
        <v>15</v>
      </c>
      <c r="C613" s="134" t="s">
        <v>473</v>
      </c>
      <c r="D613" s="39"/>
      <c r="E613" s="156" t="s">
        <v>11</v>
      </c>
      <c r="F613" s="22" t="str">
        <f>IF(H613=-0.33,IF(H611=H$1,H611,""),"")</f>
        <v/>
      </c>
      <c r="G613" s="25"/>
      <c r="H613" s="23">
        <f t="shared" ref="H613" si="57">IF(H612=1,IF(H611=H$2,1,-0.33),0)</f>
        <v>0</v>
      </c>
    </row>
    <row r="614" spans="2:9" x14ac:dyDescent="0.25">
      <c r="B614" s="87" t="s">
        <v>15</v>
      </c>
      <c r="C614" s="134" t="s">
        <v>474</v>
      </c>
      <c r="D614" s="39"/>
      <c r="E614" s="156" t="s">
        <v>12</v>
      </c>
      <c r="F614" s="19"/>
      <c r="G614" s="25"/>
      <c r="H614" s="23"/>
    </row>
    <row r="615" spans="2:9" x14ac:dyDescent="0.25">
      <c r="B615" s="132"/>
      <c r="C615" s="17"/>
      <c r="D615" s="39"/>
      <c r="E615" s="156" t="s">
        <v>13</v>
      </c>
      <c r="F615" s="19"/>
      <c r="G615" s="18"/>
      <c r="H615" s="23"/>
    </row>
    <row r="616" spans="2:9" x14ac:dyDescent="0.25">
      <c r="B616" s="130" t="s">
        <v>75</v>
      </c>
      <c r="C616" s="168" t="s">
        <v>627</v>
      </c>
      <c r="D616" s="40"/>
      <c r="E616" s="13"/>
      <c r="F616" s="15"/>
      <c r="G616" s="27"/>
      <c r="H616" s="14"/>
      <c r="I616" s="16"/>
    </row>
    <row r="617" spans="2:9" x14ac:dyDescent="0.25">
      <c r="B617" s="87" t="s">
        <v>15</v>
      </c>
      <c r="C617" s="133" t="s">
        <v>475</v>
      </c>
      <c r="D617" s="39"/>
      <c r="E617" s="156" t="s">
        <v>9</v>
      </c>
      <c r="F617" s="19"/>
      <c r="G617" s="25"/>
      <c r="H617" s="20" t="b">
        <f>IF(D620="x",H$2,H$1)</f>
        <v>0</v>
      </c>
    </row>
    <row r="618" spans="2:9" x14ac:dyDescent="0.25">
      <c r="B618" s="87" t="s">
        <v>15</v>
      </c>
      <c r="C618" s="134" t="s">
        <v>476</v>
      </c>
      <c r="D618" s="39"/>
      <c r="E618" s="156" t="s">
        <v>10</v>
      </c>
      <c r="F618" s="21" t="str">
        <f>IF(H619=1,IF(H617=H$2,H617,""),"")</f>
        <v/>
      </c>
      <c r="G618" s="25"/>
      <c r="H618" s="20" t="str">
        <f>IF(E$658="comprobar",COUNTIF(D617:D621,"x"),"")</f>
        <v/>
      </c>
    </row>
    <row r="619" spans="2:9" x14ac:dyDescent="0.25">
      <c r="B619" s="87" t="s">
        <v>15</v>
      </c>
      <c r="C619" s="134" t="s">
        <v>477</v>
      </c>
      <c r="D619" s="39"/>
      <c r="E619" s="156" t="s">
        <v>11</v>
      </c>
      <c r="F619" s="22" t="str">
        <f>IF(H619=-0.33,IF(H617=H$1,H617,""),"")</f>
        <v/>
      </c>
      <c r="G619" s="25"/>
      <c r="H619" s="23">
        <f t="shared" ref="H619" si="58">IF(H618=1,IF(H617=H$2,1,-0.33),0)</f>
        <v>0</v>
      </c>
    </row>
    <row r="620" spans="2:9" x14ac:dyDescent="0.25">
      <c r="B620" s="87" t="s">
        <v>15</v>
      </c>
      <c r="C620" s="155" t="s">
        <v>332</v>
      </c>
      <c r="D620" s="39"/>
      <c r="E620" s="156" t="s">
        <v>12</v>
      </c>
      <c r="F620" s="19"/>
      <c r="G620" s="25"/>
      <c r="H620" s="23"/>
    </row>
    <row r="621" spans="2:9" x14ac:dyDescent="0.25">
      <c r="B621" s="132"/>
      <c r="C621" s="17"/>
      <c r="D621" s="39"/>
      <c r="E621" s="156" t="s">
        <v>13</v>
      </c>
      <c r="F621" s="19"/>
      <c r="G621" s="18"/>
      <c r="H621" s="23"/>
    </row>
    <row r="622" spans="2:9" ht="31.5" x14ac:dyDescent="0.25">
      <c r="B622" s="130" t="s">
        <v>80</v>
      </c>
      <c r="C622" s="135" t="s">
        <v>478</v>
      </c>
      <c r="D622" s="40"/>
      <c r="E622" s="13"/>
      <c r="F622" s="15"/>
      <c r="G622" s="27"/>
      <c r="H622" s="14"/>
      <c r="I622" s="16"/>
    </row>
    <row r="623" spans="2:9" x14ac:dyDescent="0.25">
      <c r="B623" s="87" t="s">
        <v>15</v>
      </c>
      <c r="C623" s="133" t="s">
        <v>479</v>
      </c>
      <c r="D623" s="39"/>
      <c r="E623" s="156" t="s">
        <v>9</v>
      </c>
      <c r="F623" s="19"/>
      <c r="G623" s="25"/>
      <c r="H623" s="20" t="b">
        <f>IF(D623="x",H$2,H$1)</f>
        <v>0</v>
      </c>
    </row>
    <row r="624" spans="2:9" x14ac:dyDescent="0.25">
      <c r="B624" s="87" t="s">
        <v>15</v>
      </c>
      <c r="C624" s="134" t="s">
        <v>480</v>
      </c>
      <c r="D624" s="39"/>
      <c r="E624" s="156" t="s">
        <v>10</v>
      </c>
      <c r="F624" s="21" t="str">
        <f>IF(H625=1,IF(H623=H$2,H623,""),"")</f>
        <v/>
      </c>
      <c r="G624" s="25"/>
      <c r="H624" s="20" t="str">
        <f>IF(E$658="comprobar",COUNTIF(D623:D627,"x"),"")</f>
        <v/>
      </c>
    </row>
    <row r="625" spans="2:9" x14ac:dyDescent="0.25">
      <c r="B625" s="87" t="s">
        <v>15</v>
      </c>
      <c r="C625" s="134" t="s">
        <v>481</v>
      </c>
      <c r="D625" s="39"/>
      <c r="E625" s="156" t="s">
        <v>11</v>
      </c>
      <c r="F625" s="22" t="str">
        <f>IF(H625=-0.33,IF(H623=H$1,H623,""),"")</f>
        <v/>
      </c>
      <c r="G625" s="25"/>
      <c r="H625" s="23">
        <f t="shared" ref="H625" si="59">IF(H624=1,IF(H623=H$2,1,-0.33),0)</f>
        <v>0</v>
      </c>
    </row>
    <row r="626" spans="2:9" x14ac:dyDescent="0.25">
      <c r="B626" s="87" t="s">
        <v>15</v>
      </c>
      <c r="C626" s="134" t="s">
        <v>482</v>
      </c>
      <c r="D626" s="39"/>
      <c r="E626" s="156" t="s">
        <v>12</v>
      </c>
      <c r="F626" s="19"/>
      <c r="G626" s="25"/>
      <c r="H626" s="23"/>
    </row>
    <row r="627" spans="2:9" x14ac:dyDescent="0.25">
      <c r="B627" s="132"/>
      <c r="C627" s="17"/>
      <c r="D627" s="39"/>
      <c r="E627" s="156" t="s">
        <v>13</v>
      </c>
      <c r="F627" s="19"/>
      <c r="G627" s="18"/>
      <c r="H627" s="23"/>
    </row>
    <row r="628" spans="2:9" x14ac:dyDescent="0.25">
      <c r="B628" s="130" t="s">
        <v>85</v>
      </c>
      <c r="C628" s="154" t="s">
        <v>483</v>
      </c>
      <c r="D628" s="40"/>
      <c r="E628" s="13"/>
      <c r="F628" s="15"/>
      <c r="G628" s="27"/>
      <c r="H628" s="14"/>
      <c r="I628" s="16"/>
    </row>
    <row r="629" spans="2:9" x14ac:dyDescent="0.25">
      <c r="B629" s="87" t="s">
        <v>15</v>
      </c>
      <c r="C629" s="133" t="s">
        <v>485</v>
      </c>
      <c r="D629" s="39"/>
      <c r="E629" s="156" t="s">
        <v>9</v>
      </c>
      <c r="F629" s="19"/>
      <c r="G629" s="25"/>
      <c r="H629" s="20" t="b">
        <f>IF(D632="x",H$2,H$1)</f>
        <v>0</v>
      </c>
    </row>
    <row r="630" spans="2:9" x14ac:dyDescent="0.25">
      <c r="B630" s="87" t="s">
        <v>15</v>
      </c>
      <c r="C630" s="134" t="s">
        <v>486</v>
      </c>
      <c r="D630" s="39"/>
      <c r="E630" s="156" t="s">
        <v>10</v>
      </c>
      <c r="F630" s="21" t="str">
        <f>IF(H631=1,IF(H629=H$2,H629,""),"")</f>
        <v/>
      </c>
      <c r="G630" s="25"/>
      <c r="H630" s="20" t="str">
        <f>IF(E$658="comprobar",COUNTIF(D629:D633,"x"),"")</f>
        <v/>
      </c>
    </row>
    <row r="631" spans="2:9" x14ac:dyDescent="0.25">
      <c r="B631" s="87" t="s">
        <v>15</v>
      </c>
      <c r="C631" s="134" t="s">
        <v>487</v>
      </c>
      <c r="D631" s="39"/>
      <c r="E631" s="156" t="s">
        <v>11</v>
      </c>
      <c r="F631" s="22" t="str">
        <f>IF(H631=-0.33,IF(H629=H$1,H629,""),"")</f>
        <v/>
      </c>
      <c r="G631" s="25"/>
      <c r="H631" s="23">
        <f t="shared" ref="H631" si="60">IF(H630=1,IF(H629=H$2,1,-0.33),0)</f>
        <v>0</v>
      </c>
    </row>
    <row r="632" spans="2:9" x14ac:dyDescent="0.25">
      <c r="B632" s="87" t="s">
        <v>15</v>
      </c>
      <c r="C632" s="134" t="s">
        <v>484</v>
      </c>
      <c r="D632" s="39"/>
      <c r="E632" s="156" t="s">
        <v>12</v>
      </c>
      <c r="F632" s="19"/>
      <c r="G632" s="25"/>
      <c r="H632" s="23"/>
    </row>
    <row r="633" spans="2:9" x14ac:dyDescent="0.25">
      <c r="B633" s="132"/>
      <c r="C633" s="17"/>
      <c r="D633" s="39"/>
      <c r="E633" s="156" t="s">
        <v>13</v>
      </c>
      <c r="F633" s="19"/>
      <c r="G633" s="18"/>
      <c r="H633" s="23"/>
    </row>
    <row r="634" spans="2:9" x14ac:dyDescent="0.25">
      <c r="B634" s="130" t="s">
        <v>91</v>
      </c>
      <c r="C634" s="153" t="s">
        <v>488</v>
      </c>
      <c r="D634" s="40"/>
      <c r="E634" s="13"/>
      <c r="F634" s="15"/>
      <c r="G634" s="27"/>
      <c r="H634" s="14"/>
      <c r="I634" s="16"/>
    </row>
    <row r="635" spans="2:9" x14ac:dyDescent="0.25">
      <c r="B635" s="87" t="s">
        <v>15</v>
      </c>
      <c r="C635" s="133" t="s">
        <v>490</v>
      </c>
      <c r="D635" s="39"/>
      <c r="E635" s="156" t="s">
        <v>9</v>
      </c>
      <c r="F635" s="19"/>
      <c r="G635" s="25"/>
      <c r="H635" s="20" t="b">
        <f>IF(D636="x",H$2,H$1)</f>
        <v>0</v>
      </c>
    </row>
    <row r="636" spans="2:9" x14ac:dyDescent="0.25">
      <c r="B636" s="87" t="s">
        <v>15</v>
      </c>
      <c r="C636" s="134" t="s">
        <v>489</v>
      </c>
      <c r="D636" s="39"/>
      <c r="E636" s="156" t="s">
        <v>10</v>
      </c>
      <c r="F636" s="21" t="str">
        <f>IF(H637=1,IF(H635=H$2,H635,""),"")</f>
        <v/>
      </c>
      <c r="G636" s="25"/>
      <c r="H636" s="20" t="str">
        <f>IF(E$658="comprobar",COUNTIF(D635:D639,"x"),"")</f>
        <v/>
      </c>
    </row>
    <row r="637" spans="2:9" x14ac:dyDescent="0.25">
      <c r="B637" s="87" t="s">
        <v>15</v>
      </c>
      <c r="C637" s="134" t="s">
        <v>491</v>
      </c>
      <c r="D637" s="39"/>
      <c r="E637" s="156" t="s">
        <v>11</v>
      </c>
      <c r="F637" s="22" t="str">
        <f>IF(H637=-0.33,IF(H635=H$1,H635,""),"")</f>
        <v/>
      </c>
      <c r="G637" s="25"/>
      <c r="H637" s="23">
        <f t="shared" ref="H637" si="61">IF(H636=1,IF(H635=H$2,1,-0.33),0)</f>
        <v>0</v>
      </c>
    </row>
    <row r="638" spans="2:9" x14ac:dyDescent="0.25">
      <c r="B638" s="87" t="s">
        <v>15</v>
      </c>
      <c r="C638" s="134" t="s">
        <v>492</v>
      </c>
      <c r="D638" s="39"/>
      <c r="E638" s="156" t="s">
        <v>12</v>
      </c>
      <c r="F638" s="19"/>
      <c r="G638" s="25"/>
      <c r="H638" s="23"/>
    </row>
    <row r="639" spans="2:9" x14ac:dyDescent="0.25">
      <c r="B639" s="132"/>
      <c r="C639" s="17"/>
      <c r="D639" s="39"/>
      <c r="E639" s="156" t="s">
        <v>13</v>
      </c>
      <c r="F639" s="19"/>
      <c r="G639" s="18"/>
      <c r="H639" s="23"/>
    </row>
    <row r="640" spans="2:9" ht="31.5" x14ac:dyDescent="0.25">
      <c r="B640" s="130" t="s">
        <v>92</v>
      </c>
      <c r="C640" s="131" t="s">
        <v>509</v>
      </c>
      <c r="D640" s="40"/>
      <c r="E640" s="13"/>
      <c r="F640" s="15"/>
      <c r="G640" s="27"/>
      <c r="H640" s="14"/>
      <c r="I640" s="16"/>
    </row>
    <row r="641" spans="2:9" x14ac:dyDescent="0.25">
      <c r="B641" s="87" t="s">
        <v>15</v>
      </c>
      <c r="C641" s="133" t="s">
        <v>494</v>
      </c>
      <c r="D641" s="39"/>
      <c r="E641" s="156" t="s">
        <v>9</v>
      </c>
      <c r="F641" s="19"/>
      <c r="G641" s="25"/>
      <c r="H641" s="20" t="b">
        <f>IF(D643="x",H$2,H$1)</f>
        <v>0</v>
      </c>
    </row>
    <row r="642" spans="2:9" x14ac:dyDescent="0.25">
      <c r="B642" s="87" t="s">
        <v>15</v>
      </c>
      <c r="C642" s="134" t="s">
        <v>495</v>
      </c>
      <c r="D642" s="39"/>
      <c r="E642" s="156" t="s">
        <v>10</v>
      </c>
      <c r="F642" s="21" t="str">
        <f>IF(H643=1,IF(H641=H$2,H641,""),"")</f>
        <v/>
      </c>
      <c r="G642" s="25"/>
      <c r="H642" s="20" t="str">
        <f>IF(E$658="comprobar",COUNTIF(D641:D645,"x"),"")</f>
        <v/>
      </c>
    </row>
    <row r="643" spans="2:9" x14ac:dyDescent="0.25">
      <c r="B643" s="87" t="s">
        <v>15</v>
      </c>
      <c r="C643" s="134" t="s">
        <v>493</v>
      </c>
      <c r="D643" s="39"/>
      <c r="E643" s="156" t="s">
        <v>11</v>
      </c>
      <c r="F643" s="22" t="str">
        <f>IF(H643=-0.33,IF(H641=H$1,H641,""),"")</f>
        <v/>
      </c>
      <c r="G643" s="25"/>
      <c r="H643" s="23">
        <f t="shared" ref="H643" si="62">IF(H642=1,IF(H641=H$2,1,-0.33),0)</f>
        <v>0</v>
      </c>
    </row>
    <row r="644" spans="2:9" x14ac:dyDescent="0.25">
      <c r="B644" s="87" t="s">
        <v>15</v>
      </c>
      <c r="C644" s="134" t="s">
        <v>496</v>
      </c>
      <c r="D644" s="39"/>
      <c r="E644" s="156" t="s">
        <v>12</v>
      </c>
      <c r="F644" s="19"/>
      <c r="G644" s="25"/>
      <c r="H644" s="23"/>
    </row>
    <row r="645" spans="2:9" x14ac:dyDescent="0.25">
      <c r="B645" s="132"/>
      <c r="C645" s="17"/>
      <c r="D645" s="39"/>
      <c r="E645" s="156" t="s">
        <v>13</v>
      </c>
      <c r="F645" s="19"/>
      <c r="G645" s="18"/>
      <c r="H645" s="23"/>
    </row>
    <row r="646" spans="2:9" x14ac:dyDescent="0.25">
      <c r="B646" s="130" t="s">
        <v>199</v>
      </c>
      <c r="C646" s="153" t="s">
        <v>497</v>
      </c>
      <c r="D646" s="40"/>
      <c r="E646" s="13"/>
      <c r="F646" s="15"/>
      <c r="G646" s="27"/>
      <c r="H646" s="14"/>
      <c r="I646" s="16"/>
    </row>
    <row r="647" spans="2:9" x14ac:dyDescent="0.25">
      <c r="B647" s="87" t="s">
        <v>15</v>
      </c>
      <c r="C647" s="133" t="s">
        <v>498</v>
      </c>
      <c r="D647" s="39"/>
      <c r="E647" s="156" t="s">
        <v>9</v>
      </c>
      <c r="F647" s="19"/>
      <c r="G647" s="25"/>
      <c r="H647" s="20" t="b">
        <f>IF(D647="x",H$2,H$1)</f>
        <v>0</v>
      </c>
    </row>
    <row r="648" spans="2:9" x14ac:dyDescent="0.25">
      <c r="B648" s="87" t="s">
        <v>15</v>
      </c>
      <c r="C648" s="134" t="s">
        <v>499</v>
      </c>
      <c r="D648" s="39"/>
      <c r="E648" s="156" t="s">
        <v>10</v>
      </c>
      <c r="F648" s="21" t="str">
        <f>IF(H649=1,IF(H647=H$2,H647,""),"")</f>
        <v/>
      </c>
      <c r="G648" s="25"/>
      <c r="H648" s="20" t="str">
        <f>IF(E$658="comprobar",COUNTIF(D647:D651,"x"),"")</f>
        <v/>
      </c>
    </row>
    <row r="649" spans="2:9" x14ac:dyDescent="0.25">
      <c r="B649" s="87" t="s">
        <v>15</v>
      </c>
      <c r="C649" s="134" t="s">
        <v>500</v>
      </c>
      <c r="D649" s="39"/>
      <c r="E649" s="156" t="s">
        <v>11</v>
      </c>
      <c r="F649" s="22" t="str">
        <f>IF(H649=-0.33,IF(H647=H$1,H647,""),"")</f>
        <v/>
      </c>
      <c r="G649" s="25"/>
      <c r="H649" s="23">
        <f t="shared" ref="H649" si="63">IF(H648=1,IF(H647=H$2,1,-0.33),0)</f>
        <v>0</v>
      </c>
    </row>
    <row r="650" spans="2:9" x14ac:dyDescent="0.25">
      <c r="B650" s="87" t="s">
        <v>15</v>
      </c>
      <c r="C650" s="134" t="s">
        <v>501</v>
      </c>
      <c r="D650" s="39"/>
      <c r="E650" s="156" t="s">
        <v>12</v>
      </c>
      <c r="F650" s="19"/>
      <c r="G650" s="25"/>
      <c r="H650" s="23"/>
    </row>
    <row r="651" spans="2:9" x14ac:dyDescent="0.25">
      <c r="B651" s="132"/>
      <c r="C651" s="17"/>
      <c r="D651" s="39"/>
      <c r="E651" s="156" t="s">
        <v>13</v>
      </c>
      <c r="F651" s="19"/>
      <c r="G651" s="18"/>
      <c r="H651" s="23"/>
    </row>
    <row r="652" spans="2:9" x14ac:dyDescent="0.25">
      <c r="B652" s="130" t="s">
        <v>159</v>
      </c>
      <c r="C652" s="131" t="s">
        <v>502</v>
      </c>
      <c r="D652" s="40"/>
      <c r="E652" s="13"/>
      <c r="F652" s="15"/>
      <c r="G652" s="27"/>
      <c r="H652" s="14"/>
      <c r="I652" s="16"/>
    </row>
    <row r="653" spans="2:9" x14ac:dyDescent="0.25">
      <c r="B653" s="87" t="s">
        <v>15</v>
      </c>
      <c r="C653" s="133" t="s">
        <v>504</v>
      </c>
      <c r="D653" s="39"/>
      <c r="E653" s="156" t="s">
        <v>9</v>
      </c>
      <c r="F653" s="19"/>
      <c r="G653" s="25"/>
      <c r="H653" s="20" t="b">
        <f>IF(D654="x",H$2,H$1)</f>
        <v>0</v>
      </c>
    </row>
    <row r="654" spans="2:9" x14ac:dyDescent="0.25">
      <c r="B654" s="87" t="s">
        <v>15</v>
      </c>
      <c r="C654" s="134" t="s">
        <v>503</v>
      </c>
      <c r="D654" s="39"/>
      <c r="E654" s="156" t="s">
        <v>10</v>
      </c>
      <c r="F654" s="21" t="str">
        <f>IF(H655=1,IF(H653=H$2,H653,""),"")</f>
        <v/>
      </c>
      <c r="G654" s="25"/>
      <c r="H654" s="20" t="str">
        <f>IF(E$658="comprobar",COUNTIF(D653:D657,"x"),"")</f>
        <v/>
      </c>
    </row>
    <row r="655" spans="2:9" x14ac:dyDescent="0.25">
      <c r="B655" s="87" t="s">
        <v>15</v>
      </c>
      <c r="C655" s="134" t="s">
        <v>505</v>
      </c>
      <c r="D655" s="39"/>
      <c r="E655" s="156" t="s">
        <v>11</v>
      </c>
      <c r="F655" s="22" t="str">
        <f>IF(H655=-0.33,IF(H653=H$1,H653,""),"")</f>
        <v/>
      </c>
      <c r="G655" s="25"/>
      <c r="H655" s="23">
        <f t="shared" ref="H655" si="64">IF(H654=1,IF(H653=H$2,1,-0.33),0)</f>
        <v>0</v>
      </c>
    </row>
    <row r="656" spans="2:9" x14ac:dyDescent="0.25">
      <c r="B656" s="87" t="s">
        <v>15</v>
      </c>
      <c r="C656" s="134" t="s">
        <v>506</v>
      </c>
      <c r="D656" s="39"/>
      <c r="E656" s="156" t="s">
        <v>12</v>
      </c>
      <c r="F656" s="19"/>
      <c r="G656" s="25"/>
      <c r="H656" s="23"/>
    </row>
    <row r="657" spans="2:9" x14ac:dyDescent="0.25">
      <c r="B657" s="132"/>
      <c r="C657" s="17"/>
      <c r="D657" s="39"/>
      <c r="E657" s="156" t="s">
        <v>13</v>
      </c>
      <c r="F657" s="19"/>
      <c r="G657" s="18"/>
      <c r="H657" s="23"/>
    </row>
    <row r="658" spans="2:9" x14ac:dyDescent="0.25">
      <c r="B658" s="132"/>
      <c r="C658" s="17"/>
      <c r="D658" s="49"/>
      <c r="E658" s="55"/>
      <c r="F658" s="19"/>
      <c r="G658" s="18"/>
      <c r="H658" s="23"/>
    </row>
    <row r="659" spans="2:9" x14ac:dyDescent="0.25">
      <c r="B659" s="43"/>
      <c r="C659" s="8"/>
      <c r="D659" s="49"/>
      <c r="E659" s="60"/>
      <c r="F659" s="29" t="s">
        <v>8</v>
      </c>
      <c r="G659" s="18" t="s">
        <v>6</v>
      </c>
      <c r="H659" s="18" t="s">
        <v>7</v>
      </c>
    </row>
    <row r="660" spans="2:9" ht="19.5" x14ac:dyDescent="0.25">
      <c r="B660" s="43"/>
      <c r="C660" s="8"/>
      <c r="D660" s="171"/>
      <c r="E660" s="171"/>
      <c r="F660" s="30" t="str">
        <f>IF(E658="comprobar",H643+H637+H631+H625+H619+H613+H607+H601+H649+H655,"")</f>
        <v/>
      </c>
      <c r="G660" s="18">
        <f>10/2</f>
        <v>5</v>
      </c>
      <c r="H660" s="18"/>
    </row>
    <row r="661" spans="2:9" x14ac:dyDescent="0.25">
      <c r="B661" s="43"/>
      <c r="C661" s="8"/>
      <c r="D661" s="159"/>
      <c r="E661" s="159"/>
      <c r="F661" s="19"/>
      <c r="G661" s="18"/>
      <c r="H661" s="18"/>
    </row>
    <row r="662" spans="2:9" x14ac:dyDescent="0.25">
      <c r="B662" s="43"/>
      <c r="C662" s="8"/>
      <c r="D662" s="159"/>
      <c r="E662" s="159"/>
      <c r="F662" s="19"/>
      <c r="G662" s="18"/>
      <c r="H662" s="18"/>
    </row>
    <row r="663" spans="2:9" ht="16.5" thickBot="1" x14ac:dyDescent="0.3">
      <c r="B663" s="43"/>
      <c r="C663" s="8"/>
      <c r="D663" s="159"/>
      <c r="E663" s="159"/>
      <c r="F663" s="19"/>
      <c r="G663" s="18"/>
      <c r="H663" s="18"/>
    </row>
    <row r="664" spans="2:9" ht="28.5" x14ac:dyDescent="0.45">
      <c r="B664" s="62" t="s">
        <v>17</v>
      </c>
      <c r="C664" s="160" t="s">
        <v>510</v>
      </c>
      <c r="D664" s="160"/>
      <c r="E664" s="160"/>
      <c r="F664" s="161"/>
    </row>
    <row r="665" spans="2:9" x14ac:dyDescent="0.25">
      <c r="B665" s="152" t="s">
        <v>64</v>
      </c>
      <c r="C665" s="131" t="s">
        <v>511</v>
      </c>
      <c r="D665" s="13"/>
      <c r="E665" s="13"/>
      <c r="F665" s="15"/>
      <c r="G665" s="138"/>
      <c r="H665" s="14"/>
      <c r="I665" s="16"/>
    </row>
    <row r="666" spans="2:9" x14ac:dyDescent="0.25">
      <c r="B666" s="87" t="s">
        <v>15</v>
      </c>
      <c r="C666" s="133" t="s">
        <v>306</v>
      </c>
      <c r="D666" s="39"/>
      <c r="E666" s="159" t="s">
        <v>9</v>
      </c>
      <c r="F666" s="19"/>
      <c r="G666" s="25"/>
      <c r="H666" s="20" t="b">
        <f>IF(D669="x",H$2,H$1)</f>
        <v>0</v>
      </c>
    </row>
    <row r="667" spans="2:9" x14ac:dyDescent="0.25">
      <c r="B667" s="87" t="s">
        <v>15</v>
      </c>
      <c r="C667" s="134" t="s">
        <v>304</v>
      </c>
      <c r="D667" s="39"/>
      <c r="E667" s="159" t="s">
        <v>10</v>
      </c>
      <c r="F667" s="21" t="str">
        <f>IF(H668=1,IF(H666=H$2,H666,""),"")</f>
        <v/>
      </c>
      <c r="G667" s="25"/>
      <c r="H667" s="20" t="str">
        <f>IF(E$785="comprobar",COUNTIF(D666:D670,"x"),"")</f>
        <v/>
      </c>
    </row>
    <row r="668" spans="2:9" x14ac:dyDescent="0.25">
      <c r="B668" s="87" t="s">
        <v>15</v>
      </c>
      <c r="C668" s="134" t="s">
        <v>512</v>
      </c>
      <c r="D668" s="39"/>
      <c r="E668" s="159" t="s">
        <v>11</v>
      </c>
      <c r="F668" s="22" t="str">
        <f>IF(H668=-0.33,IF(H666=H$1,H666,""),"")</f>
        <v/>
      </c>
      <c r="G668" s="25"/>
      <c r="H668" s="23">
        <f>IF(H667=1,IF(H666=H$2,1,-0.33),0)</f>
        <v>0</v>
      </c>
    </row>
    <row r="669" spans="2:9" x14ac:dyDescent="0.25">
      <c r="B669" s="87" t="s">
        <v>15</v>
      </c>
      <c r="C669" s="134" t="s">
        <v>305</v>
      </c>
      <c r="D669" s="39"/>
      <c r="E669" s="159" t="s">
        <v>12</v>
      </c>
      <c r="F669" s="19"/>
      <c r="G669" s="25"/>
      <c r="H669" s="23"/>
    </row>
    <row r="670" spans="2:9" x14ac:dyDescent="0.25">
      <c r="B670" s="132"/>
      <c r="C670" s="17"/>
      <c r="D670" s="39"/>
      <c r="E670" s="159" t="s">
        <v>13</v>
      </c>
      <c r="F670" s="19"/>
      <c r="G670" s="18"/>
      <c r="H670" s="23"/>
    </row>
    <row r="671" spans="2:9" x14ac:dyDescent="0.25">
      <c r="B671" s="130" t="s">
        <v>62</v>
      </c>
      <c r="C671" s="154" t="s">
        <v>513</v>
      </c>
      <c r="D671" s="40"/>
      <c r="E671" s="13"/>
      <c r="F671" s="15"/>
      <c r="G671" s="138"/>
      <c r="H671" s="14"/>
      <c r="I671" s="16"/>
    </row>
    <row r="672" spans="2:9" x14ac:dyDescent="0.25">
      <c r="B672" s="87" t="s">
        <v>15</v>
      </c>
      <c r="C672" s="134" t="s">
        <v>514</v>
      </c>
      <c r="D672" s="39"/>
      <c r="E672" s="159" t="s">
        <v>9</v>
      </c>
      <c r="F672" s="19"/>
      <c r="G672" s="25"/>
      <c r="H672" s="20" t="b">
        <f>IF(D674="x",H$2,H$1)</f>
        <v>0</v>
      </c>
    </row>
    <row r="673" spans="2:9" x14ac:dyDescent="0.25">
      <c r="B673" s="87" t="s">
        <v>15</v>
      </c>
      <c r="C673" s="134" t="s">
        <v>515</v>
      </c>
      <c r="D673" s="39"/>
      <c r="E673" s="159" t="s">
        <v>10</v>
      </c>
      <c r="F673" s="21" t="str">
        <f>IF(H674=1,IF(H672=H$2,H672,""),"")</f>
        <v/>
      </c>
      <c r="G673" s="25"/>
      <c r="H673" s="20" t="str">
        <f>IF(E$785="comprobar",COUNTIF(D672:D676,"x"),"")</f>
        <v/>
      </c>
    </row>
    <row r="674" spans="2:9" x14ac:dyDescent="0.25">
      <c r="B674" s="87" t="s">
        <v>15</v>
      </c>
      <c r="C674" s="134" t="s">
        <v>516</v>
      </c>
      <c r="D674" s="39"/>
      <c r="E674" s="159" t="s">
        <v>11</v>
      </c>
      <c r="F674" s="22" t="str">
        <f>IF(H674=-0.33,IF(H672=H$1,H672,""),"")</f>
        <v/>
      </c>
      <c r="G674" s="25"/>
      <c r="H674" s="23">
        <f t="shared" ref="H674" si="65">IF(H673=1,IF(H672=H$2,1,-0.33),0)</f>
        <v>0</v>
      </c>
    </row>
    <row r="675" spans="2:9" x14ac:dyDescent="0.25">
      <c r="B675" s="87" t="s">
        <v>15</v>
      </c>
      <c r="C675" s="134" t="s">
        <v>517</v>
      </c>
      <c r="D675" s="39"/>
      <c r="E675" s="159" t="s">
        <v>12</v>
      </c>
      <c r="F675" s="19"/>
      <c r="G675" s="25"/>
      <c r="H675" s="23"/>
    </row>
    <row r="676" spans="2:9" x14ac:dyDescent="0.25">
      <c r="B676" s="132"/>
      <c r="C676" s="134"/>
      <c r="D676" s="39"/>
      <c r="E676" s="159" t="s">
        <v>13</v>
      </c>
      <c r="F676" s="19"/>
      <c r="G676" s="18"/>
      <c r="H676" s="23"/>
    </row>
    <row r="677" spans="2:9" x14ac:dyDescent="0.25">
      <c r="B677" s="130" t="s">
        <v>69</v>
      </c>
      <c r="C677" s="154" t="s">
        <v>518</v>
      </c>
      <c r="D677" s="40"/>
      <c r="E677" s="13"/>
      <c r="F677" s="15"/>
      <c r="G677" s="27"/>
      <c r="H677" s="14"/>
      <c r="I677" s="16"/>
    </row>
    <row r="678" spans="2:9" x14ac:dyDescent="0.25">
      <c r="B678" s="87" t="s">
        <v>15</v>
      </c>
      <c r="C678" s="133" t="s">
        <v>519</v>
      </c>
      <c r="D678" s="39"/>
      <c r="E678" s="159" t="s">
        <v>9</v>
      </c>
      <c r="F678" s="19"/>
      <c r="G678" s="25"/>
      <c r="H678" s="20" t="b">
        <f>IF(D679="x",H$2,H$1)</f>
        <v>0</v>
      </c>
    </row>
    <row r="679" spans="2:9" x14ac:dyDescent="0.25">
      <c r="B679" s="87" t="s">
        <v>15</v>
      </c>
      <c r="C679" s="134" t="s">
        <v>520</v>
      </c>
      <c r="D679" s="39"/>
      <c r="E679" s="159" t="s">
        <v>10</v>
      </c>
      <c r="F679" s="21" t="str">
        <f>IF(H680=1,IF(H678=H$2,H678,""),"")</f>
        <v/>
      </c>
      <c r="G679" s="25"/>
      <c r="H679" s="20" t="str">
        <f>IF(E$785="comprobar",COUNTIF(D678:D682,"x"),"")</f>
        <v/>
      </c>
    </row>
    <row r="680" spans="2:9" x14ac:dyDescent="0.25">
      <c r="B680" s="87" t="s">
        <v>15</v>
      </c>
      <c r="C680" s="134" t="s">
        <v>521</v>
      </c>
      <c r="D680" s="39"/>
      <c r="E680" s="159" t="s">
        <v>11</v>
      </c>
      <c r="F680" s="22" t="str">
        <f>IF(H680=-0.33,IF(H678=H$1,H678,""),"")</f>
        <v/>
      </c>
      <c r="G680" s="25"/>
      <c r="H680" s="23">
        <f t="shared" ref="H680" si="66">IF(H679=1,IF(H678=H$2,1,-0.33),0)</f>
        <v>0</v>
      </c>
    </row>
    <row r="681" spans="2:9" x14ac:dyDescent="0.25">
      <c r="B681" s="87" t="s">
        <v>15</v>
      </c>
      <c r="C681" s="134" t="s">
        <v>522</v>
      </c>
      <c r="D681" s="39"/>
      <c r="E681" s="159" t="s">
        <v>12</v>
      </c>
      <c r="F681" s="19"/>
      <c r="G681" s="25"/>
      <c r="H681" s="23"/>
    </row>
    <row r="682" spans="2:9" x14ac:dyDescent="0.25">
      <c r="B682" s="132"/>
      <c r="C682" s="17"/>
      <c r="D682" s="39"/>
      <c r="E682" s="159" t="s">
        <v>13</v>
      </c>
      <c r="F682" s="19"/>
      <c r="G682" s="18"/>
      <c r="H682" s="23"/>
    </row>
    <row r="683" spans="2:9" x14ac:dyDescent="0.25">
      <c r="B683" s="130" t="s">
        <v>75</v>
      </c>
      <c r="C683" s="153" t="s">
        <v>523</v>
      </c>
      <c r="D683" s="40"/>
      <c r="E683" s="13"/>
      <c r="F683" s="15"/>
      <c r="G683" s="27"/>
      <c r="H683" s="14"/>
      <c r="I683" s="16"/>
    </row>
    <row r="684" spans="2:9" x14ac:dyDescent="0.25">
      <c r="B684" s="87" t="s">
        <v>15</v>
      </c>
      <c r="C684" s="133" t="s">
        <v>524</v>
      </c>
      <c r="D684" s="39"/>
      <c r="E684" s="159" t="s">
        <v>9</v>
      </c>
      <c r="F684" s="19"/>
      <c r="G684" s="25"/>
      <c r="H684" s="20" t="b">
        <f>IF(D686="x",H$2,H$1)</f>
        <v>0</v>
      </c>
    </row>
    <row r="685" spans="2:9" x14ac:dyDescent="0.25">
      <c r="B685" s="87" t="s">
        <v>15</v>
      </c>
      <c r="C685" s="134" t="s">
        <v>525</v>
      </c>
      <c r="D685" s="39"/>
      <c r="E685" s="159" t="s">
        <v>10</v>
      </c>
      <c r="F685" s="21" t="str">
        <f>IF(H686=1,IF(H684=H$2,H684,""),"")</f>
        <v/>
      </c>
      <c r="G685" s="25"/>
      <c r="H685" s="20" t="str">
        <f>IF(E$785="comprobar",COUNTIF(D684:D688,"x"),"")</f>
        <v/>
      </c>
    </row>
    <row r="686" spans="2:9" x14ac:dyDescent="0.25">
      <c r="B686" s="87" t="s">
        <v>15</v>
      </c>
      <c r="C686" s="134" t="s">
        <v>526</v>
      </c>
      <c r="D686" s="39"/>
      <c r="E686" s="159" t="s">
        <v>11</v>
      </c>
      <c r="F686" s="22" t="str">
        <f>IF(H686=-0.33,IF(H684=H$1,H684,""),"")</f>
        <v/>
      </c>
      <c r="G686" s="25"/>
      <c r="H686" s="23">
        <f t="shared" ref="H686" si="67">IF(H685=1,IF(H684=H$2,1,-0.33),0)</f>
        <v>0</v>
      </c>
    </row>
    <row r="687" spans="2:9" x14ac:dyDescent="0.25">
      <c r="B687" s="87" t="s">
        <v>15</v>
      </c>
      <c r="C687" s="155" t="s">
        <v>382</v>
      </c>
      <c r="D687" s="39"/>
      <c r="E687" s="159" t="s">
        <v>12</v>
      </c>
      <c r="F687" s="19"/>
      <c r="G687" s="25"/>
      <c r="H687" s="23"/>
    </row>
    <row r="688" spans="2:9" x14ac:dyDescent="0.25">
      <c r="B688" s="132"/>
      <c r="C688" s="17"/>
      <c r="D688" s="39"/>
      <c r="E688" s="159" t="s">
        <v>13</v>
      </c>
      <c r="F688" s="19"/>
      <c r="G688" s="18"/>
      <c r="H688" s="23"/>
    </row>
    <row r="689" spans="2:9" x14ac:dyDescent="0.25">
      <c r="B689" s="130" t="s">
        <v>80</v>
      </c>
      <c r="C689" s="135" t="s">
        <v>527</v>
      </c>
      <c r="D689" s="40"/>
      <c r="E689" s="13"/>
      <c r="F689" s="15"/>
      <c r="G689" s="27"/>
      <c r="H689" s="14"/>
      <c r="I689" s="16"/>
    </row>
    <row r="690" spans="2:9" x14ac:dyDescent="0.25">
      <c r="B690" s="87" t="s">
        <v>15</v>
      </c>
      <c r="C690" s="133" t="s">
        <v>528</v>
      </c>
      <c r="D690" s="39"/>
      <c r="E690" s="159" t="s">
        <v>9</v>
      </c>
      <c r="F690" s="19"/>
      <c r="G690" s="25"/>
      <c r="H690" s="20" t="b">
        <f>IF(D691="x",H$2,H$1)</f>
        <v>0</v>
      </c>
    </row>
    <row r="691" spans="2:9" x14ac:dyDescent="0.25">
      <c r="B691" s="87" t="s">
        <v>15</v>
      </c>
      <c r="C691" s="134" t="s">
        <v>529</v>
      </c>
      <c r="D691" s="39"/>
      <c r="E691" s="159" t="s">
        <v>10</v>
      </c>
      <c r="F691" s="21" t="str">
        <f>IF(H692=1,IF(H690=H$2,H690,""),"")</f>
        <v/>
      </c>
      <c r="G691" s="25"/>
      <c r="H691" s="20" t="str">
        <f>IF(E$785="comprobar",COUNTIF(D690:D694,"x"),"")</f>
        <v/>
      </c>
    </row>
    <row r="692" spans="2:9" x14ac:dyDescent="0.25">
      <c r="B692" s="87" t="s">
        <v>15</v>
      </c>
      <c r="C692" s="134" t="s">
        <v>530</v>
      </c>
      <c r="D692" s="39"/>
      <c r="E692" s="159" t="s">
        <v>11</v>
      </c>
      <c r="F692" s="22" t="str">
        <f>IF(H692=-0.33,IF(H690=H$1,H690,""),"")</f>
        <v/>
      </c>
      <c r="G692" s="25"/>
      <c r="H692" s="23">
        <f t="shared" ref="H692" si="68">IF(H691=1,IF(H690=H$2,1,-0.33),0)</f>
        <v>0</v>
      </c>
    </row>
    <row r="693" spans="2:9" x14ac:dyDescent="0.25">
      <c r="B693" s="87" t="s">
        <v>15</v>
      </c>
      <c r="C693" s="134" t="s">
        <v>531</v>
      </c>
      <c r="D693" s="39"/>
      <c r="E693" s="159" t="s">
        <v>12</v>
      </c>
      <c r="F693" s="19"/>
      <c r="G693" s="25"/>
      <c r="H693" s="23"/>
    </row>
    <row r="694" spans="2:9" x14ac:dyDescent="0.25">
      <c r="B694" s="132"/>
      <c r="C694" s="17"/>
      <c r="D694" s="39"/>
      <c r="E694" s="159" t="s">
        <v>13</v>
      </c>
      <c r="F694" s="19"/>
      <c r="G694" s="18"/>
      <c r="H694" s="23"/>
    </row>
    <row r="695" spans="2:9" x14ac:dyDescent="0.25">
      <c r="B695" s="130" t="s">
        <v>85</v>
      </c>
      <c r="C695" s="154" t="s">
        <v>532</v>
      </c>
      <c r="D695" s="40"/>
      <c r="E695" s="13"/>
      <c r="F695" s="15"/>
      <c r="G695" s="27"/>
      <c r="H695" s="14"/>
      <c r="I695" s="16"/>
    </row>
    <row r="696" spans="2:9" x14ac:dyDescent="0.25">
      <c r="B696" s="87" t="s">
        <v>15</v>
      </c>
      <c r="C696" s="133" t="s">
        <v>533</v>
      </c>
      <c r="D696" s="39"/>
      <c r="E696" s="159" t="s">
        <v>9</v>
      </c>
      <c r="F696" s="19"/>
      <c r="G696" s="25"/>
      <c r="H696" s="20" t="b">
        <f>IF(D699="x",H$2,H$1)</f>
        <v>0</v>
      </c>
    </row>
    <row r="697" spans="2:9" x14ac:dyDescent="0.25">
      <c r="B697" s="87" t="s">
        <v>15</v>
      </c>
      <c r="C697" s="134" t="s">
        <v>534</v>
      </c>
      <c r="D697" s="39"/>
      <c r="E697" s="159" t="s">
        <v>10</v>
      </c>
      <c r="F697" s="21" t="str">
        <f>IF(H698=1,IF(H696=H$2,H696,""),"")</f>
        <v/>
      </c>
      <c r="G697" s="25"/>
      <c r="H697" s="20" t="str">
        <f>IF(E$785="comprobar",COUNTIF(D696:D700,"x"),"")</f>
        <v/>
      </c>
    </row>
    <row r="698" spans="2:9" x14ac:dyDescent="0.25">
      <c r="B698" s="87" t="s">
        <v>15</v>
      </c>
      <c r="C698" s="134" t="s">
        <v>535</v>
      </c>
      <c r="D698" s="39"/>
      <c r="E698" s="159" t="s">
        <v>11</v>
      </c>
      <c r="F698" s="22" t="str">
        <f>IF(H698=-0.33,IF(H696=H$1,H696,""),"")</f>
        <v/>
      </c>
      <c r="G698" s="25"/>
      <c r="H698" s="23">
        <f t="shared" ref="H698" si="69">IF(H697=1,IF(H696=H$2,1,-0.33),0)</f>
        <v>0</v>
      </c>
    </row>
    <row r="699" spans="2:9" x14ac:dyDescent="0.25">
      <c r="B699" s="87" t="s">
        <v>15</v>
      </c>
      <c r="C699" s="134" t="s">
        <v>536</v>
      </c>
      <c r="D699" s="39"/>
      <c r="E699" s="159" t="s">
        <v>12</v>
      </c>
      <c r="F699" s="19"/>
      <c r="G699" s="25"/>
      <c r="H699" s="23"/>
    </row>
    <row r="700" spans="2:9" x14ac:dyDescent="0.25">
      <c r="B700" s="132"/>
      <c r="C700" s="17"/>
      <c r="D700" s="39"/>
      <c r="E700" s="159" t="s">
        <v>13</v>
      </c>
      <c r="F700" s="19"/>
      <c r="G700" s="18"/>
      <c r="H700" s="23"/>
    </row>
    <row r="701" spans="2:9" x14ac:dyDescent="0.25">
      <c r="B701" s="130" t="s">
        <v>91</v>
      </c>
      <c r="C701" s="153" t="s">
        <v>537</v>
      </c>
      <c r="D701" s="40"/>
      <c r="E701" s="13"/>
      <c r="F701" s="15"/>
      <c r="G701" s="27"/>
      <c r="H701" s="14"/>
      <c r="I701" s="16"/>
    </row>
    <row r="702" spans="2:9" x14ac:dyDescent="0.25">
      <c r="B702" s="87" t="s">
        <v>15</v>
      </c>
      <c r="C702" s="133" t="s">
        <v>538</v>
      </c>
      <c r="D702" s="39"/>
      <c r="E702" s="159" t="s">
        <v>9</v>
      </c>
      <c r="F702" s="19"/>
      <c r="G702" s="25"/>
      <c r="H702" s="20" t="b">
        <f>IF(D704="x",H$2,H$1)</f>
        <v>0</v>
      </c>
    </row>
    <row r="703" spans="2:9" x14ac:dyDescent="0.25">
      <c r="B703" s="87" t="s">
        <v>15</v>
      </c>
      <c r="C703" s="134" t="s">
        <v>539</v>
      </c>
      <c r="D703" s="39"/>
      <c r="E703" s="159" t="s">
        <v>10</v>
      </c>
      <c r="F703" s="21" t="str">
        <f>IF(H704=1,IF(H702=H$2,H702,""),"")</f>
        <v/>
      </c>
      <c r="G703" s="25"/>
      <c r="H703" s="20" t="str">
        <f>IF(E$785="comprobar",COUNTIF(D702:D706,"x"),"")</f>
        <v/>
      </c>
    </row>
    <row r="704" spans="2:9" x14ac:dyDescent="0.25">
      <c r="B704" s="87" t="s">
        <v>15</v>
      </c>
      <c r="C704" s="134" t="s">
        <v>540</v>
      </c>
      <c r="D704" s="39"/>
      <c r="E704" s="159" t="s">
        <v>11</v>
      </c>
      <c r="F704" s="22" t="str">
        <f>IF(H704=-0.33,IF(H702=H$1,H702,""),"")</f>
        <v/>
      </c>
      <c r="G704" s="25"/>
      <c r="H704" s="23">
        <f t="shared" ref="H704" si="70">IF(H703=1,IF(H702=H$2,1,-0.33),0)</f>
        <v>0</v>
      </c>
    </row>
    <row r="705" spans="2:9" x14ac:dyDescent="0.25">
      <c r="B705" s="87" t="s">
        <v>15</v>
      </c>
      <c r="C705" s="134" t="s">
        <v>541</v>
      </c>
      <c r="D705" s="39"/>
      <c r="E705" s="159" t="s">
        <v>12</v>
      </c>
      <c r="F705" s="19"/>
      <c r="G705" s="25"/>
      <c r="H705" s="23"/>
    </row>
    <row r="706" spans="2:9" x14ac:dyDescent="0.25">
      <c r="B706" s="132"/>
      <c r="C706" s="17"/>
      <c r="D706" s="39"/>
      <c r="E706" s="159" t="s">
        <v>13</v>
      </c>
      <c r="F706" s="19"/>
      <c r="G706" s="18"/>
      <c r="H706" s="23"/>
    </row>
    <row r="707" spans="2:9" x14ac:dyDescent="0.25">
      <c r="B707" s="130" t="s">
        <v>92</v>
      </c>
      <c r="C707" s="131" t="s">
        <v>542</v>
      </c>
      <c r="D707" s="40"/>
      <c r="E707" s="13"/>
      <c r="F707" s="15"/>
      <c r="G707" s="27"/>
      <c r="H707" s="14"/>
      <c r="I707" s="16"/>
    </row>
    <row r="708" spans="2:9" x14ac:dyDescent="0.25">
      <c r="B708" s="87" t="s">
        <v>15</v>
      </c>
      <c r="C708" s="133" t="s">
        <v>543</v>
      </c>
      <c r="D708" s="39"/>
      <c r="E708" s="159" t="s">
        <v>9</v>
      </c>
      <c r="F708" s="19"/>
      <c r="G708" s="25"/>
      <c r="H708" s="20" t="b">
        <f>IF(D709="x",H$2,H$1)</f>
        <v>0</v>
      </c>
    </row>
    <row r="709" spans="2:9" x14ac:dyDescent="0.25">
      <c r="B709" s="87" t="s">
        <v>15</v>
      </c>
      <c r="C709" s="134" t="s">
        <v>544</v>
      </c>
      <c r="D709" s="39"/>
      <c r="E709" s="159" t="s">
        <v>10</v>
      </c>
      <c r="F709" s="21" t="str">
        <f>IF(H710=1,IF(H708=H$2,H708,""),"")</f>
        <v/>
      </c>
      <c r="G709" s="25"/>
      <c r="H709" s="20" t="str">
        <f>IF(E$785="comprobar",COUNTIF(D708:D712,"x"),"")</f>
        <v/>
      </c>
    </row>
    <row r="710" spans="2:9" ht="18" customHeight="1" x14ac:dyDescent="0.25">
      <c r="B710" s="87" t="s">
        <v>15</v>
      </c>
      <c r="C710" s="164" t="s">
        <v>545</v>
      </c>
      <c r="D710" s="39"/>
      <c r="E710" s="159" t="s">
        <v>11</v>
      </c>
      <c r="F710" s="22" t="str">
        <f>IF(H710=-0.33,IF(H708=H$1,H708,""),"")</f>
        <v/>
      </c>
      <c r="G710" s="25"/>
      <c r="H710" s="23">
        <f t="shared" ref="H710" si="71">IF(H709=1,IF(H708=H$2,1,-0.33),0)</f>
        <v>0</v>
      </c>
    </row>
    <row r="711" spans="2:9" x14ac:dyDescent="0.25">
      <c r="B711" s="87" t="s">
        <v>15</v>
      </c>
      <c r="C711" s="134" t="s">
        <v>546</v>
      </c>
      <c r="D711" s="39"/>
      <c r="E711" s="159" t="s">
        <v>12</v>
      </c>
      <c r="F711" s="19"/>
      <c r="G711" s="25"/>
      <c r="H711" s="23"/>
    </row>
    <row r="712" spans="2:9" x14ac:dyDescent="0.25">
      <c r="B712" s="132"/>
      <c r="C712" s="17"/>
      <c r="D712" s="39"/>
      <c r="E712" s="159" t="s">
        <v>13</v>
      </c>
      <c r="F712" s="19"/>
      <c r="G712" s="18"/>
      <c r="H712" s="23"/>
    </row>
    <row r="713" spans="2:9" x14ac:dyDescent="0.25">
      <c r="B713" s="130" t="s">
        <v>199</v>
      </c>
      <c r="C713" s="153" t="s">
        <v>547</v>
      </c>
      <c r="D713" s="40"/>
      <c r="E713" s="13"/>
      <c r="F713" s="15"/>
      <c r="G713" s="27"/>
      <c r="H713" s="14"/>
      <c r="I713" s="16"/>
    </row>
    <row r="714" spans="2:9" x14ac:dyDescent="0.25">
      <c r="B714" s="87" t="s">
        <v>15</v>
      </c>
      <c r="C714" s="133" t="s">
        <v>548</v>
      </c>
      <c r="D714" s="39"/>
      <c r="E714" s="159" t="s">
        <v>9</v>
      </c>
      <c r="F714" s="19"/>
      <c r="G714" s="25"/>
      <c r="H714" s="20" t="b">
        <f>IF(D716="x",H$2,H$1)</f>
        <v>0</v>
      </c>
    </row>
    <row r="715" spans="2:9" x14ac:dyDescent="0.25">
      <c r="B715" s="87" t="s">
        <v>15</v>
      </c>
      <c r="C715" s="134" t="s">
        <v>549</v>
      </c>
      <c r="D715" s="39"/>
      <c r="E715" s="159" t="s">
        <v>10</v>
      </c>
      <c r="F715" s="21" t="str">
        <f>IF(H716=1,IF(H714=H$2,H714,""),"")</f>
        <v/>
      </c>
      <c r="G715" s="25"/>
      <c r="H715" s="20" t="str">
        <f>IF(E$785="comprobar",COUNTIF(D714:D718,"x"),"")</f>
        <v/>
      </c>
    </row>
    <row r="716" spans="2:9" x14ac:dyDescent="0.25">
      <c r="B716" s="87" t="s">
        <v>15</v>
      </c>
      <c r="C716" s="134" t="s">
        <v>550</v>
      </c>
      <c r="D716" s="39"/>
      <c r="E716" s="159" t="s">
        <v>11</v>
      </c>
      <c r="F716" s="22" t="str">
        <f>IF(H716=-0.33,IF(H714=H$1,H714,""),"")</f>
        <v/>
      </c>
      <c r="G716" s="25"/>
      <c r="H716" s="23">
        <f t="shared" ref="H716" si="72">IF(H715=1,IF(H714=H$2,1,-0.33),0)</f>
        <v>0</v>
      </c>
    </row>
    <row r="717" spans="2:9" x14ac:dyDescent="0.25">
      <c r="B717" s="87" t="s">
        <v>15</v>
      </c>
      <c r="C717" s="134" t="s">
        <v>393</v>
      </c>
      <c r="D717" s="39"/>
      <c r="E717" s="159" t="s">
        <v>12</v>
      </c>
      <c r="F717" s="19"/>
      <c r="G717" s="25"/>
      <c r="H717" s="23"/>
    </row>
    <row r="718" spans="2:9" x14ac:dyDescent="0.25">
      <c r="B718" s="132"/>
      <c r="C718" s="17"/>
      <c r="D718" s="39"/>
      <c r="E718" s="159" t="s">
        <v>13</v>
      </c>
      <c r="F718" s="19"/>
      <c r="G718" s="18"/>
      <c r="H718" s="23"/>
    </row>
    <row r="719" spans="2:9" x14ac:dyDescent="0.25">
      <c r="B719" s="130" t="s">
        <v>159</v>
      </c>
      <c r="C719" s="131" t="s">
        <v>561</v>
      </c>
      <c r="D719" s="40"/>
      <c r="E719" s="13"/>
      <c r="F719" s="15"/>
      <c r="G719" s="27"/>
      <c r="H719" s="14"/>
      <c r="I719" s="16"/>
    </row>
    <row r="720" spans="2:9" x14ac:dyDescent="0.25">
      <c r="B720" s="87" t="s">
        <v>15</v>
      </c>
      <c r="C720" s="133" t="s">
        <v>562</v>
      </c>
      <c r="D720" s="39"/>
      <c r="E720" s="159" t="s">
        <v>9</v>
      </c>
      <c r="F720" s="19"/>
      <c r="G720" s="25"/>
      <c r="H720" s="20" t="b">
        <f>IF(D723="x",H$2,H$1)</f>
        <v>0</v>
      </c>
    </row>
    <row r="721" spans="2:9" x14ac:dyDescent="0.25">
      <c r="B721" s="87" t="s">
        <v>15</v>
      </c>
      <c r="C721" s="134" t="s">
        <v>563</v>
      </c>
      <c r="D721" s="39"/>
      <c r="E721" s="159" t="s">
        <v>10</v>
      </c>
      <c r="F721" s="21" t="str">
        <f>IF(H722=1,IF(H720=H$2,H720,""),"")</f>
        <v/>
      </c>
      <c r="G721" s="25"/>
      <c r="H721" s="20" t="str">
        <f>IF(E$785="comprobar",COUNTIF(D720:D724,"x"),"")</f>
        <v/>
      </c>
    </row>
    <row r="722" spans="2:9" x14ac:dyDescent="0.25">
      <c r="B722" s="87" t="s">
        <v>15</v>
      </c>
      <c r="C722" s="134" t="s">
        <v>564</v>
      </c>
      <c r="D722" s="39"/>
      <c r="E722" s="159" t="s">
        <v>11</v>
      </c>
      <c r="F722" s="22" t="str">
        <f>IF(H722=-0.33,IF(H720=H$1,H720,""),"")</f>
        <v/>
      </c>
      <c r="G722" s="25"/>
      <c r="H722" s="23">
        <f t="shared" ref="H722" si="73">IF(H721=1,IF(H720=H$2,1,-0.33),0)</f>
        <v>0</v>
      </c>
    </row>
    <row r="723" spans="2:9" x14ac:dyDescent="0.25">
      <c r="B723" s="87" t="s">
        <v>15</v>
      </c>
      <c r="C723" s="134" t="s">
        <v>565</v>
      </c>
      <c r="D723" s="39"/>
      <c r="E723" s="159" t="s">
        <v>12</v>
      </c>
      <c r="F723" s="19"/>
      <c r="G723" s="25"/>
      <c r="H723" s="23"/>
    </row>
    <row r="724" spans="2:9" x14ac:dyDescent="0.25">
      <c r="B724" s="132"/>
      <c r="C724" s="17"/>
      <c r="D724" s="39"/>
      <c r="E724" s="159" t="s">
        <v>13</v>
      </c>
      <c r="F724" s="19"/>
      <c r="G724" s="18"/>
      <c r="H724" s="23"/>
    </row>
    <row r="725" spans="2:9" x14ac:dyDescent="0.25">
      <c r="B725" s="130" t="s">
        <v>556</v>
      </c>
      <c r="C725" s="131" t="s">
        <v>566</v>
      </c>
      <c r="D725" s="40"/>
      <c r="E725" s="13"/>
      <c r="F725" s="15"/>
      <c r="G725" s="27"/>
      <c r="H725" s="14"/>
      <c r="I725" s="16"/>
    </row>
    <row r="726" spans="2:9" x14ac:dyDescent="0.25">
      <c r="B726" s="87" t="s">
        <v>15</v>
      </c>
      <c r="C726" s="133" t="s">
        <v>357</v>
      </c>
      <c r="D726" s="39"/>
      <c r="E726" s="159" t="s">
        <v>9</v>
      </c>
      <c r="F726" s="19"/>
      <c r="G726" s="25"/>
      <c r="H726" s="20" t="b">
        <f>IF(D728="x",H$2,H$1)</f>
        <v>0</v>
      </c>
    </row>
    <row r="727" spans="2:9" x14ac:dyDescent="0.25">
      <c r="B727" s="87" t="s">
        <v>15</v>
      </c>
      <c r="C727" s="134" t="s">
        <v>355</v>
      </c>
      <c r="D727" s="39"/>
      <c r="E727" s="159" t="s">
        <v>10</v>
      </c>
      <c r="F727" s="21" t="str">
        <f>IF(H728=1,IF(H726=H$2,H726,""),"")</f>
        <v/>
      </c>
      <c r="G727" s="25"/>
      <c r="H727" s="20" t="str">
        <f>IF(E$785="comprobar",COUNTIF(D726:D730,"x"),"")</f>
        <v/>
      </c>
    </row>
    <row r="728" spans="2:9" x14ac:dyDescent="0.25">
      <c r="B728" s="87" t="s">
        <v>15</v>
      </c>
      <c r="C728" s="134" t="s">
        <v>354</v>
      </c>
      <c r="D728" s="39"/>
      <c r="E728" s="159" t="s">
        <v>11</v>
      </c>
      <c r="F728" s="22" t="str">
        <f>IF(H728=-0.33,IF(H726=H$1,H726,""),"")</f>
        <v/>
      </c>
      <c r="G728" s="25"/>
      <c r="H728" s="23">
        <f t="shared" ref="H728" si="74">IF(H727=1,IF(H726=H$2,1,-0.33),0)</f>
        <v>0</v>
      </c>
    </row>
    <row r="729" spans="2:9" x14ac:dyDescent="0.25">
      <c r="B729" s="87" t="s">
        <v>15</v>
      </c>
      <c r="C729" s="134" t="s">
        <v>356</v>
      </c>
      <c r="D729" s="39"/>
      <c r="E729" s="159" t="s">
        <v>12</v>
      </c>
      <c r="F729" s="19"/>
      <c r="G729" s="25"/>
      <c r="H729" s="23"/>
    </row>
    <row r="730" spans="2:9" x14ac:dyDescent="0.25">
      <c r="B730" s="132"/>
      <c r="C730" s="17"/>
      <c r="D730" s="39"/>
      <c r="E730" s="159" t="s">
        <v>13</v>
      </c>
      <c r="F730" s="19"/>
      <c r="G730" s="18"/>
      <c r="H730" s="23"/>
    </row>
    <row r="731" spans="2:9" x14ac:dyDescent="0.25">
      <c r="B731" s="130" t="s">
        <v>557</v>
      </c>
      <c r="C731" s="131" t="s">
        <v>567</v>
      </c>
      <c r="D731" s="40"/>
      <c r="E731" s="13"/>
      <c r="F731" s="15"/>
      <c r="G731" s="27"/>
      <c r="H731" s="14"/>
      <c r="I731" s="16"/>
    </row>
    <row r="732" spans="2:9" x14ac:dyDescent="0.25">
      <c r="B732" s="87" t="s">
        <v>15</v>
      </c>
      <c r="C732" s="133" t="s">
        <v>369</v>
      </c>
      <c r="D732" s="39"/>
      <c r="E732" s="159" t="s">
        <v>9</v>
      </c>
      <c r="F732" s="19"/>
      <c r="G732" s="25"/>
      <c r="H732" s="20" t="b">
        <f>IF(D734="x",H$2,H$1)</f>
        <v>0</v>
      </c>
    </row>
    <row r="733" spans="2:9" x14ac:dyDescent="0.25">
      <c r="B733" s="87" t="s">
        <v>15</v>
      </c>
      <c r="C733" s="134" t="s">
        <v>568</v>
      </c>
      <c r="D733" s="39"/>
      <c r="E733" s="159" t="s">
        <v>10</v>
      </c>
      <c r="F733" s="21" t="str">
        <f>IF(H734=1,IF(H732=H$2,H732,""),"")</f>
        <v/>
      </c>
      <c r="G733" s="25"/>
      <c r="H733" s="20" t="str">
        <f>IF(E$785="comprobar",COUNTIF(D732:D736,"x"),"")</f>
        <v/>
      </c>
    </row>
    <row r="734" spans="2:9" ht="14.25" customHeight="1" x14ac:dyDescent="0.25">
      <c r="B734" s="87" t="s">
        <v>15</v>
      </c>
      <c r="C734" s="164" t="s">
        <v>569</v>
      </c>
      <c r="D734" s="39"/>
      <c r="E734" s="159" t="s">
        <v>11</v>
      </c>
      <c r="F734" s="22" t="str">
        <f>IF(H734=-0.33,IF(H732=H$1,H732,""),"")</f>
        <v/>
      </c>
      <c r="G734" s="25"/>
      <c r="H734" s="23">
        <f t="shared" ref="H734" si="75">IF(H733=1,IF(H732=H$2,1,-0.33),0)</f>
        <v>0</v>
      </c>
    </row>
    <row r="735" spans="2:9" ht="19.5" customHeight="1" x14ac:dyDescent="0.25">
      <c r="B735" s="87" t="s">
        <v>15</v>
      </c>
      <c r="C735" s="164" t="s">
        <v>570</v>
      </c>
      <c r="D735" s="39"/>
      <c r="E735" s="159" t="s">
        <v>12</v>
      </c>
      <c r="F735" s="19"/>
      <c r="G735" s="25"/>
      <c r="H735" s="23"/>
    </row>
    <row r="736" spans="2:9" x14ac:dyDescent="0.25">
      <c r="B736" s="132"/>
      <c r="C736" s="17"/>
      <c r="D736" s="39"/>
      <c r="E736" s="159" t="s">
        <v>13</v>
      </c>
      <c r="F736" s="19"/>
      <c r="G736" s="18"/>
      <c r="H736" s="23"/>
    </row>
    <row r="737" spans="2:9" x14ac:dyDescent="0.25">
      <c r="B737" s="130" t="s">
        <v>558</v>
      </c>
      <c r="C737" s="131" t="s">
        <v>571</v>
      </c>
      <c r="D737" s="40"/>
      <c r="E737" s="13"/>
      <c r="F737" s="15"/>
      <c r="G737" s="27"/>
      <c r="H737" s="14"/>
      <c r="I737" s="16"/>
    </row>
    <row r="738" spans="2:9" x14ac:dyDescent="0.25">
      <c r="B738" s="87" t="s">
        <v>15</v>
      </c>
      <c r="C738" s="133" t="s">
        <v>271</v>
      </c>
      <c r="D738" s="39"/>
      <c r="E738" s="159" t="s">
        <v>9</v>
      </c>
      <c r="F738" s="19"/>
      <c r="G738" s="25"/>
      <c r="H738" s="20" t="b">
        <f>IF(D740="x",H$2,H$1)</f>
        <v>0</v>
      </c>
    </row>
    <row r="739" spans="2:9" x14ac:dyDescent="0.25">
      <c r="B739" s="87" t="s">
        <v>15</v>
      </c>
      <c r="C739" s="134" t="s">
        <v>268</v>
      </c>
      <c r="D739" s="39"/>
      <c r="E739" s="159" t="s">
        <v>10</v>
      </c>
      <c r="F739" s="21" t="str">
        <f>IF(H740=1,IF(H738=H$2,H738,""),"")</f>
        <v/>
      </c>
      <c r="G739" s="25"/>
      <c r="H739" s="20" t="str">
        <f>IF(E$785="comprobar",COUNTIF(D738:D742,"x"),"")</f>
        <v/>
      </c>
    </row>
    <row r="740" spans="2:9" ht="18" customHeight="1" x14ac:dyDescent="0.25">
      <c r="B740" s="87" t="s">
        <v>15</v>
      </c>
      <c r="C740" s="164" t="s">
        <v>572</v>
      </c>
      <c r="D740" s="39"/>
      <c r="E740" s="159" t="s">
        <v>11</v>
      </c>
      <c r="F740" s="22" t="str">
        <f>IF(H740=-0.33,IF(H738=H$1,H738,""),"")</f>
        <v/>
      </c>
      <c r="G740" s="25"/>
      <c r="H740" s="23">
        <f t="shared" ref="H740" si="76">IF(H739=1,IF(H738=H$2,1,-0.33),0)</f>
        <v>0</v>
      </c>
    </row>
    <row r="741" spans="2:9" ht="17.25" customHeight="1" x14ac:dyDescent="0.25">
      <c r="B741" s="87" t="s">
        <v>15</v>
      </c>
      <c r="C741" s="164" t="s">
        <v>573</v>
      </c>
      <c r="D741" s="39"/>
      <c r="E741" s="159" t="s">
        <v>12</v>
      </c>
      <c r="F741" s="19"/>
      <c r="G741" s="25"/>
      <c r="H741" s="23"/>
    </row>
    <row r="742" spans="2:9" x14ac:dyDescent="0.25">
      <c r="B742" s="132"/>
      <c r="C742" s="17"/>
      <c r="D742" s="39"/>
      <c r="E742" s="159" t="s">
        <v>13</v>
      </c>
      <c r="F742" s="19"/>
      <c r="G742" s="18"/>
      <c r="H742" s="23"/>
    </row>
    <row r="743" spans="2:9" x14ac:dyDescent="0.25">
      <c r="B743" s="130" t="s">
        <v>551</v>
      </c>
      <c r="C743" s="131" t="s">
        <v>629</v>
      </c>
      <c r="D743" s="40"/>
      <c r="E743" s="13"/>
      <c r="F743" s="15"/>
      <c r="G743" s="27"/>
      <c r="H743" s="14"/>
      <c r="I743" s="16"/>
    </row>
    <row r="744" spans="2:9" x14ac:dyDescent="0.25">
      <c r="B744" s="87" t="s">
        <v>15</v>
      </c>
      <c r="C744" s="133" t="s">
        <v>574</v>
      </c>
      <c r="D744" s="39"/>
      <c r="E744" s="159" t="s">
        <v>9</v>
      </c>
      <c r="F744" s="19"/>
      <c r="G744" s="25"/>
      <c r="H744" s="20" t="b">
        <f>IF(D745="x",H$2,H$1)</f>
        <v>0</v>
      </c>
    </row>
    <row r="745" spans="2:9" x14ac:dyDescent="0.25">
      <c r="B745" s="87" t="s">
        <v>15</v>
      </c>
      <c r="C745" s="134" t="s">
        <v>575</v>
      </c>
      <c r="D745" s="39"/>
      <c r="E745" s="159" t="s">
        <v>10</v>
      </c>
      <c r="F745" s="21" t="str">
        <f>IF(H746=1,IF(H744=H$2,H744,""),"")</f>
        <v/>
      </c>
      <c r="G745" s="25"/>
      <c r="H745" s="20" t="str">
        <f>IF(E$785="comprobar",COUNTIF(D744:D748,"x"),"")</f>
        <v/>
      </c>
    </row>
    <row r="746" spans="2:9" x14ac:dyDescent="0.25">
      <c r="B746" s="87" t="s">
        <v>15</v>
      </c>
      <c r="C746" s="134" t="s">
        <v>576</v>
      </c>
      <c r="D746" s="39"/>
      <c r="E746" s="159" t="s">
        <v>11</v>
      </c>
      <c r="F746" s="22" t="str">
        <f>IF(H746=-0.33,IF(H744=H$1,H744,""),"")</f>
        <v/>
      </c>
      <c r="G746" s="25"/>
      <c r="H746" s="23">
        <f t="shared" ref="H746" si="77">IF(H745=1,IF(H744=H$2,1,-0.33),0)</f>
        <v>0</v>
      </c>
    </row>
    <row r="747" spans="2:9" x14ac:dyDescent="0.25">
      <c r="B747" s="87" t="s">
        <v>15</v>
      </c>
      <c r="C747" s="134" t="s">
        <v>577</v>
      </c>
      <c r="D747" s="39"/>
      <c r="E747" s="159" t="s">
        <v>12</v>
      </c>
      <c r="F747" s="19"/>
      <c r="G747" s="25"/>
      <c r="H747" s="23"/>
    </row>
    <row r="748" spans="2:9" x14ac:dyDescent="0.25">
      <c r="B748" s="132"/>
      <c r="C748" s="17"/>
      <c r="D748" s="39"/>
      <c r="E748" s="159" t="s">
        <v>13</v>
      </c>
      <c r="F748" s="19"/>
      <c r="G748" s="18"/>
      <c r="H748" s="23"/>
    </row>
    <row r="749" spans="2:9" x14ac:dyDescent="0.25">
      <c r="B749" s="130" t="s">
        <v>552</v>
      </c>
      <c r="C749" s="131" t="s">
        <v>308</v>
      </c>
      <c r="D749" s="40"/>
      <c r="E749" s="13"/>
      <c r="F749" s="15"/>
      <c r="G749" s="27"/>
      <c r="H749" s="14"/>
      <c r="I749" s="16"/>
    </row>
    <row r="750" spans="2:9" x14ac:dyDescent="0.25">
      <c r="B750" s="87" t="s">
        <v>15</v>
      </c>
      <c r="C750" s="133" t="s">
        <v>578</v>
      </c>
      <c r="D750" s="39"/>
      <c r="E750" s="159" t="s">
        <v>9</v>
      </c>
      <c r="F750" s="19"/>
      <c r="G750" s="25"/>
      <c r="H750" s="20" t="b">
        <f>IF(D753="x",H$2,H$1)</f>
        <v>0</v>
      </c>
    </row>
    <row r="751" spans="2:9" x14ac:dyDescent="0.25">
      <c r="B751" s="87" t="s">
        <v>15</v>
      </c>
      <c r="C751" s="134" t="s">
        <v>579</v>
      </c>
      <c r="D751" s="39"/>
      <c r="E751" s="159" t="s">
        <v>10</v>
      </c>
      <c r="F751" s="21" t="str">
        <f>IF(H752=1,IF(H750=H$2,H750,""),"")</f>
        <v/>
      </c>
      <c r="G751" s="25"/>
      <c r="H751" s="20" t="str">
        <f>IF(E$785="comprobar",COUNTIF(D750:D754,"x"),"")</f>
        <v/>
      </c>
    </row>
    <row r="752" spans="2:9" ht="15.75" customHeight="1" x14ac:dyDescent="0.25">
      <c r="B752" s="87" t="s">
        <v>15</v>
      </c>
      <c r="C752" s="164" t="s">
        <v>581</v>
      </c>
      <c r="D752" s="39"/>
      <c r="E752" s="159" t="s">
        <v>11</v>
      </c>
      <c r="F752" s="22" t="str">
        <f>IF(H752=-0.33,IF(H750=H$1,H750,""),"")</f>
        <v/>
      </c>
      <c r="G752" s="25"/>
      <c r="H752" s="23">
        <f t="shared" ref="H752" si="78">IF(H751=1,IF(H750=H$2,1,-0.33),0)</f>
        <v>0</v>
      </c>
    </row>
    <row r="753" spans="2:9" x14ac:dyDescent="0.25">
      <c r="B753" s="87" t="s">
        <v>15</v>
      </c>
      <c r="C753" s="134" t="s">
        <v>580</v>
      </c>
      <c r="D753" s="39"/>
      <c r="E753" s="159" t="s">
        <v>12</v>
      </c>
      <c r="F753" s="19"/>
      <c r="G753" s="25"/>
      <c r="H753" s="23"/>
    </row>
    <row r="754" spans="2:9" x14ac:dyDescent="0.25">
      <c r="B754" s="132"/>
      <c r="C754" s="17"/>
      <c r="D754" s="39"/>
      <c r="E754" s="159" t="s">
        <v>13</v>
      </c>
      <c r="F754" s="19"/>
      <c r="G754" s="18"/>
      <c r="H754" s="23"/>
    </row>
    <row r="755" spans="2:9" x14ac:dyDescent="0.25">
      <c r="B755" s="130" t="s">
        <v>553</v>
      </c>
      <c r="C755" s="131" t="s">
        <v>582</v>
      </c>
      <c r="D755" s="40"/>
      <c r="E755" s="13"/>
      <c r="F755" s="15"/>
      <c r="G755" s="27"/>
      <c r="H755" s="14"/>
      <c r="I755" s="16"/>
    </row>
    <row r="756" spans="2:9" x14ac:dyDescent="0.25">
      <c r="B756" s="87" t="s">
        <v>15</v>
      </c>
      <c r="C756" s="133" t="s">
        <v>583</v>
      </c>
      <c r="D756" s="39"/>
      <c r="E756" s="159" t="s">
        <v>9</v>
      </c>
      <c r="F756" s="19"/>
      <c r="G756" s="25"/>
      <c r="H756" s="20" t="b">
        <f>IF(D757="x",H$2,H$1)</f>
        <v>0</v>
      </c>
    </row>
    <row r="757" spans="2:9" x14ac:dyDescent="0.25">
      <c r="B757" s="87" t="s">
        <v>15</v>
      </c>
      <c r="C757" s="134" t="s">
        <v>584</v>
      </c>
      <c r="D757" s="39"/>
      <c r="E757" s="159" t="s">
        <v>10</v>
      </c>
      <c r="F757" s="21" t="str">
        <f>IF(H758=1,IF(H756=H$2,H756,""),"")</f>
        <v/>
      </c>
      <c r="G757" s="25"/>
      <c r="H757" s="20" t="str">
        <f>IF(E$785="comprobar",COUNTIF(D756:D760,"x"),"")</f>
        <v/>
      </c>
    </row>
    <row r="758" spans="2:9" x14ac:dyDescent="0.25">
      <c r="B758" s="87" t="s">
        <v>15</v>
      </c>
      <c r="C758" s="134" t="s">
        <v>585</v>
      </c>
      <c r="D758" s="39"/>
      <c r="E758" s="159" t="s">
        <v>11</v>
      </c>
      <c r="F758" s="22" t="str">
        <f>IF(H758=-0.33,IF(H756=H$1,H756,""),"")</f>
        <v/>
      </c>
      <c r="G758" s="25"/>
      <c r="H758" s="23">
        <f t="shared" ref="H758" si="79">IF(H757=1,IF(H756=H$2,1,-0.33),0)</f>
        <v>0</v>
      </c>
    </row>
    <row r="759" spans="2:9" x14ac:dyDescent="0.25">
      <c r="B759" s="87" t="s">
        <v>15</v>
      </c>
      <c r="C759" s="134" t="s">
        <v>586</v>
      </c>
      <c r="D759" s="39"/>
      <c r="E759" s="159" t="s">
        <v>12</v>
      </c>
      <c r="F759" s="19"/>
      <c r="G759" s="25"/>
      <c r="H759" s="23"/>
    </row>
    <row r="760" spans="2:9" x14ac:dyDescent="0.25">
      <c r="B760" s="132"/>
      <c r="C760" s="17"/>
      <c r="D760" s="39"/>
      <c r="E760" s="159" t="s">
        <v>13</v>
      </c>
      <c r="F760" s="19"/>
      <c r="G760" s="18"/>
      <c r="H760" s="23"/>
    </row>
    <row r="761" spans="2:9" x14ac:dyDescent="0.25">
      <c r="B761" s="130" t="s">
        <v>554</v>
      </c>
      <c r="C761" s="131" t="s">
        <v>587</v>
      </c>
      <c r="D761" s="40"/>
      <c r="E761" s="13"/>
      <c r="F761" s="15"/>
      <c r="G761" s="27"/>
      <c r="H761" s="14"/>
      <c r="I761" s="16"/>
    </row>
    <row r="762" spans="2:9" x14ac:dyDescent="0.25">
      <c r="B762" s="87" t="s">
        <v>15</v>
      </c>
      <c r="C762" s="133" t="s">
        <v>588</v>
      </c>
      <c r="D762" s="39"/>
      <c r="E762" s="159" t="s">
        <v>9</v>
      </c>
      <c r="F762" s="19"/>
      <c r="G762" s="25"/>
      <c r="H762" s="20" t="b">
        <f>IF(D762="x",H$2,H$1)</f>
        <v>0</v>
      </c>
    </row>
    <row r="763" spans="2:9" ht="18.75" customHeight="1" x14ac:dyDescent="0.25">
      <c r="B763" s="87" t="s">
        <v>15</v>
      </c>
      <c r="C763" s="164" t="s">
        <v>590</v>
      </c>
      <c r="D763" s="39"/>
      <c r="E763" s="159" t="s">
        <v>10</v>
      </c>
      <c r="F763" s="21" t="str">
        <f>IF(H764=1,IF(H762=H$2,H762,""),"")</f>
        <v/>
      </c>
      <c r="G763" s="25"/>
      <c r="H763" s="20" t="str">
        <f>IF(E$785="comprobar",COUNTIF(D762:D766,"x"),"")</f>
        <v/>
      </c>
    </row>
    <row r="764" spans="2:9" ht="17.25" customHeight="1" x14ac:dyDescent="0.25">
      <c r="B764" s="87" t="s">
        <v>15</v>
      </c>
      <c r="C764" s="164" t="s">
        <v>589</v>
      </c>
      <c r="D764" s="39"/>
      <c r="E764" s="159" t="s">
        <v>11</v>
      </c>
      <c r="F764" s="22" t="str">
        <f>IF(H764=-0.33,IF(H762=H$1,H762,""),"")</f>
        <v/>
      </c>
      <c r="G764" s="25"/>
      <c r="H764" s="23">
        <f t="shared" ref="H764" si="80">IF(H763=1,IF(H762=H$2,1,-0.33),0)</f>
        <v>0</v>
      </c>
    </row>
    <row r="765" spans="2:9" x14ac:dyDescent="0.25">
      <c r="B765" s="87" t="s">
        <v>15</v>
      </c>
      <c r="C765" s="134" t="s">
        <v>591</v>
      </c>
      <c r="D765" s="39"/>
      <c r="E765" s="159" t="s">
        <v>12</v>
      </c>
      <c r="F765" s="19"/>
      <c r="G765" s="25"/>
      <c r="H765" s="23"/>
    </row>
    <row r="766" spans="2:9" x14ac:dyDescent="0.25">
      <c r="B766" s="132"/>
      <c r="C766" s="17"/>
      <c r="D766" s="39"/>
      <c r="E766" s="159" t="s">
        <v>13</v>
      </c>
      <c r="F766" s="19"/>
      <c r="G766" s="18"/>
      <c r="H766" s="23"/>
    </row>
    <row r="767" spans="2:9" x14ac:dyDescent="0.25">
      <c r="B767" s="130" t="s">
        <v>555</v>
      </c>
      <c r="C767" s="131" t="s">
        <v>592</v>
      </c>
      <c r="D767" s="40"/>
      <c r="E767" s="13"/>
      <c r="F767" s="15"/>
      <c r="G767" s="27"/>
      <c r="H767" s="14"/>
      <c r="I767" s="16"/>
    </row>
    <row r="768" spans="2:9" x14ac:dyDescent="0.25">
      <c r="B768" s="87" t="s">
        <v>15</v>
      </c>
      <c r="C768" s="133" t="s">
        <v>389</v>
      </c>
      <c r="D768" s="39"/>
      <c r="E768" s="159" t="s">
        <v>9</v>
      </c>
      <c r="F768" s="19"/>
      <c r="G768" s="25"/>
      <c r="H768" s="20" t="b">
        <f>IF(D770="x",H$2,H$1)</f>
        <v>0</v>
      </c>
    </row>
    <row r="769" spans="2:9" x14ac:dyDescent="0.25">
      <c r="B769" s="87" t="s">
        <v>15</v>
      </c>
      <c r="C769" s="134" t="s">
        <v>356</v>
      </c>
      <c r="D769" s="39"/>
      <c r="E769" s="159" t="s">
        <v>10</v>
      </c>
      <c r="F769" s="21" t="str">
        <f>IF(H770=1,IF(H768=H$2,H768,""),"")</f>
        <v/>
      </c>
      <c r="G769" s="25"/>
      <c r="H769" s="20" t="str">
        <f>IF(E$785="comprobar",COUNTIF(D768:D772,"x"),"")</f>
        <v/>
      </c>
    </row>
    <row r="770" spans="2:9" x14ac:dyDescent="0.25">
      <c r="B770" s="87" t="s">
        <v>15</v>
      </c>
      <c r="C770" s="134" t="s">
        <v>391</v>
      </c>
      <c r="D770" s="39"/>
      <c r="E770" s="159" t="s">
        <v>11</v>
      </c>
      <c r="F770" s="22" t="str">
        <f>IF(H770=-0.33,IF(H768=H$1,H768,""),"")</f>
        <v/>
      </c>
      <c r="G770" s="25"/>
      <c r="H770" s="23">
        <f t="shared" ref="H770" si="81">IF(H769=1,IF(H768=H$2,1,-0.33),0)</f>
        <v>0</v>
      </c>
    </row>
    <row r="771" spans="2:9" x14ac:dyDescent="0.25">
      <c r="B771" s="87" t="s">
        <v>15</v>
      </c>
      <c r="C771" s="134" t="s">
        <v>390</v>
      </c>
      <c r="D771" s="39"/>
      <c r="E771" s="159" t="s">
        <v>12</v>
      </c>
      <c r="F771" s="19"/>
      <c r="G771" s="25"/>
      <c r="H771" s="23"/>
    </row>
    <row r="772" spans="2:9" x14ac:dyDescent="0.25">
      <c r="B772" s="132"/>
      <c r="C772" s="17"/>
      <c r="D772" s="39"/>
      <c r="E772" s="159" t="s">
        <v>13</v>
      </c>
      <c r="F772" s="19"/>
      <c r="G772" s="18"/>
      <c r="H772" s="23"/>
    </row>
    <row r="773" spans="2:9" x14ac:dyDescent="0.25">
      <c r="B773" s="130" t="s">
        <v>559</v>
      </c>
      <c r="C773" s="131" t="s">
        <v>593</v>
      </c>
      <c r="D773" s="40"/>
      <c r="E773" s="13"/>
      <c r="F773" s="15"/>
      <c r="G773" s="27"/>
      <c r="H773" s="14"/>
      <c r="I773" s="16"/>
    </row>
    <row r="774" spans="2:9" x14ac:dyDescent="0.25">
      <c r="B774" s="87" t="s">
        <v>15</v>
      </c>
      <c r="C774" s="133" t="s">
        <v>594</v>
      </c>
      <c r="D774" s="39"/>
      <c r="E774" s="159" t="s">
        <v>9</v>
      </c>
      <c r="F774" s="19"/>
      <c r="G774" s="25"/>
      <c r="H774" s="20" t="b">
        <f>IF(D774="x",H$2,H$1)</f>
        <v>0</v>
      </c>
    </row>
    <row r="775" spans="2:9" x14ac:dyDescent="0.25">
      <c r="B775" s="87" t="s">
        <v>15</v>
      </c>
      <c r="C775" s="134" t="s">
        <v>595</v>
      </c>
      <c r="D775" s="39"/>
      <c r="E775" s="159" t="s">
        <v>10</v>
      </c>
      <c r="F775" s="21" t="str">
        <f>IF(H776=1,IF(H774=H$2,H774,""),"")</f>
        <v/>
      </c>
      <c r="G775" s="25"/>
      <c r="H775" s="20" t="str">
        <f>IF(E$785="comprobar",COUNTIF(D774:D778,"x"),"")</f>
        <v/>
      </c>
    </row>
    <row r="776" spans="2:9" x14ac:dyDescent="0.25">
      <c r="B776" s="87" t="s">
        <v>15</v>
      </c>
      <c r="C776" s="134" t="s">
        <v>596</v>
      </c>
      <c r="D776" s="39"/>
      <c r="E776" s="159" t="s">
        <v>11</v>
      </c>
      <c r="F776" s="22" t="str">
        <f>IF(H776=-0.33,IF(H774=H$1,H774,""),"")</f>
        <v/>
      </c>
      <c r="G776" s="25"/>
      <c r="H776" s="23">
        <f t="shared" ref="H776" si="82">IF(H775=1,IF(H774=H$2,1,-0.33),0)</f>
        <v>0</v>
      </c>
    </row>
    <row r="777" spans="2:9" x14ac:dyDescent="0.25">
      <c r="B777" s="87" t="s">
        <v>15</v>
      </c>
      <c r="C777" s="134" t="s">
        <v>597</v>
      </c>
      <c r="D777" s="39"/>
      <c r="E777" s="159" t="s">
        <v>12</v>
      </c>
      <c r="F777" s="19"/>
      <c r="G777" s="25"/>
      <c r="H777" s="23"/>
    </row>
    <row r="778" spans="2:9" x14ac:dyDescent="0.25">
      <c r="B778" s="132"/>
      <c r="C778" s="17"/>
      <c r="D778" s="39"/>
      <c r="E778" s="159" t="s">
        <v>13</v>
      </c>
      <c r="F778" s="19"/>
      <c r="G778" s="18"/>
      <c r="H778" s="23"/>
    </row>
    <row r="779" spans="2:9" x14ac:dyDescent="0.25">
      <c r="B779" s="130" t="s">
        <v>560</v>
      </c>
      <c r="C779" s="131" t="s">
        <v>598</v>
      </c>
      <c r="D779" s="40"/>
      <c r="E779" s="13"/>
      <c r="F779" s="15"/>
      <c r="G779" s="27"/>
      <c r="H779" s="14"/>
      <c r="I779" s="16"/>
    </row>
    <row r="780" spans="2:9" ht="20.25" customHeight="1" x14ac:dyDescent="0.25">
      <c r="B780" s="87" t="s">
        <v>15</v>
      </c>
      <c r="C780" s="163" t="s">
        <v>322</v>
      </c>
      <c r="D780" s="39"/>
      <c r="E780" s="159" t="s">
        <v>9</v>
      </c>
      <c r="F780" s="19"/>
      <c r="G780" s="25"/>
      <c r="H780" s="20" t="b">
        <f>IF(D781="x",H$2,H$1)</f>
        <v>0</v>
      </c>
    </row>
    <row r="781" spans="2:9" ht="19.5" customHeight="1" x14ac:dyDescent="0.25">
      <c r="B781" s="87" t="s">
        <v>15</v>
      </c>
      <c r="C781" s="164" t="s">
        <v>599</v>
      </c>
      <c r="D781" s="39"/>
      <c r="E781" s="159" t="s">
        <v>10</v>
      </c>
      <c r="F781" s="21" t="str">
        <f>IF(H782=1,IF(H780=H$2,H780,""),"")</f>
        <v/>
      </c>
      <c r="G781" s="25"/>
      <c r="H781" s="20" t="str">
        <f>IF(E$785="comprobar",COUNTIF(D780:D784,"x"),"")</f>
        <v/>
      </c>
    </row>
    <row r="782" spans="2:9" ht="18" customHeight="1" x14ac:dyDescent="0.25">
      <c r="B782" s="87" t="s">
        <v>15</v>
      </c>
      <c r="C782" s="164" t="s">
        <v>600</v>
      </c>
      <c r="D782" s="39"/>
      <c r="E782" s="159" t="s">
        <v>11</v>
      </c>
      <c r="F782" s="22" t="str">
        <f>IF(H782=-0.33,IF(H780=H$1,H780,""),"")</f>
        <v/>
      </c>
      <c r="G782" s="25"/>
      <c r="H782" s="23">
        <f t="shared" ref="H782" si="83">IF(H781=1,IF(H780=H$2,1,-0.33),0)</f>
        <v>0</v>
      </c>
    </row>
    <row r="783" spans="2:9" ht="15.75" customHeight="1" x14ac:dyDescent="0.25">
      <c r="B783" s="87" t="s">
        <v>15</v>
      </c>
      <c r="C783" s="164" t="s">
        <v>601</v>
      </c>
      <c r="D783" s="39"/>
      <c r="E783" s="159" t="s">
        <v>12</v>
      </c>
      <c r="F783" s="19"/>
      <c r="G783" s="25"/>
      <c r="H783" s="23"/>
    </row>
    <row r="784" spans="2:9" x14ac:dyDescent="0.25">
      <c r="B784" s="132"/>
      <c r="C784" s="17"/>
      <c r="D784" s="39"/>
      <c r="E784" s="159" t="s">
        <v>13</v>
      </c>
      <c r="F784" s="19"/>
      <c r="G784" s="18"/>
      <c r="H784" s="23"/>
    </row>
    <row r="785" spans="2:8" x14ac:dyDescent="0.25">
      <c r="B785" s="132"/>
      <c r="C785" s="17"/>
      <c r="D785" s="49"/>
      <c r="E785" s="55"/>
      <c r="F785" s="19"/>
      <c r="G785" s="18"/>
      <c r="H785" s="23"/>
    </row>
    <row r="786" spans="2:8" x14ac:dyDescent="0.25">
      <c r="B786" s="43"/>
      <c r="C786" s="8"/>
      <c r="D786" s="49"/>
      <c r="E786" s="60"/>
      <c r="F786" s="29" t="s">
        <v>8</v>
      </c>
      <c r="G786" s="18" t="s">
        <v>6</v>
      </c>
      <c r="H786" s="18" t="s">
        <v>7</v>
      </c>
    </row>
    <row r="787" spans="2:8" ht="19.5" x14ac:dyDescent="0.25">
      <c r="B787" s="43"/>
      <c r="C787" s="8"/>
      <c r="D787" s="171"/>
      <c r="E787" s="171"/>
      <c r="F787" s="30" t="str">
        <f>IF(E$785="comprobar",H710+H704+H698+H692+H686+H680+H674+H668+H716+H722+H728+H734+H740+H746+H752+H758+H764+H770+H776+H782,"")</f>
        <v/>
      </c>
      <c r="G787" s="18">
        <f>20/2</f>
        <v>10</v>
      </c>
      <c r="H787" s="18"/>
    </row>
    <row r="788" spans="2:8" ht="16.5" thickBot="1" x14ac:dyDescent="0.3">
      <c r="B788" s="67"/>
      <c r="C788" s="68"/>
      <c r="D788" s="32"/>
      <c r="E788" s="9"/>
      <c r="F788" s="33"/>
      <c r="G788" s="18"/>
      <c r="H788" s="18"/>
    </row>
  </sheetData>
  <sheetProtection algorithmName="SHA-512" hashValue="54b2UWBXd4DBv3pb5S/6/Mp4JRyAYmV31hp9k/p5sBGmOBVNlqXqRYsGDTNPgKzzFcGHOfj8jG8iIpIG10XJFA==" saltValue="qLsdJxt44MVb7m0yG81HZQ==" spinCount="100000" sheet="1" objects="1" scenarios="1" selectLockedCells="1"/>
  <mergeCells count="7">
    <mergeCell ref="C6:F6"/>
    <mergeCell ref="C71:F71"/>
    <mergeCell ref="D787:E787"/>
    <mergeCell ref="D660:E660"/>
    <mergeCell ref="D596:E596"/>
    <mergeCell ref="D531:E531"/>
    <mergeCell ref="D69:E69"/>
  </mergeCells>
  <phoneticPr fontId="8" type="noConversion"/>
  <hyperlinks>
    <hyperlink ref="C215" r:id="rId1" xr:uid="{00000000-0004-0000-0000-000000000000}"/>
    <hyperlink ref="C216" r:id="rId2" xr:uid="{00000000-0004-0000-0000-000001000000}"/>
    <hyperlink ref="C217" r:id="rId3" xr:uid="{00000000-0004-0000-0000-000002000000}"/>
  </hyperlinks>
  <printOptions horizontalCentered="1" verticalCentered="1"/>
  <pageMargins left="0" right="0" top="0" bottom="0" header="0" footer="0"/>
  <pageSetup paperSize="9" scale="43" fitToHeight="2" orientation="portrait" horizontalDpi="4294967293" verticalDpi="1200" r:id="rId4"/>
  <headerFooter>
    <oddHeader>&amp;C&amp;"Calibri,Normal"&amp;K000000=A1</oddHeader>
  </headerFooter>
  <drawing r:id="rId5"/>
  <legacyDrawing r:id="rId6"/>
  <mc:AlternateContent xmlns:mc="http://schemas.openxmlformats.org/markup-compatibility/2006">
    <mc:Choice Requires="x14">
      <controls>
        <mc:AlternateContent xmlns:mc="http://schemas.openxmlformats.org/markup-compatibility/2006">
          <mc:Choice Requires="x14">
            <control shapeId="1029" r:id="rId7" name="Button 5">
              <controlPr defaultSize="0" autoFill="0" autoPict="0" macro="[0]!tema1" altText="Borrar">
                <anchor moveWithCells="1" sizeWithCells="1">
                  <from>
                    <xdr:col>2</xdr:col>
                    <xdr:colOff>9305925</xdr:colOff>
                    <xdr:row>67</xdr:row>
                    <xdr:rowOff>152400</xdr:rowOff>
                  </from>
                  <to>
                    <xdr:col>2</xdr:col>
                    <xdr:colOff>9915525</xdr:colOff>
                    <xdr:row>68</xdr:row>
                    <xdr:rowOff>228600</xdr:rowOff>
                  </to>
                </anchor>
              </controlPr>
            </control>
          </mc:Choice>
        </mc:AlternateContent>
        <mc:AlternateContent xmlns:mc="http://schemas.openxmlformats.org/markup-compatibility/2006">
          <mc:Choice Requires="x14">
            <control shapeId="1031" r:id="rId8" name="Button 7">
              <controlPr defaultSize="0" autoFill="0" autoPict="0" macro="[0]!tema2" altText="Borrar">
                <anchor moveWithCells="1" sizeWithCells="1">
                  <from>
                    <xdr:col>2</xdr:col>
                    <xdr:colOff>9267825</xdr:colOff>
                    <xdr:row>133</xdr:row>
                    <xdr:rowOff>28575</xdr:rowOff>
                  </from>
                  <to>
                    <xdr:col>2</xdr:col>
                    <xdr:colOff>9858375</xdr:colOff>
                    <xdr:row>134</xdr:row>
                    <xdr:rowOff>104775</xdr:rowOff>
                  </to>
                </anchor>
              </controlPr>
            </control>
          </mc:Choice>
        </mc:AlternateContent>
        <mc:AlternateContent xmlns:mc="http://schemas.openxmlformats.org/markup-compatibility/2006">
          <mc:Choice Requires="x14">
            <control shapeId="1032" r:id="rId9" name="Button 8">
              <controlPr defaultSize="0" autoFill="0" autoPict="0" macro="[0]!tema3" altText="Borrar">
                <anchor moveWithCells="1" sizeWithCells="1">
                  <from>
                    <xdr:col>2</xdr:col>
                    <xdr:colOff>9191625</xdr:colOff>
                    <xdr:row>198</xdr:row>
                    <xdr:rowOff>9525</xdr:rowOff>
                  </from>
                  <to>
                    <xdr:col>2</xdr:col>
                    <xdr:colOff>9763125</xdr:colOff>
                    <xdr:row>199</xdr:row>
                    <xdr:rowOff>38100</xdr:rowOff>
                  </to>
                </anchor>
              </controlPr>
            </control>
          </mc:Choice>
        </mc:AlternateContent>
        <mc:AlternateContent xmlns:mc="http://schemas.openxmlformats.org/markup-compatibility/2006">
          <mc:Choice Requires="x14">
            <control shapeId="1034" r:id="rId10" name="Button 10">
              <controlPr defaultSize="0" autoFill="0" autoPict="0" macro="[0]!tema4" altText="Borrar">
                <anchor moveWithCells="1" sizeWithCells="1">
                  <from>
                    <xdr:col>2</xdr:col>
                    <xdr:colOff>9229725</xdr:colOff>
                    <xdr:row>262</xdr:row>
                    <xdr:rowOff>190500</xdr:rowOff>
                  </from>
                  <to>
                    <xdr:col>2</xdr:col>
                    <xdr:colOff>9801225</xdr:colOff>
                    <xdr:row>264</xdr:row>
                    <xdr:rowOff>76200</xdr:rowOff>
                  </to>
                </anchor>
              </controlPr>
            </control>
          </mc:Choice>
        </mc:AlternateContent>
        <mc:AlternateContent xmlns:mc="http://schemas.openxmlformats.org/markup-compatibility/2006">
          <mc:Choice Requires="x14">
            <control shapeId="1035" r:id="rId11" name="Button 11">
              <controlPr defaultSize="0" autoFill="0" autoPict="0" macro="[0]!tema5" altText="Borrar">
                <anchor moveWithCells="1" sizeWithCells="1">
                  <from>
                    <xdr:col>2</xdr:col>
                    <xdr:colOff>9410700</xdr:colOff>
                    <xdr:row>330</xdr:row>
                    <xdr:rowOff>47625</xdr:rowOff>
                  </from>
                  <to>
                    <xdr:col>2</xdr:col>
                    <xdr:colOff>9991725</xdr:colOff>
                    <xdr:row>331</xdr:row>
                    <xdr:rowOff>228600</xdr:rowOff>
                  </to>
                </anchor>
              </controlPr>
            </control>
          </mc:Choice>
        </mc:AlternateContent>
        <mc:AlternateContent xmlns:mc="http://schemas.openxmlformats.org/markup-compatibility/2006">
          <mc:Choice Requires="x14">
            <control shapeId="1036" r:id="rId12" name="Button 12">
              <controlPr defaultSize="0" autoFill="0" autoPict="0" macro="[0]!tema6" altText="Borrar">
                <anchor moveWithCells="1" sizeWithCells="1">
                  <from>
                    <xdr:col>2</xdr:col>
                    <xdr:colOff>9229725</xdr:colOff>
                    <xdr:row>398</xdr:row>
                    <xdr:rowOff>0</xdr:rowOff>
                  </from>
                  <to>
                    <xdr:col>2</xdr:col>
                    <xdr:colOff>9820275</xdr:colOff>
                    <xdr:row>399</xdr:row>
                    <xdr:rowOff>0</xdr:rowOff>
                  </to>
                </anchor>
              </controlPr>
            </control>
          </mc:Choice>
        </mc:AlternateContent>
        <mc:AlternateContent xmlns:mc="http://schemas.openxmlformats.org/markup-compatibility/2006">
          <mc:Choice Requires="x14">
            <control shapeId="1037" r:id="rId13" name="Button 13">
              <controlPr defaultSize="0" autoFill="0" autoPict="0" macro="[0]!tema7" altText="Borrar">
                <anchor moveWithCells="1" sizeWithCells="1">
                  <from>
                    <xdr:col>2</xdr:col>
                    <xdr:colOff>9172575</xdr:colOff>
                    <xdr:row>462</xdr:row>
                    <xdr:rowOff>190500</xdr:rowOff>
                  </from>
                  <to>
                    <xdr:col>2</xdr:col>
                    <xdr:colOff>9791700</xdr:colOff>
                    <xdr:row>463</xdr:row>
                    <xdr:rowOff>238125</xdr:rowOff>
                  </to>
                </anchor>
              </controlPr>
            </control>
          </mc:Choice>
        </mc:AlternateContent>
        <mc:AlternateContent xmlns:mc="http://schemas.openxmlformats.org/markup-compatibility/2006">
          <mc:Choice Requires="x14">
            <control shapeId="1038" r:id="rId14" name="Button 14">
              <controlPr defaultSize="0" autoFill="0" autoPict="0" macro="[0]!compro7">
                <anchor moveWithCells="1" sizeWithCells="1">
                  <from>
                    <xdr:col>2</xdr:col>
                    <xdr:colOff>7781925</xdr:colOff>
                    <xdr:row>462</xdr:row>
                    <xdr:rowOff>200025</xdr:rowOff>
                  </from>
                  <to>
                    <xdr:col>2</xdr:col>
                    <xdr:colOff>9096375</xdr:colOff>
                    <xdr:row>463</xdr:row>
                    <xdr:rowOff>238125</xdr:rowOff>
                  </to>
                </anchor>
              </controlPr>
            </control>
          </mc:Choice>
        </mc:AlternateContent>
        <mc:AlternateContent xmlns:mc="http://schemas.openxmlformats.org/markup-compatibility/2006">
          <mc:Choice Requires="x14">
            <control shapeId="1039" r:id="rId15" name="Button 15">
              <controlPr defaultSize="0" autoFill="0" autoPict="0" macro="[0]!Compro6">
                <anchor moveWithCells="1" sizeWithCells="1">
                  <from>
                    <xdr:col>2</xdr:col>
                    <xdr:colOff>7781925</xdr:colOff>
                    <xdr:row>398</xdr:row>
                    <xdr:rowOff>9525</xdr:rowOff>
                  </from>
                  <to>
                    <xdr:col>2</xdr:col>
                    <xdr:colOff>9096375</xdr:colOff>
                    <xdr:row>399</xdr:row>
                    <xdr:rowOff>0</xdr:rowOff>
                  </to>
                </anchor>
              </controlPr>
            </control>
          </mc:Choice>
        </mc:AlternateContent>
        <mc:AlternateContent xmlns:mc="http://schemas.openxmlformats.org/markup-compatibility/2006">
          <mc:Choice Requires="x14">
            <control shapeId="1040" r:id="rId16" name="Button 16">
              <controlPr defaultSize="0" autoFill="0" autoPict="0" macro="[0]!Compro5">
                <anchor moveWithCells="1" sizeWithCells="1">
                  <from>
                    <xdr:col>2</xdr:col>
                    <xdr:colOff>7991475</xdr:colOff>
                    <xdr:row>330</xdr:row>
                    <xdr:rowOff>66675</xdr:rowOff>
                  </from>
                  <to>
                    <xdr:col>2</xdr:col>
                    <xdr:colOff>9296400</xdr:colOff>
                    <xdr:row>331</xdr:row>
                    <xdr:rowOff>219075</xdr:rowOff>
                  </to>
                </anchor>
              </controlPr>
            </control>
          </mc:Choice>
        </mc:AlternateContent>
        <mc:AlternateContent xmlns:mc="http://schemas.openxmlformats.org/markup-compatibility/2006">
          <mc:Choice Requires="x14">
            <control shapeId="1041" r:id="rId17" name="Button 17">
              <controlPr defaultSize="0" autoFill="0" autoPict="0" macro="[0]!Compro4">
                <anchor moveWithCells="1" sizeWithCells="1">
                  <from>
                    <xdr:col>2</xdr:col>
                    <xdr:colOff>7781925</xdr:colOff>
                    <xdr:row>262</xdr:row>
                    <xdr:rowOff>190500</xdr:rowOff>
                  </from>
                  <to>
                    <xdr:col>2</xdr:col>
                    <xdr:colOff>9096375</xdr:colOff>
                    <xdr:row>264</xdr:row>
                    <xdr:rowOff>38100</xdr:rowOff>
                  </to>
                </anchor>
              </controlPr>
            </control>
          </mc:Choice>
        </mc:AlternateContent>
        <mc:AlternateContent xmlns:mc="http://schemas.openxmlformats.org/markup-compatibility/2006">
          <mc:Choice Requires="x14">
            <control shapeId="1042" r:id="rId18" name="Button 18">
              <controlPr defaultSize="0" autoFill="0" autoPict="0" macro="[0]!Compro3">
                <anchor moveWithCells="1" sizeWithCells="1">
                  <from>
                    <xdr:col>2</xdr:col>
                    <xdr:colOff>7781925</xdr:colOff>
                    <xdr:row>198</xdr:row>
                    <xdr:rowOff>28575</xdr:rowOff>
                  </from>
                  <to>
                    <xdr:col>2</xdr:col>
                    <xdr:colOff>9096375</xdr:colOff>
                    <xdr:row>198</xdr:row>
                    <xdr:rowOff>257175</xdr:rowOff>
                  </to>
                </anchor>
              </controlPr>
            </control>
          </mc:Choice>
        </mc:AlternateContent>
        <mc:AlternateContent xmlns:mc="http://schemas.openxmlformats.org/markup-compatibility/2006">
          <mc:Choice Requires="x14">
            <control shapeId="1043" r:id="rId19" name="Button 19">
              <controlPr defaultSize="0" autoFill="0" autoPict="0" macro="[0]!Compro2">
                <anchor moveWithCells="1" sizeWithCells="1">
                  <from>
                    <xdr:col>2</xdr:col>
                    <xdr:colOff>7781925</xdr:colOff>
                    <xdr:row>133</xdr:row>
                    <xdr:rowOff>38100</xdr:rowOff>
                  </from>
                  <to>
                    <xdr:col>2</xdr:col>
                    <xdr:colOff>9096375</xdr:colOff>
                    <xdr:row>134</xdr:row>
                    <xdr:rowOff>66675</xdr:rowOff>
                  </to>
                </anchor>
              </controlPr>
            </control>
          </mc:Choice>
        </mc:AlternateContent>
        <mc:AlternateContent xmlns:mc="http://schemas.openxmlformats.org/markup-compatibility/2006">
          <mc:Choice Requires="x14">
            <control shapeId="1044" r:id="rId20" name="Button 20">
              <controlPr defaultSize="0" autoFill="0" autoPict="0" macro="[0]!Compro1">
                <anchor moveWithCells="1" sizeWithCells="1">
                  <from>
                    <xdr:col>2</xdr:col>
                    <xdr:colOff>7781925</xdr:colOff>
                    <xdr:row>67</xdr:row>
                    <xdr:rowOff>180975</xdr:rowOff>
                  </from>
                  <to>
                    <xdr:col>2</xdr:col>
                    <xdr:colOff>9096375</xdr:colOff>
                    <xdr:row>68</xdr:row>
                    <xdr:rowOff>190500</xdr:rowOff>
                  </to>
                </anchor>
              </controlPr>
            </control>
          </mc:Choice>
        </mc:AlternateContent>
        <mc:AlternateContent xmlns:mc="http://schemas.openxmlformats.org/markup-compatibility/2006">
          <mc:Choice Requires="x14">
            <control shapeId="1155" r:id="rId21" name="Button 131">
              <controlPr defaultSize="0" autoFill="0" autoPict="0" macro="[0]!Tema8" altText="Borrar">
                <anchor moveWithCells="1" sizeWithCells="1">
                  <from>
                    <xdr:col>2</xdr:col>
                    <xdr:colOff>9953625</xdr:colOff>
                    <xdr:row>529</xdr:row>
                    <xdr:rowOff>76200</xdr:rowOff>
                  </from>
                  <to>
                    <xdr:col>2</xdr:col>
                    <xdr:colOff>10563225</xdr:colOff>
                    <xdr:row>530</xdr:row>
                    <xdr:rowOff>66675</xdr:rowOff>
                  </to>
                </anchor>
              </controlPr>
            </control>
          </mc:Choice>
        </mc:AlternateContent>
        <mc:AlternateContent xmlns:mc="http://schemas.openxmlformats.org/markup-compatibility/2006">
          <mc:Choice Requires="x14">
            <control shapeId="1156" r:id="rId22" name="Button 132">
              <controlPr defaultSize="0" autoFill="0" autoPict="0" macro="[0]!Compro8">
                <anchor moveWithCells="1" sizeWithCells="1">
                  <from>
                    <xdr:col>2</xdr:col>
                    <xdr:colOff>8572500</xdr:colOff>
                    <xdr:row>529</xdr:row>
                    <xdr:rowOff>76200</xdr:rowOff>
                  </from>
                  <to>
                    <xdr:col>2</xdr:col>
                    <xdr:colOff>9877425</xdr:colOff>
                    <xdr:row>530</xdr:row>
                    <xdr:rowOff>66675</xdr:rowOff>
                  </to>
                </anchor>
              </controlPr>
            </control>
          </mc:Choice>
        </mc:AlternateContent>
        <mc:AlternateContent xmlns:mc="http://schemas.openxmlformats.org/markup-compatibility/2006">
          <mc:Choice Requires="x14">
            <control shapeId="1158" r:id="rId23" name="Button 134">
              <controlPr defaultSize="0" autoFill="0" autoPict="0" macro="[0]!Módulo8.PEC1_BORRAR" altText="Borrar">
                <anchor moveWithCells="1" sizeWithCells="1">
                  <from>
                    <xdr:col>2</xdr:col>
                    <xdr:colOff>9953625</xdr:colOff>
                    <xdr:row>594</xdr:row>
                    <xdr:rowOff>76200</xdr:rowOff>
                  </from>
                  <to>
                    <xdr:col>2</xdr:col>
                    <xdr:colOff>10563225</xdr:colOff>
                    <xdr:row>595</xdr:row>
                    <xdr:rowOff>66675</xdr:rowOff>
                  </to>
                </anchor>
              </controlPr>
            </control>
          </mc:Choice>
        </mc:AlternateContent>
        <mc:AlternateContent xmlns:mc="http://schemas.openxmlformats.org/markup-compatibility/2006">
          <mc:Choice Requires="x14">
            <control shapeId="1159" r:id="rId24" name="Button 135">
              <controlPr defaultSize="0" autoFill="0" autoPict="0" macro="[0]!Módulo8.PEC1_COMPRO">
                <anchor moveWithCells="1" sizeWithCells="1">
                  <from>
                    <xdr:col>2</xdr:col>
                    <xdr:colOff>8572500</xdr:colOff>
                    <xdr:row>594</xdr:row>
                    <xdr:rowOff>76200</xdr:rowOff>
                  </from>
                  <to>
                    <xdr:col>2</xdr:col>
                    <xdr:colOff>9877425</xdr:colOff>
                    <xdr:row>595</xdr:row>
                    <xdr:rowOff>66675</xdr:rowOff>
                  </to>
                </anchor>
              </controlPr>
            </control>
          </mc:Choice>
        </mc:AlternateContent>
        <mc:AlternateContent xmlns:mc="http://schemas.openxmlformats.org/markup-compatibility/2006">
          <mc:Choice Requires="x14">
            <control shapeId="1160" r:id="rId25" name="Button 134">
              <controlPr defaultSize="0" autoFill="0" autoPict="0" macro="[0]!Módulo8.PEC2_BORRAR" altText="Borrar">
                <anchor moveWithCells="1" sizeWithCells="1">
                  <from>
                    <xdr:col>2</xdr:col>
                    <xdr:colOff>9953625</xdr:colOff>
                    <xdr:row>658</xdr:row>
                    <xdr:rowOff>76200</xdr:rowOff>
                  </from>
                  <to>
                    <xdr:col>2</xdr:col>
                    <xdr:colOff>10563225</xdr:colOff>
                    <xdr:row>659</xdr:row>
                    <xdr:rowOff>66675</xdr:rowOff>
                  </to>
                </anchor>
              </controlPr>
            </control>
          </mc:Choice>
        </mc:AlternateContent>
        <mc:AlternateContent xmlns:mc="http://schemas.openxmlformats.org/markup-compatibility/2006">
          <mc:Choice Requires="x14">
            <control shapeId="1161" r:id="rId26" name="Button 135">
              <controlPr defaultSize="0" autoFill="0" autoPict="0" macro="[0]!Módulo8.PEC2_COMPRO">
                <anchor moveWithCells="1" sizeWithCells="1">
                  <from>
                    <xdr:col>2</xdr:col>
                    <xdr:colOff>8572500</xdr:colOff>
                    <xdr:row>658</xdr:row>
                    <xdr:rowOff>76200</xdr:rowOff>
                  </from>
                  <to>
                    <xdr:col>2</xdr:col>
                    <xdr:colOff>9877425</xdr:colOff>
                    <xdr:row>659</xdr:row>
                    <xdr:rowOff>66675</xdr:rowOff>
                  </to>
                </anchor>
              </controlPr>
            </control>
          </mc:Choice>
        </mc:AlternateContent>
        <mc:AlternateContent xmlns:mc="http://schemas.openxmlformats.org/markup-compatibility/2006">
          <mc:Choice Requires="x14">
            <control shapeId="1162" r:id="rId27" name="Button 134">
              <controlPr defaultSize="0" autoFill="0" autoPict="0" macro="[0]!PEC3_BORRAR" altText="Borrar">
                <anchor moveWithCells="1" sizeWithCells="1">
                  <from>
                    <xdr:col>2</xdr:col>
                    <xdr:colOff>9953625</xdr:colOff>
                    <xdr:row>785</xdr:row>
                    <xdr:rowOff>76200</xdr:rowOff>
                  </from>
                  <to>
                    <xdr:col>2</xdr:col>
                    <xdr:colOff>10563225</xdr:colOff>
                    <xdr:row>786</xdr:row>
                    <xdr:rowOff>66675</xdr:rowOff>
                  </to>
                </anchor>
              </controlPr>
            </control>
          </mc:Choice>
        </mc:AlternateContent>
        <mc:AlternateContent xmlns:mc="http://schemas.openxmlformats.org/markup-compatibility/2006">
          <mc:Choice Requires="x14">
            <control shapeId="1163" r:id="rId28" name="Button 135">
              <controlPr defaultSize="0" autoFill="0" autoPict="0" macro="[0]!PEC3_COMPRO">
                <anchor moveWithCells="1" sizeWithCells="1">
                  <from>
                    <xdr:col>2</xdr:col>
                    <xdr:colOff>8572500</xdr:colOff>
                    <xdr:row>785</xdr:row>
                    <xdr:rowOff>76200</xdr:rowOff>
                  </from>
                  <to>
                    <xdr:col>2</xdr:col>
                    <xdr:colOff>9877425</xdr:colOff>
                    <xdr:row>786</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vt:i4>
      </vt:variant>
    </vt:vector>
  </HeadingPairs>
  <TitlesOfParts>
    <vt:vector size="3" baseType="lpstr">
      <vt:lpstr>SRI</vt:lpstr>
      <vt:lpstr>SRI!Área_de_impresión</vt:lpstr>
      <vt:lpstr>SRI!OLE_LINK2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Miguel Aparicio Vicente</cp:lastModifiedBy>
  <cp:revision/>
  <dcterms:created xsi:type="dcterms:W3CDTF">2016-11-17T08:46:58Z</dcterms:created>
  <dcterms:modified xsi:type="dcterms:W3CDTF">2018-06-01T07:59:22Z</dcterms:modified>
  <cp:category/>
  <cp:contentStatus/>
</cp:coreProperties>
</file>