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"/>
    </mc:Choice>
  </mc:AlternateContent>
  <bookViews>
    <workbookView xWindow="0" yWindow="465" windowWidth="5340" windowHeight="3750" tabRatio="500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85" i="6" l="1"/>
  <c r="H779" i="6"/>
  <c r="H767" i="6"/>
  <c r="H761" i="6"/>
  <c r="H755" i="6"/>
  <c r="H743" i="6"/>
  <c r="H737" i="6"/>
  <c r="H726" i="6"/>
  <c r="H714" i="6"/>
  <c r="H708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465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F81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32" i="6"/>
  <c r="H26" i="6"/>
  <c r="H20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F792" i="6" s="1"/>
  <c r="H786" i="6"/>
  <c r="H787" i="6" s="1"/>
  <c r="F786" i="6" s="1"/>
  <c r="H780" i="6"/>
  <c r="H774" i="6"/>
  <c r="H768" i="6"/>
  <c r="H769" i="6" s="1"/>
  <c r="F768" i="6" s="1"/>
  <c r="H762" i="6"/>
  <c r="H763" i="6" s="1"/>
  <c r="F762" i="6" s="1"/>
  <c r="H756" i="6"/>
  <c r="H757" i="6" s="1"/>
  <c r="F756" i="6" s="1"/>
  <c r="H750" i="6"/>
  <c r="H751" i="6" s="1"/>
  <c r="H744" i="6"/>
  <c r="H745" i="6" s="1"/>
  <c r="F744" i="6" s="1"/>
  <c r="H738" i="6"/>
  <c r="H739" i="6" s="1"/>
  <c r="H781" i="6"/>
  <c r="F780" i="6" s="1"/>
  <c r="H773" i="6"/>
  <c r="H702" i="6"/>
  <c r="H690" i="6"/>
  <c r="H727" i="6"/>
  <c r="H728" i="6" s="1"/>
  <c r="F727" i="6" s="1"/>
  <c r="H721" i="6"/>
  <c r="H715" i="6"/>
  <c r="H709" i="6"/>
  <c r="H703" i="6"/>
  <c r="H697" i="6"/>
  <c r="H691" i="6"/>
  <c r="H685" i="6"/>
  <c r="H679" i="6"/>
  <c r="H680" i="6" s="1"/>
  <c r="F679" i="6" s="1"/>
  <c r="H673" i="6"/>
  <c r="H716" i="6"/>
  <c r="F715" i="6" s="1"/>
  <c r="H710" i="6"/>
  <c r="F709" i="6" s="1"/>
  <c r="H704" i="6"/>
  <c r="F703" i="6" s="1"/>
  <c r="H698" i="6"/>
  <c r="F698" i="6" s="1"/>
  <c r="H686" i="6"/>
  <c r="F685" i="6" s="1"/>
  <c r="H674" i="6"/>
  <c r="F674" i="6" s="1"/>
  <c r="H720" i="6"/>
  <c r="H722" i="6"/>
  <c r="F722" i="6" s="1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G798" i="6"/>
  <c r="G733" i="6"/>
  <c r="G668" i="6"/>
  <c r="H467" i="6"/>
  <c r="H479" i="6"/>
  <c r="F479" i="6" s="1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20" i="6"/>
  <c r="F420" i="6" s="1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0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H692" i="6" l="1"/>
  <c r="F691" i="6" s="1"/>
  <c r="H775" i="6"/>
  <c r="F798" i="6"/>
  <c r="F799" i="6" s="1"/>
  <c r="F793" i="6"/>
  <c r="F733" i="6"/>
  <c r="F721" i="6"/>
  <c r="H639" i="6"/>
  <c r="F638" i="6" s="1"/>
  <c r="H426" i="6"/>
  <c r="F426" i="6" s="1"/>
  <c r="H310" i="6"/>
  <c r="F309" i="6" s="1"/>
  <c r="H317" i="6"/>
  <c r="F316" i="6" s="1"/>
  <c r="F538" i="6"/>
  <c r="F539" i="6" s="1"/>
  <c r="F461" i="6"/>
  <c r="F310" i="6"/>
  <c r="F382" i="6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462" i="6"/>
  <c r="F549" i="6"/>
  <c r="F586" i="6"/>
  <c r="F260" i="6"/>
  <c r="F296" i="6"/>
  <c r="F353" i="6"/>
  <c r="F425" i="6"/>
  <c r="F503" i="6"/>
  <c r="F592" i="6"/>
  <c r="F615" i="6"/>
  <c r="F627" i="6"/>
  <c r="F680" i="6"/>
  <c r="F692" i="6"/>
  <c r="F704" i="6"/>
  <c r="F716" i="6"/>
  <c r="F728" i="6"/>
  <c r="F218" i="6"/>
  <c r="F236" i="6"/>
  <c r="F237" i="6" s="1"/>
  <c r="F322" i="6"/>
  <c r="F346" i="6"/>
  <c r="F497" i="6"/>
  <c r="F769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82" i="6"/>
  <c r="F63" i="6"/>
  <c r="F247" i="6"/>
  <c r="F248" i="6"/>
  <c r="F272" i="6"/>
  <c r="F608" i="6"/>
  <c r="F609" i="6"/>
  <c r="F579" i="6"/>
  <c r="F241" i="6"/>
  <c r="F254" i="6"/>
  <c r="F278" i="6"/>
  <c r="F289" i="6"/>
  <c r="F317" i="6"/>
  <c r="F328" i="6"/>
  <c r="F407" i="6"/>
  <c r="F419" i="6"/>
  <c r="F745" i="6"/>
  <c r="F781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38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739" i="6"/>
  <c r="F738" i="6"/>
  <c r="F750" i="6"/>
  <c r="F751" i="6"/>
  <c r="F774" i="6"/>
  <c r="F775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734" i="6"/>
  <c r="F763" i="6"/>
  <c r="F787" i="6"/>
  <c r="F472" i="6"/>
  <c r="F484" i="6"/>
  <c r="F509" i="6"/>
  <c r="F521" i="6"/>
  <c r="F603" i="6"/>
  <c r="F604" i="6" s="1"/>
  <c r="F757" i="6"/>
  <c r="F639" i="6" l="1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<sst xmlns="http://schemas.openxmlformats.org/spreadsheetml/2006/main" count="1884" uniqueCount="447">
  <si>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</si>
  <si>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</si>
  <si>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</si>
  <si>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</si>
  <si>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</si>
  <si>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</si>
  <si>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</si>
  <si>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</si>
  <si>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</si>
  <si>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</si>
  <si>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</si>
  <si>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</si>
  <si>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</si>
  <si>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</si>
  <si>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</si>
  <si>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</si>
  <si>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</si>
  <si>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</si>
  <si>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</si>
  <si>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</si>
  <si>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</si>
  <si>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</si>
  <si>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</si>
  <si>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</si>
  <si>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</si>
  <si>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</si>
  <si>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</si>
  <si>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</si>
  <si>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</si>
  <si>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</si>
  <si>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</si>
  <si>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</si>
  <si>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</si>
  <si>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</si>
  <si>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</si>
  <si>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</si>
  <si>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</si>
  <si>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</si>
  <si>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</si>
  <si>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</si>
  <si>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</si>
  <si>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</si>
  <si>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</si>
  <si>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</si>
  <si>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</si>
  <si>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</si>
  <si>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</si>
  <si>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</si>
  <si>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</si>
  <si>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</si>
  <si>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</si>
  <si>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</si>
  <si>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</si>
  <si>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</si>
  <si>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</si>
  <si>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</si>
  <si>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</si>
  <si>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</si>
  <si>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</si>
  <si>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</si>
  <si>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</si>
  <si>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</si>
  <si>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</si>
  <si>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</si>
  <si>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</si>
  <si>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</si>
  <si>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</si>
  <si>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</si>
  <si>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</si>
  <si>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</si>
  <si>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</si>
  <si>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</si>
  <si>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</si>
  <si>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</si>
  <si>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</si>
  <si>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</si>
  <si>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</si>
  <si>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</si>
  <si>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</si>
  <si>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</si>
  <si>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</si>
  <si>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</si>
  <si>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</si>
  <si>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</si>
  <si>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</si>
  <si>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</si>
  <si>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</si>
  <si>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</si>
  <si>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</si>
  <si>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</si>
  <si>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</si>
  <si>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</si>
  <si>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</si>
  <si>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</si>
  <si>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</si>
  <si>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</si>
  <si>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</si>
  <si>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</si>
  <si>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</si>
  <si>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</si>
  <si>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</si>
  <si>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</si>
  <si>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</si>
  <si>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</si>
  <si>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</si>
  <si>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</si>
  <si>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</si>
  <si>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</si>
  <si>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</si>
  <si>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</si>
  <si>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</si>
  <si>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</si>
  <si>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</si>
  <si>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</si>
  <si>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</si>
  <si>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</si>
  <si>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</si>
  <si>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</si>
  <si>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</si>
  <si>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</si>
  <si>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</si>
  <si>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</si>
  <si>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</si>
  <si>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</si>
  <si>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</si>
  <si>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</si>
  <si>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</si>
  <si>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</si>
  <si>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</si>
  <si>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</si>
  <si>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</si>
  <si>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</si>
  <si>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</si>
  <si>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</si>
  <si>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</si>
  <si>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</si>
  <si>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</si>
  <si>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</si>
  <si>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</si>
  <si>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</si>
  <si>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</si>
  <si>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</si>
  <si>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</si>
  <si>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</si>
  <si>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</si>
  <si>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</si>
  <si>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</si>
  <si>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</si>
  <si>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</si>
  <si>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</si>
  <si>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</si>
  <si>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</si>
  <si>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</si>
  <si>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</si>
  <si>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</si>
  <si>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</si>
  <si>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</si>
  <si>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</si>
  <si>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</si>
  <si>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</si>
  <si>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</si>
  <si>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</si>
  <si>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</si>
  <si>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</si>
  <si>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</si>
  <si>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</si>
  <si>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</si>
  <si>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</si>
  <si>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</si>
  <si>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</si>
  <si>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</si>
  <si>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</si>
  <si>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</si>
  <si>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</si>
  <si>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</si>
  <si>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</si>
  <si>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La siguiente función:
function f ($num){
   if($num&lt;2) return 1;
   return $num*f($num-1);
}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</si>
  <si>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</si>
  <si>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</si>
  <si>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</si>
  <si>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</si>
  <si>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</si>
  <si>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</si>
  <si>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</si>
  <si>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</si>
  <si>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</si>
  <si>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</si>
  <si>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</si>
  <si>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</si>
  <si>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</si>
  <si>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</si>
  <si>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</si>
  <si>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El siguiente código ¿qué muestra por pantalla?:
&lt;?php
function f ($num){
if($num&lt;2) return 1;
return $num*f($num-1);
}
echo f(4);
?&gt;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</si>
  <si>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</si>
  <si>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</si>
  <si>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</si>
  <si>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</si>
  <si>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</si>
  <si>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</si>
  <si>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</si>
  <si>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</si>
  <si>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</si>
  <si>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</si>
  <si>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</si>
  <si>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</si>
  <si>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</si>
  <si>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</si>
  <si>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</si>
  <si>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</si>
  <si>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</si>
  <si>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</si>
  <si>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</si>
  <si>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</si>
  <si>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</si>
  <si>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</si>
  <si>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</si>
  <si>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</si>
  <si>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</si>
  <si>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</si>
  <si>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</si>
  <si>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</si>
  <si>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</si>
  <si>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</si>
  <si>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</si>
  <si>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</si>
  <si>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</si>
  <si>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</si>
  <si>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</si>
  <si>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</si>
  <si>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</si>
  <si>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</si>
  <si>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</si>
  <si>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</si>
  <si>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</si>
  <si>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</si>
  <si>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</si>
  <si>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</si>
  <si>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</si>
  <si>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</si>
  <si>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</si>
  <si>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</si>
  <si>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</si>
  <si>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De las siguientes APIS de acceso a MySQL cual no se aconseja utilizar: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</si>
  <si>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</si>
  <si>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</si>
  <si>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</si>
  <si>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</si>
  <si>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</si>
  <si>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</si>
  <si>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</si>
  <si>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</si>
  <si>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</si>
  <si>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</si>
  <si>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</si>
  <si>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</si>
  <si>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</si>
  <si>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</si>
  <si>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</si>
  <si>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Si la función mysqli_query o el método query ejecuta correctamente una instrucción SQL “CREATE TABLE”:</t>
  </si>
  <si>
    <t>Devuelve el valor true.</t>
  </si>
  <si>
    <t>Devuelve el valor false.</t>
  </si>
  <si>
    <t>Devuelve un valor de tipo entero.</t>
  </si>
  <si>
    <t>Las opciones a, b y c son falsas.</t>
  </si>
  <si>
    <t>Si la función mysqli_query o el método query ejecuta correctamente una instrucción SQL “INSERT INTO”:</t>
  </si>
  <si>
    <t>Si la función mysqli_query o el método query ejecuta correctamente una instrucción SQL “SELECT”: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</si>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</sst>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2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C4F1FC59-2C9D-4B72-81BC-5A685AA0AAA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5FA292AB-51B9-4706-89BC-A7885A12EE17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16151D27-13B1-4B47-9EAA-8A1AA46A6935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E183F097-AFC5-4AAC-B61F-8DB6B414D751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5570032D-B884-4893-A41B-0EAEFEBBA676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799"/>
  <sheetViews>
    <sheetView showGridLines="0" tabSelected="1" zoomScale="85" zoomScaleNormal="8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200</v>
      </c>
      <c r="C6" s="129" t="s">
        <v>0</v>
      </c>
      <c r="D6" s="129"/>
      <c r="E6" s="129"/>
      <c r="F6" s="130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46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47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48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49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50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51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52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53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54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50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51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52</v>
      </c>
      <c r="D20" s="38"/>
      <c r="E20" s="53" t="s">
        <v>9</v>
      </c>
      <c r="F20" s="25"/>
      <c r="G20" s="17"/>
      <c r="H20" s="19" t="b">
        <f>IF(D21="x",H$2,H$1)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53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54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50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55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52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53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56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50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57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52</v>
      </c>
      <c r="D32" s="38"/>
      <c r="E32" s="53" t="s">
        <v>9</v>
      </c>
      <c r="F32" s="25"/>
      <c r="G32" s="17"/>
      <c r="H32" s="19" t="b">
        <f>IF(D32="x",H$2,H$1)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53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54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50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59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50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62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59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60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61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50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63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64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65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66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67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68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52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53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56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50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69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56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50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38</v>
      </c>
      <c r="C67" s="84" t="s">
        <v>70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71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72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73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50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39</v>
      </c>
      <c r="C73" s="84" t="s">
        <v>74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75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76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77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50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28"/>
      <c r="E81" s="128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199</v>
      </c>
      <c r="C83" s="129" t="s">
        <v>35</v>
      </c>
      <c r="D83" s="129"/>
      <c r="E83" s="129"/>
      <c r="F83" s="130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78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79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80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81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50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8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120" t="s">
        <v>82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79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80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84" t="s">
        <v>50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120" t="s">
        <v>83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79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80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84" t="s">
        <v>81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50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120" t="s">
        <v>84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79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84" t="s">
        <v>80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85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50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120" t="s">
        <v>86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84" t="s">
        <v>79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80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85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50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87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88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89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90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50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8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120" t="s">
        <v>91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92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93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94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84" t="s">
        <v>50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120" t="s">
        <v>95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88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96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84" t="s">
        <v>97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50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120" t="s">
        <v>98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88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84" t="s">
        <v>96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99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50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120" t="s">
        <v>102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84" t="s">
        <v>88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96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99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50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100</v>
      </c>
      <c r="C144" s="84" t="s">
        <v>103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104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105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106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50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101</v>
      </c>
      <c r="C150" s="84" t="s">
        <v>107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108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109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106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50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199</v>
      </c>
      <c r="C160" s="115" t="s">
        <v>34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110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111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112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113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50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114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115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116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117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50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118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119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120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121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50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122</v>
      </c>
      <c r="D179" s="78"/>
      <c r="E179" s="52"/>
      <c r="F179" s="27"/>
      <c r="G179" s="13"/>
      <c r="H179" s="13"/>
    </row>
    <row r="180" spans="1:40" ht="32.25" customHeight="1" x14ac:dyDescent="0.25">
      <c r="B180" s="83" t="s">
        <v>15</v>
      </c>
      <c r="C180" s="120" t="s">
        <v>123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124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125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50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126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127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128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129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50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130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131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132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133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50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134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135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136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137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50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31" t="s">
        <v>138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139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140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141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50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x14ac:dyDescent="0.25">
      <c r="A209" s="4"/>
      <c r="B209" s="119" t="s">
        <v>25</v>
      </c>
      <c r="C209" s="84" t="s">
        <v>142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143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144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145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50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146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147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148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149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50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38</v>
      </c>
      <c r="C222" s="84" t="s">
        <v>55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52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53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150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50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39</v>
      </c>
      <c r="C228" s="84" t="s">
        <v>151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152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153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154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24" t="s">
        <v>50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199</v>
      </c>
      <c r="C238" s="115" t="s">
        <v>36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155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156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157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158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24" t="s">
        <v>159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160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161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162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163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24" t="s">
        <v>50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164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165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166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167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24" t="s">
        <v>50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168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169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170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171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24" t="s">
        <v>50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172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173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174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175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24" t="s">
        <v>50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176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177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178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179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24" t="s">
        <v>50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180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181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182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183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24" t="s">
        <v>50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184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185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186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187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24" t="s">
        <v>50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188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189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190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191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24" t="s">
        <v>50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192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193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194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24" t="s">
        <v>50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199</v>
      </c>
      <c r="C307" s="115" t="s">
        <v>37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201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202</v>
      </c>
      <c r="D309" s="101"/>
      <c r="E309" s="104" t="s">
        <v>9</v>
      </c>
      <c r="F309" s="103" t="str">
        <f>IF(H310=1,IF(H308=H$2,H308,""),"")</f>
        <v/>
      </c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203</v>
      </c>
      <c r="D310" s="101"/>
      <c r="E310" s="104" t="s">
        <v>10</v>
      </c>
      <c r="F310" s="105" t="str">
        <f>IF(H310=-0.33,IF(H308=H$1,H308,""),"")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204</v>
      </c>
      <c r="D311" s="101"/>
      <c r="E311" s="104" t="s">
        <v>11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24" t="s">
        <v>50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201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205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206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207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24" t="s">
        <v>50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201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208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209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210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24" t="s">
        <v>50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211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212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213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214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24" t="s">
        <v>50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215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212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213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214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24" t="s">
        <v>50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216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217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218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219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24" t="s">
        <v>50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0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220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221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178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222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24" t="s">
        <v>50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223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224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225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226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24" t="s">
        <v>50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227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228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229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230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24" t="s">
        <v>50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231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232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233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234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24" t="s">
        <v>50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38</v>
      </c>
      <c r="C368" s="84" t="s">
        <v>235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236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233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234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24" t="s">
        <v>50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39</v>
      </c>
      <c r="C374" s="84" t="s">
        <v>237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221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178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222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24" t="s">
        <v>50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199</v>
      </c>
      <c r="C386" s="115" t="s">
        <v>40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238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239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240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241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24" t="s">
        <v>50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242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243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244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245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24" t="s">
        <v>50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0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246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247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248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7" t="s">
        <v>249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24" t="s">
        <v>50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250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251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252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7" t="s">
        <v>253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24" t="s">
        <v>50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254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249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255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7" t="s">
        <v>256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24" t="s">
        <v>50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257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249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255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7" t="s">
        <v>256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24" t="s">
        <v>50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258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259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260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7" t="s">
        <v>261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24" t="s">
        <v>262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263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259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260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7" t="s">
        <v>261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24" t="s">
        <v>262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264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259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260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7" t="s">
        <v>265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24" t="s">
        <v>262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266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267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268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269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24" t="s">
        <v>262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38</v>
      </c>
      <c r="C447" s="84" t="s">
        <v>270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271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268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269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24" t="s">
        <v>262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39</v>
      </c>
      <c r="C453" s="84" t="s">
        <v>272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273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274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275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24" t="s">
        <v>276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199</v>
      </c>
      <c r="C463" s="115" t="s">
        <v>41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277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278</v>
      </c>
      <c r="D465" s="38"/>
      <c r="E465" s="53" t="s">
        <v>9</v>
      </c>
      <c r="F465" s="25"/>
      <c r="G465" s="24"/>
      <c r="H465" s="19" t="b">
        <f>IF(D467="x",H$2,H$1)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279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241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50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280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281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282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283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24" t="s">
        <v>50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284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285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286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287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24" t="s">
        <v>50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288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289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286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287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24" t="s">
        <v>50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290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291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292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293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24" t="s">
        <v>50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294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291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292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293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24" t="s">
        <v>50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295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291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292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293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24" t="s">
        <v>50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296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297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298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299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24" t="s">
        <v>50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300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301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302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303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24" t="s">
        <v>304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305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291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292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293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24" t="s">
        <v>50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38</v>
      </c>
      <c r="C524" s="84" t="s">
        <v>306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291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292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293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50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39</v>
      </c>
      <c r="C530" s="84" t="s">
        <v>307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291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292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293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50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45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199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308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309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310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311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50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312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313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314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315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316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317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318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319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320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50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321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322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323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324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50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290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291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292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293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50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325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322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323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324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50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326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327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328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329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50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330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331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332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333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334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335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336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337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338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50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339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340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341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342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262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28"/>
      <c r="E603" s="128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199</v>
      </c>
      <c r="C605" s="124" t="s">
        <v>42</v>
      </c>
      <c r="D605" s="124"/>
      <c r="E605" s="124"/>
      <c r="F605" s="125"/>
    </row>
    <row r="606" spans="2:10" x14ac:dyDescent="0.25">
      <c r="B606" s="119" t="s">
        <v>18</v>
      </c>
      <c r="C606" s="84" t="s">
        <v>195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196</v>
      </c>
      <c r="D607" s="38"/>
      <c r="E607" s="123"/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197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198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50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343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344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345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346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347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348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344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349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350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50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351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352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353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354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50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355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356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357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358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50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359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360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361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362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50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363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364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365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366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50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367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368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369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370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50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367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371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372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373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50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367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374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375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376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262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28"/>
      <c r="E668" s="128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33</v>
      </c>
      <c r="C670" s="124" t="s">
        <v>43</v>
      </c>
      <c r="D670" s="124"/>
      <c r="E670" s="124"/>
      <c r="F670" s="125"/>
    </row>
    <row r="671" spans="2:10" x14ac:dyDescent="0.25">
      <c r="B671" s="119" t="s">
        <v>18</v>
      </c>
      <c r="C671" s="84" t="s">
        <v>377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378</v>
      </c>
      <c r="D672" s="38"/>
      <c r="E672" s="123"/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379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380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50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367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381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382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383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384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385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386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387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388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50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367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389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390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391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50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392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393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394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395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50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396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397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398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399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50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367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400</v>
      </c>
      <c r="D708" s="38"/>
      <c r="E708" s="123" t="s">
        <v>9</v>
      </c>
      <c r="F708" s="18"/>
      <c r="G708" s="24"/>
      <c r="H708" s="19" t="b">
        <f>IF(D710="x",H$2,H$1)</f>
        <v>0</v>
      </c>
    </row>
    <row r="709" spans="2:10" x14ac:dyDescent="0.25">
      <c r="B709" s="83" t="s">
        <v>15</v>
      </c>
      <c r="C709" s="127" t="s">
        <v>401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402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50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367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403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404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405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50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367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406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407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408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50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367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409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410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411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262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28"/>
      <c r="E733" s="128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33</v>
      </c>
      <c r="C735" s="124" t="s">
        <v>44</v>
      </c>
      <c r="D735" s="124"/>
      <c r="E735" s="124"/>
      <c r="F735" s="125"/>
    </row>
    <row r="736" spans="2:10" x14ac:dyDescent="0.25">
      <c r="B736" s="119" t="s">
        <v>18</v>
      </c>
      <c r="C736" s="84" t="s">
        <v>412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413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414</v>
      </c>
      <c r="D738" s="38"/>
      <c r="E738" s="123" t="s">
        <v>10</v>
      </c>
      <c r="F738" s="20" t="str">
        <f>IF(H739=1,IF(H737=H$2,H737,""),"")</f>
        <v/>
      </c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415</v>
      </c>
      <c r="D739" s="38"/>
      <c r="E739" s="123" t="s">
        <v>11</v>
      </c>
      <c r="F739" s="21" t="str">
        <f>IF(H739=-0.33,IF(H737=H$1,H737,""),"")</f>
        <v/>
      </c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50</v>
      </c>
      <c r="D740" s="38"/>
      <c r="E740" s="123" t="s">
        <v>12</v>
      </c>
      <c r="F740" s="18"/>
      <c r="G740" s="24"/>
      <c r="H740" s="22"/>
    </row>
    <row r="741" spans="2:10" x14ac:dyDescent="0.25">
      <c r="B741" s="42"/>
      <c r="C741" s="127"/>
      <c r="D741" s="38"/>
      <c r="E741" s="123" t="s">
        <v>13</v>
      </c>
      <c r="F741" s="18"/>
      <c r="G741" s="17"/>
      <c r="H741" s="22"/>
    </row>
    <row r="742" spans="2:10" x14ac:dyDescent="0.25">
      <c r="B742" s="122" t="s">
        <v>17</v>
      </c>
      <c r="C742" s="84" t="s">
        <v>416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417</v>
      </c>
      <c r="D743" s="38"/>
      <c r="E743" s="123" t="s">
        <v>9</v>
      </c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418</v>
      </c>
      <c r="D744" s="38"/>
      <c r="E744" s="123" t="s">
        <v>10</v>
      </c>
      <c r="F744" s="20" t="str">
        <f>IF(H745=1,IF(H743=H$2,H743,""),"")</f>
        <v/>
      </c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419</v>
      </c>
      <c r="D745" s="38"/>
      <c r="E745" s="123" t="s">
        <v>11</v>
      </c>
      <c r="F745" s="21" t="str">
        <f>IF(H745=-0.33,IF(H743=H$1,H743,""),"")</f>
        <v/>
      </c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384</v>
      </c>
      <c r="D746" s="38"/>
      <c r="E746" s="123" t="s">
        <v>12</v>
      </c>
      <c r="F746" s="18"/>
      <c r="G746" s="24"/>
      <c r="H746" s="22"/>
    </row>
    <row r="747" spans="2:10" x14ac:dyDescent="0.25">
      <c r="B747" s="83"/>
      <c r="C747" s="127"/>
      <c r="D747" s="38"/>
      <c r="E747" s="123" t="s">
        <v>13</v>
      </c>
      <c r="F747" s="18"/>
      <c r="G747" s="17"/>
      <c r="H747" s="22"/>
    </row>
    <row r="748" spans="2:10" x14ac:dyDescent="0.25">
      <c r="B748" s="122" t="s">
        <v>19</v>
      </c>
      <c r="C748" s="84" t="s">
        <v>416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420</v>
      </c>
      <c r="D749" s="38"/>
      <c r="E749" s="123" t="s">
        <v>9</v>
      </c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421</v>
      </c>
      <c r="D750" s="38"/>
      <c r="E750" s="123" t="s">
        <v>10</v>
      </c>
      <c r="F750" s="20" t="str">
        <f>IF(H751=1,IF(H749=H$2,H749,""),"")</f>
        <v/>
      </c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422</v>
      </c>
      <c r="D751" s="38"/>
      <c r="E751" s="123" t="s">
        <v>11</v>
      </c>
      <c r="F751" s="21" t="str">
        <f>IF(H751=-0.33,IF(H749=H$1,H749,""),"")</f>
        <v/>
      </c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384</v>
      </c>
      <c r="D752" s="38"/>
      <c r="E752" s="123" t="s">
        <v>12</v>
      </c>
      <c r="F752" s="18"/>
      <c r="G752" s="24"/>
      <c r="H752" s="22"/>
    </row>
    <row r="753" spans="2:10" x14ac:dyDescent="0.25">
      <c r="B753" s="83"/>
      <c r="C753" s="127"/>
      <c r="D753" s="38"/>
      <c r="E753" s="123" t="s">
        <v>13</v>
      </c>
      <c r="F753" s="18"/>
      <c r="G753" s="17"/>
      <c r="H753" s="22"/>
    </row>
    <row r="754" spans="2:10" x14ac:dyDescent="0.25">
      <c r="B754" s="122" t="s">
        <v>20</v>
      </c>
      <c r="C754" s="84" t="s">
        <v>423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424</v>
      </c>
      <c r="D755" s="38"/>
      <c r="E755" s="123" t="s">
        <v>9</v>
      </c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425</v>
      </c>
      <c r="D756" s="38"/>
      <c r="E756" s="123" t="s">
        <v>10</v>
      </c>
      <c r="F756" s="20" t="str">
        <f>IF(H757=1,IF(H755=H$2,H755,""),"")</f>
        <v/>
      </c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426</v>
      </c>
      <c r="D757" s="38"/>
      <c r="E757" s="123" t="s">
        <v>11</v>
      </c>
      <c r="F757" s="21" t="str">
        <f>IF(H757=-0.33,IF(H755=H$1,H755,""),"")</f>
        <v/>
      </c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50</v>
      </c>
      <c r="D758" s="38"/>
      <c r="E758" s="123" t="s">
        <v>12</v>
      </c>
      <c r="F758" s="18"/>
      <c r="G758" s="24"/>
      <c r="H758" s="22"/>
    </row>
    <row r="759" spans="2:10" x14ac:dyDescent="0.25">
      <c r="B759" s="83"/>
      <c r="C759" s="127"/>
      <c r="D759" s="38"/>
      <c r="E759" s="123" t="s">
        <v>13</v>
      </c>
      <c r="F759" s="18"/>
      <c r="G759" s="17"/>
      <c r="H759" s="22"/>
    </row>
    <row r="760" spans="2:10" x14ac:dyDescent="0.25">
      <c r="B760" s="122" t="s">
        <v>21</v>
      </c>
      <c r="C760" s="84" t="s">
        <v>427</v>
      </c>
      <c r="D760" s="39"/>
      <c r="E760" s="12"/>
      <c r="F760" s="14"/>
      <c r="G760" s="26"/>
      <c r="H760" s="13"/>
      <c r="I760" s="15"/>
      <c r="J760" s="15"/>
    </row>
    <row r="761" spans="2:10" x14ac:dyDescent="0.25">
      <c r="B761" s="83" t="s">
        <v>15</v>
      </c>
      <c r="C761" s="120" t="s">
        <v>428</v>
      </c>
      <c r="D761" s="38"/>
      <c r="E761" s="123" t="s">
        <v>9</v>
      </c>
      <c r="F761" s="18"/>
      <c r="G761" s="24"/>
      <c r="H761" s="19" t="b">
        <f>IF(D761="x",H$2,H$1)</f>
        <v>0</v>
      </c>
    </row>
    <row r="762" spans="2:10" x14ac:dyDescent="0.25">
      <c r="B762" s="83" t="s">
        <v>15</v>
      </c>
      <c r="C762" s="127" t="s">
        <v>429</v>
      </c>
      <c r="D762" s="38"/>
      <c r="E762" s="123" t="s">
        <v>10</v>
      </c>
      <c r="F762" s="20" t="str">
        <f>IF(H763=1,IF(H761=H$2,H761,""),"")</f>
        <v/>
      </c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27" t="s">
        <v>430</v>
      </c>
      <c r="D763" s="38"/>
      <c r="E763" s="123" t="s">
        <v>11</v>
      </c>
      <c r="F763" s="21" t="str">
        <f>IF(H763=-0.33,IF(H761=H$1,H761,""),"")</f>
        <v/>
      </c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20" t="s">
        <v>50</v>
      </c>
      <c r="D764" s="38"/>
      <c r="E764" s="123" t="s">
        <v>12</v>
      </c>
      <c r="F764" s="18"/>
      <c r="G764" s="24"/>
      <c r="H764" s="22"/>
    </row>
    <row r="765" spans="2:10" x14ac:dyDescent="0.25">
      <c r="B765" s="83"/>
      <c r="C765" s="127"/>
      <c r="D765" s="38"/>
      <c r="E765" s="123" t="s">
        <v>13</v>
      </c>
      <c r="F765" s="18"/>
      <c r="G765" s="17"/>
      <c r="H765" s="22"/>
    </row>
    <row r="766" spans="2:10" x14ac:dyDescent="0.25">
      <c r="B766" s="122" t="s">
        <v>22</v>
      </c>
      <c r="C766" s="84" t="s">
        <v>427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431</v>
      </c>
      <c r="D767" s="38"/>
      <c r="E767" s="123" t="s">
        <v>9</v>
      </c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432</v>
      </c>
      <c r="D768" s="38"/>
      <c r="E768" s="123" t="s">
        <v>10</v>
      </c>
      <c r="F768" s="20" t="str">
        <f>IF(H769=1,IF(H767=H$2,H767,""),"")</f>
        <v/>
      </c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433</v>
      </c>
      <c r="D769" s="38"/>
      <c r="E769" s="123" t="s">
        <v>11</v>
      </c>
      <c r="F769" s="21" t="str">
        <f>IF(H769=-0.33,IF(H767=H$1,H767,""),"")</f>
        <v/>
      </c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50</v>
      </c>
      <c r="D770" s="38"/>
      <c r="E770" s="123" t="s">
        <v>12</v>
      </c>
      <c r="F770" s="18"/>
      <c r="G770" s="24"/>
      <c r="H770" s="22"/>
    </row>
    <row r="771" spans="2:10" x14ac:dyDescent="0.25">
      <c r="B771" s="42"/>
      <c r="C771" s="127"/>
      <c r="D771" s="38"/>
      <c r="E771" s="123" t="s">
        <v>13</v>
      </c>
      <c r="F771" s="18"/>
      <c r="G771" s="17"/>
      <c r="H771" s="22"/>
    </row>
    <row r="772" spans="2:10" x14ac:dyDescent="0.25">
      <c r="B772" s="122" t="s">
        <v>23</v>
      </c>
      <c r="C772" s="84" t="s">
        <v>434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435</v>
      </c>
      <c r="D773" s="38"/>
      <c r="E773" s="123" t="s">
        <v>9</v>
      </c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431</v>
      </c>
      <c r="D774" s="38"/>
      <c r="E774" s="123" t="s">
        <v>10</v>
      </c>
      <c r="F774" s="20" t="str">
        <f>IF(H775=1,IF(H773=H$2,H773,""),"")</f>
        <v/>
      </c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436</v>
      </c>
      <c r="D775" s="38"/>
      <c r="E775" s="123" t="s">
        <v>11</v>
      </c>
      <c r="F775" s="21" t="str">
        <f>IF(H775=-0.33,IF(H773=H$1,H773,""),"")</f>
        <v/>
      </c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50</v>
      </c>
      <c r="D776" s="38"/>
      <c r="E776" s="123" t="s">
        <v>12</v>
      </c>
      <c r="F776" s="18"/>
      <c r="G776" s="24"/>
      <c r="H776" s="22"/>
    </row>
    <row r="777" spans="2:10" x14ac:dyDescent="0.25">
      <c r="B777" s="42"/>
      <c r="C777" s="127"/>
      <c r="D777" s="38"/>
      <c r="E777" s="123" t="s">
        <v>13</v>
      </c>
      <c r="F777" s="18"/>
      <c r="G777" s="17"/>
      <c r="H777" s="22"/>
    </row>
    <row r="778" spans="2:10" x14ac:dyDescent="0.25">
      <c r="B778" s="122" t="s">
        <v>24</v>
      </c>
      <c r="C778" s="84" t="s">
        <v>434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432</v>
      </c>
      <c r="D779" s="38"/>
      <c r="E779" s="123" t="s">
        <v>9</v>
      </c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437</v>
      </c>
      <c r="D780" s="38"/>
      <c r="E780" s="123" t="s">
        <v>10</v>
      </c>
      <c r="F780" s="20" t="str">
        <f>IF(H781=1,IF(H779=H$2,H779,""),"")</f>
        <v/>
      </c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438</v>
      </c>
      <c r="D781" s="38"/>
      <c r="E781" s="123" t="s">
        <v>11</v>
      </c>
      <c r="F781" s="21" t="str">
        <f>IF(H781=-0.33,IF(H779=H$1,H779,""),"")</f>
        <v/>
      </c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439</v>
      </c>
      <c r="D782" s="38"/>
      <c r="E782" s="123" t="s">
        <v>12</v>
      </c>
      <c r="F782" s="18"/>
      <c r="G782" s="24"/>
      <c r="H782" s="22"/>
    </row>
    <row r="783" spans="2:10" x14ac:dyDescent="0.25">
      <c r="B783" s="108"/>
      <c r="C783" s="127"/>
      <c r="D783" s="38"/>
      <c r="E783" s="123" t="s">
        <v>13</v>
      </c>
      <c r="F783" s="18"/>
      <c r="G783" s="17"/>
      <c r="H783" s="22"/>
    </row>
    <row r="784" spans="2:10" x14ac:dyDescent="0.25">
      <c r="B784" s="122" t="s">
        <v>29</v>
      </c>
      <c r="C784" s="84" t="s">
        <v>440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432</v>
      </c>
      <c r="D785" s="38"/>
      <c r="E785" s="123" t="s">
        <v>9</v>
      </c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441</v>
      </c>
      <c r="D786" s="38"/>
      <c r="E786" s="123" t="s">
        <v>10</v>
      </c>
      <c r="F786" s="20" t="str">
        <f>IF(H787=1,IF(H785=H$2,H785,""),"")</f>
        <v/>
      </c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442</v>
      </c>
      <c r="D787" s="38"/>
      <c r="E787" s="123" t="s">
        <v>11</v>
      </c>
      <c r="F787" s="21" t="str">
        <f>IF(H787=-0.33,IF(H785=H$1,H785,""),"")</f>
        <v/>
      </c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439</v>
      </c>
      <c r="D788" s="38"/>
      <c r="E788" s="123" t="s">
        <v>12</v>
      </c>
      <c r="F788" s="18"/>
      <c r="G788" s="24"/>
      <c r="H788" s="22"/>
    </row>
    <row r="789" spans="2:8" x14ac:dyDescent="0.25">
      <c r="B789" s="108"/>
      <c r="C789" s="127"/>
      <c r="D789" s="38"/>
      <c r="E789" s="123" t="s">
        <v>13</v>
      </c>
      <c r="F789" s="18"/>
      <c r="G789" s="17"/>
      <c r="H789" s="22"/>
    </row>
    <row r="790" spans="2:8" x14ac:dyDescent="0.25">
      <c r="B790" s="122" t="s">
        <v>27</v>
      </c>
      <c r="C790" s="84" t="s">
        <v>443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444</v>
      </c>
      <c r="D791" s="38"/>
      <c r="E791" s="123" t="s">
        <v>9</v>
      </c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445</v>
      </c>
      <c r="D792" s="38"/>
      <c r="E792" s="123" t="s">
        <v>10</v>
      </c>
      <c r="F792" s="20" t="str">
        <f>IF(H793=1,IF(H791=H$2,H791,""),"")</f>
        <v/>
      </c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446</v>
      </c>
      <c r="D793" s="38"/>
      <c r="E793" s="123" t="s">
        <v>11</v>
      </c>
      <c r="F793" s="21" t="str">
        <f>IF(H793=-0.33,IF(H791=H$1,H791,""),"")</f>
        <v/>
      </c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262</v>
      </c>
      <c r="D794" s="38"/>
      <c r="E794" s="123" t="s">
        <v>12</v>
      </c>
      <c r="F794" s="18"/>
      <c r="G794" s="24"/>
      <c r="H794" s="22"/>
    </row>
    <row r="795" spans="2:8" x14ac:dyDescent="0.25">
      <c r="B795" s="108"/>
      <c r="C795" s="127"/>
      <c r="D795" s="38"/>
      <c r="E795" s="123" t="s">
        <v>13</v>
      </c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28"/>
      <c r="E798" s="128"/>
      <c r="F798" s="29" t="str">
        <f>IF(E$796="comprobar",H781+H775+H769+H763+H757+H751+H745+H739+H787+H793,"")</f>
        <v/>
      </c>
      <c r="G798" s="17">
        <f>10/2</f>
        <v>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mergeCells count="7">
    <mergeCell ref="D733:E733"/>
    <mergeCell ref="D798:E798"/>
    <mergeCell ref="D603:E603"/>
    <mergeCell ref="D81:E81"/>
    <mergeCell ref="C6:F6"/>
    <mergeCell ref="C83:F83"/>
    <mergeCell ref="D668:E668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2018-05-05T20:49:05Z</dcterms:modified>
  <cp:category/>
  <cp:contentStatus/>
</cp:coreProperties>
</file>