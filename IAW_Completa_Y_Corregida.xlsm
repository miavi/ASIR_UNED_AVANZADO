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excel\Avanzado\"/>
    </mc:Choice>
  </mc:AlternateContent>
  <bookViews>
    <workbookView xWindow="0" yWindow="465" windowWidth="3375" windowHeight="3750" tabRatio="500"/>
  </bookViews>
  <sheets>
    <sheet name="iaw" sheetId="6" r:id="rId1"/>
  </sheets>
  <definedNames>
    <definedName name="_xlnm.Print_Area" localSheetId="0">iaw!$B$1:$H$82</definedName>
    <definedName name="OLE_LINK2" localSheetId="0">iaw!$B$84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61" i="6" l="1"/>
  <c r="H465" i="6"/>
  <c r="H32" i="6"/>
  <c r="H20" i="6"/>
  <c r="H785" i="6" l="1"/>
  <c r="H779" i="6"/>
  <c r="H767" i="6"/>
  <c r="H755" i="6"/>
  <c r="H743" i="6"/>
  <c r="H737" i="6"/>
  <c r="H726" i="6"/>
  <c r="H714" i="6"/>
  <c r="H708" i="6"/>
  <c r="H696" i="6"/>
  <c r="H684" i="6"/>
  <c r="H678" i="6"/>
  <c r="H672" i="6"/>
  <c r="H619" i="6"/>
  <c r="H625" i="6"/>
  <c r="H643" i="6"/>
  <c r="H649" i="6"/>
  <c r="H661" i="6"/>
  <c r="H655" i="6"/>
  <c r="H596" i="6"/>
  <c r="H590" i="6"/>
  <c r="H584" i="6"/>
  <c r="H578" i="6"/>
  <c r="H572" i="6"/>
  <c r="H560" i="6"/>
  <c r="H554" i="6"/>
  <c r="H548" i="6"/>
  <c r="H542" i="6"/>
  <c r="G382" i="6"/>
  <c r="G461" i="6"/>
  <c r="G538" i="6"/>
  <c r="H531" i="6"/>
  <c r="H525" i="6"/>
  <c r="H513" i="6"/>
  <c r="H507" i="6"/>
  <c r="H501" i="6"/>
  <c r="H495" i="6"/>
  <c r="H489" i="6"/>
  <c r="H526" i="6"/>
  <c r="H520" i="6"/>
  <c r="H514" i="6"/>
  <c r="H508" i="6"/>
  <c r="H502" i="6"/>
  <c r="H496" i="6"/>
  <c r="H490" i="6"/>
  <c r="H484" i="6"/>
  <c r="H478" i="6"/>
  <c r="H472" i="6"/>
  <c r="H466" i="6"/>
  <c r="H532" i="6"/>
  <c r="H527" i="6"/>
  <c r="H454" i="6"/>
  <c r="H448" i="6"/>
  <c r="H442" i="6"/>
  <c r="H436" i="6"/>
  <c r="H430" i="6"/>
  <c r="H412" i="6"/>
  <c r="H406" i="6"/>
  <c r="H400" i="6"/>
  <c r="H394" i="6"/>
  <c r="H388" i="6"/>
  <c r="H455" i="6"/>
  <c r="H456" i="6" s="1"/>
  <c r="H449" i="6"/>
  <c r="H450" i="6" s="1"/>
  <c r="H375" i="6"/>
  <c r="H369" i="6"/>
  <c r="H363" i="6"/>
  <c r="H357" i="6"/>
  <c r="H351" i="6"/>
  <c r="H345" i="6"/>
  <c r="H339" i="6"/>
  <c r="H333" i="6"/>
  <c r="H327" i="6"/>
  <c r="H321" i="6"/>
  <c r="H533" i="6" l="1"/>
  <c r="F533" i="6" s="1"/>
  <c r="F527" i="6"/>
  <c r="F526" i="6"/>
  <c r="F456" i="6"/>
  <c r="F455" i="6"/>
  <c r="F450" i="6"/>
  <c r="F449" i="6"/>
  <c r="H294" i="6"/>
  <c r="H288" i="6"/>
  <c r="H282" i="6"/>
  <c r="H276" i="6"/>
  <c r="H270" i="6"/>
  <c r="H252" i="6"/>
  <c r="H246" i="6"/>
  <c r="H240" i="6"/>
  <c r="H229" i="6"/>
  <c r="H223" i="6"/>
  <c r="H210" i="6"/>
  <c r="H204" i="6"/>
  <c r="H198" i="6"/>
  <c r="H192" i="6"/>
  <c r="H186" i="6"/>
  <c r="H180" i="6"/>
  <c r="H174" i="6"/>
  <c r="H168" i="6"/>
  <c r="H162" i="6"/>
  <c r="H163" i="6"/>
  <c r="H169" i="6"/>
  <c r="H175" i="6"/>
  <c r="H181" i="6"/>
  <c r="H187" i="6"/>
  <c r="H193" i="6"/>
  <c r="H199" i="6"/>
  <c r="H205" i="6"/>
  <c r="H211" i="6"/>
  <c r="H217" i="6"/>
  <c r="H224" i="6"/>
  <c r="H225" i="6" s="1"/>
  <c r="H230" i="6"/>
  <c r="H231" i="6" s="1"/>
  <c r="G236" i="6"/>
  <c r="G158" i="6"/>
  <c r="H121" i="6"/>
  <c r="H115" i="6"/>
  <c r="H109" i="6"/>
  <c r="H103" i="6"/>
  <c r="H97" i="6"/>
  <c r="H127" i="6"/>
  <c r="H139" i="6"/>
  <c r="H133" i="6"/>
  <c r="H151" i="6"/>
  <c r="H145" i="6"/>
  <c r="H91" i="6"/>
  <c r="H85" i="6"/>
  <c r="G81" i="6"/>
  <c r="H74" i="6"/>
  <c r="H68" i="6"/>
  <c r="H56" i="6"/>
  <c r="H44" i="6"/>
  <c r="H38" i="6"/>
  <c r="H26" i="6"/>
  <c r="H14" i="6"/>
  <c r="H152" i="6"/>
  <c r="H153" i="6" s="1"/>
  <c r="H146" i="6"/>
  <c r="H147" i="6" s="1"/>
  <c r="H69" i="6"/>
  <c r="H70" i="6" s="1"/>
  <c r="H63" i="6"/>
  <c r="H57" i="6"/>
  <c r="H51" i="6"/>
  <c r="H45" i="6"/>
  <c r="H39" i="6"/>
  <c r="H33" i="6"/>
  <c r="H27" i="6"/>
  <c r="H21" i="6"/>
  <c r="H15" i="6"/>
  <c r="H9" i="6"/>
  <c r="H75" i="6"/>
  <c r="H76" i="6" s="1"/>
  <c r="F75" i="6" s="1"/>
  <c r="F532" i="6" l="1"/>
  <c r="H170" i="6"/>
  <c r="F170" i="6" s="1"/>
  <c r="F231" i="6"/>
  <c r="F230" i="6"/>
  <c r="F225" i="6"/>
  <c r="F224" i="6"/>
  <c r="F76" i="6"/>
  <c r="F153" i="6"/>
  <c r="F152" i="6"/>
  <c r="F147" i="6"/>
  <c r="F146" i="6"/>
  <c r="F70" i="6"/>
  <c r="F69" i="6"/>
  <c r="H791" i="6"/>
  <c r="H749" i="6"/>
  <c r="H792" i="6"/>
  <c r="H793" i="6" s="1"/>
  <c r="H786" i="6"/>
  <c r="H787" i="6" s="1"/>
  <c r="H780" i="6"/>
  <c r="H774" i="6"/>
  <c r="H768" i="6"/>
  <c r="H769" i="6" s="1"/>
  <c r="H762" i="6"/>
  <c r="H763" i="6" s="1"/>
  <c r="H756" i="6"/>
  <c r="H757" i="6" s="1"/>
  <c r="H750" i="6"/>
  <c r="H751" i="6" s="1"/>
  <c r="H744" i="6"/>
  <c r="H745" i="6" s="1"/>
  <c r="H738" i="6"/>
  <c r="H739" i="6" s="1"/>
  <c r="H781" i="6"/>
  <c r="H773" i="6"/>
  <c r="H702" i="6"/>
  <c r="H690" i="6"/>
  <c r="H727" i="6"/>
  <c r="H728" i="6" s="1"/>
  <c r="F727" i="6" s="1"/>
  <c r="H721" i="6"/>
  <c r="H715" i="6"/>
  <c r="H709" i="6"/>
  <c r="H703" i="6"/>
  <c r="H697" i="6"/>
  <c r="H691" i="6"/>
  <c r="H685" i="6"/>
  <c r="H686" i="6" s="1"/>
  <c r="F685" i="6" s="1"/>
  <c r="H679" i="6"/>
  <c r="H680" i="6" s="1"/>
  <c r="F679" i="6" s="1"/>
  <c r="H673" i="6"/>
  <c r="H716" i="6"/>
  <c r="F715" i="6" s="1"/>
  <c r="H710" i="6"/>
  <c r="F709" i="6" s="1"/>
  <c r="H704" i="6"/>
  <c r="F703" i="6" s="1"/>
  <c r="H698" i="6"/>
  <c r="F698" i="6" s="1"/>
  <c r="H674" i="6"/>
  <c r="F674" i="6" s="1"/>
  <c r="H720" i="6"/>
  <c r="H722" i="6"/>
  <c r="F722" i="6" s="1"/>
  <c r="H631" i="6"/>
  <c r="H613" i="6"/>
  <c r="H607" i="6"/>
  <c r="H662" i="6"/>
  <c r="H663" i="6" s="1"/>
  <c r="F662" i="6" s="1"/>
  <c r="H656" i="6"/>
  <c r="H657" i="6" s="1"/>
  <c r="H650" i="6"/>
  <c r="H651" i="6" s="1"/>
  <c r="H644" i="6"/>
  <c r="H645" i="6" s="1"/>
  <c r="F645" i="6" s="1"/>
  <c r="H638" i="6"/>
  <c r="H632" i="6"/>
  <c r="H633" i="6" s="1"/>
  <c r="F632" i="6" s="1"/>
  <c r="H626" i="6"/>
  <c r="H627" i="6" s="1"/>
  <c r="F626" i="6" s="1"/>
  <c r="H620" i="6"/>
  <c r="H621" i="6" s="1"/>
  <c r="F620" i="6" s="1"/>
  <c r="H614" i="6"/>
  <c r="H615" i="6" s="1"/>
  <c r="F614" i="6" s="1"/>
  <c r="H608" i="6"/>
  <c r="H609" i="6" s="1"/>
  <c r="H637" i="6"/>
  <c r="H566" i="6"/>
  <c r="H519" i="6"/>
  <c r="H521" i="6" s="1"/>
  <c r="F520" i="6" s="1"/>
  <c r="H477" i="6"/>
  <c r="H479" i="6" s="1"/>
  <c r="F479" i="6" s="1"/>
  <c r="H471" i="6"/>
  <c r="H473" i="6" s="1"/>
  <c r="F473" i="6" s="1"/>
  <c r="H364" i="6"/>
  <c r="H365" i="6" s="1"/>
  <c r="F364" i="6" s="1"/>
  <c r="H358" i="6"/>
  <c r="H359" i="6" s="1"/>
  <c r="F359" i="6" s="1"/>
  <c r="H352" i="6"/>
  <c r="H353" i="6" s="1"/>
  <c r="F352" i="6" s="1"/>
  <c r="H346" i="6"/>
  <c r="H347" i="6" s="1"/>
  <c r="F347" i="6" s="1"/>
  <c r="H340" i="6"/>
  <c r="H341" i="6" s="1"/>
  <c r="F341" i="6" s="1"/>
  <c r="H334" i="6"/>
  <c r="H335" i="6" s="1"/>
  <c r="F335" i="6" s="1"/>
  <c r="H328" i="6"/>
  <c r="H329" i="6" s="1"/>
  <c r="F329" i="6" s="1"/>
  <c r="H322" i="6"/>
  <c r="H323" i="6" s="1"/>
  <c r="F323" i="6" s="1"/>
  <c r="H316" i="6"/>
  <c r="H315" i="6"/>
  <c r="H309" i="6"/>
  <c r="H308" i="6"/>
  <c r="H370" i="6"/>
  <c r="H371" i="6" s="1"/>
  <c r="F370" i="6" s="1"/>
  <c r="H376" i="6"/>
  <c r="H377" i="6" s="1"/>
  <c r="F377" i="6" s="1"/>
  <c r="H264" i="6"/>
  <c r="H258" i="6"/>
  <c r="H216" i="6"/>
  <c r="H218" i="6" s="1"/>
  <c r="H50" i="6"/>
  <c r="H52" i="6" s="1"/>
  <c r="H8" i="6"/>
  <c r="H10" i="6" s="1"/>
  <c r="G798" i="6"/>
  <c r="G733" i="6"/>
  <c r="G668" i="6"/>
  <c r="H467" i="6"/>
  <c r="H483" i="6"/>
  <c r="H485" i="6" s="1"/>
  <c r="F485" i="6" s="1"/>
  <c r="H491" i="6"/>
  <c r="H497" i="6"/>
  <c r="F496" i="6" s="1"/>
  <c r="H503" i="6"/>
  <c r="F502" i="6" s="1"/>
  <c r="H509" i="6"/>
  <c r="F508" i="6" s="1"/>
  <c r="H515" i="6"/>
  <c r="H443" i="6"/>
  <c r="H444" i="6" s="1"/>
  <c r="H437" i="6"/>
  <c r="H438" i="6" s="1"/>
  <c r="H431" i="6"/>
  <c r="H432" i="6" s="1"/>
  <c r="H425" i="6"/>
  <c r="H424" i="6"/>
  <c r="H419" i="6"/>
  <c r="H418" i="6"/>
  <c r="H420" i="6" s="1"/>
  <c r="F420" i="6" s="1"/>
  <c r="H413" i="6"/>
  <c r="H414" i="6" s="1"/>
  <c r="F413" i="6" s="1"/>
  <c r="H407" i="6"/>
  <c r="H408" i="6" s="1"/>
  <c r="F408" i="6" s="1"/>
  <c r="H401" i="6"/>
  <c r="H402" i="6" s="1"/>
  <c r="H395" i="6"/>
  <c r="H396" i="6" s="1"/>
  <c r="H389" i="6"/>
  <c r="H390" i="6" s="1"/>
  <c r="H585" i="6"/>
  <c r="H586" i="6" s="1"/>
  <c r="F585" i="6" s="1"/>
  <c r="H579" i="6"/>
  <c r="H580" i="6" s="1"/>
  <c r="F580" i="6" s="1"/>
  <c r="H573" i="6"/>
  <c r="H574" i="6" s="1"/>
  <c r="F573" i="6" s="1"/>
  <c r="H567" i="6"/>
  <c r="H568" i="6" s="1"/>
  <c r="F568" i="6" s="1"/>
  <c r="H561" i="6"/>
  <c r="H562" i="6" s="1"/>
  <c r="F561" i="6" s="1"/>
  <c r="H555" i="6"/>
  <c r="H556" i="6" s="1"/>
  <c r="F556" i="6" s="1"/>
  <c r="H549" i="6"/>
  <c r="H550" i="6" s="1"/>
  <c r="F550" i="6" s="1"/>
  <c r="H543" i="6"/>
  <c r="H544" i="6" s="1"/>
  <c r="H591" i="6"/>
  <c r="H592" i="6" s="1"/>
  <c r="F591" i="6" s="1"/>
  <c r="H597" i="6"/>
  <c r="H598" i="6" s="1"/>
  <c r="H295" i="6"/>
  <c r="H296" i="6" s="1"/>
  <c r="F295" i="6" s="1"/>
  <c r="H289" i="6"/>
  <c r="H290" i="6" s="1"/>
  <c r="F290" i="6" s="1"/>
  <c r="H283" i="6"/>
  <c r="H284" i="6" s="1"/>
  <c r="F283" i="6" s="1"/>
  <c r="H277" i="6"/>
  <c r="H278" i="6" s="1"/>
  <c r="F277" i="6" s="1"/>
  <c r="H271" i="6"/>
  <c r="H272" i="6" s="1"/>
  <c r="F271" i="6" s="1"/>
  <c r="H265" i="6"/>
  <c r="H259" i="6"/>
  <c r="H260" i="6" s="1"/>
  <c r="F259" i="6" s="1"/>
  <c r="H253" i="6"/>
  <c r="H254" i="6" s="1"/>
  <c r="F253" i="6" s="1"/>
  <c r="H247" i="6"/>
  <c r="H248" i="6" s="1"/>
  <c r="H241" i="6"/>
  <c r="H242" i="6" s="1"/>
  <c r="F242" i="6" s="1"/>
  <c r="G603" i="6"/>
  <c r="H28" i="6"/>
  <c r="H34" i="6"/>
  <c r="H40" i="6"/>
  <c r="H46" i="6"/>
  <c r="H58" i="6"/>
  <c r="H62" i="6"/>
  <c r="H64" i="6" s="1"/>
  <c r="H22" i="6"/>
  <c r="H16" i="6"/>
  <c r="H140" i="6"/>
  <c r="H141" i="6" s="1"/>
  <c r="H134" i="6"/>
  <c r="H135" i="6" s="1"/>
  <c r="H128" i="6"/>
  <c r="H129" i="6" s="1"/>
  <c r="H122" i="6"/>
  <c r="H123" i="6" s="1"/>
  <c r="H116" i="6"/>
  <c r="H117" i="6" s="1"/>
  <c r="H110" i="6"/>
  <c r="H111" i="6" s="1"/>
  <c r="H104" i="6"/>
  <c r="H105" i="6" s="1"/>
  <c r="H98" i="6"/>
  <c r="H99" i="6" s="1"/>
  <c r="H92" i="6"/>
  <c r="H93" i="6" s="1"/>
  <c r="H86" i="6"/>
  <c r="H87" i="6" s="1"/>
  <c r="G301" i="6"/>
  <c r="H212" i="6"/>
  <c r="H206" i="6"/>
  <c r="F206" i="6" s="1"/>
  <c r="H200" i="6"/>
  <c r="H194" i="6"/>
  <c r="F194" i="6" s="1"/>
  <c r="H188" i="6"/>
  <c r="H182" i="6"/>
  <c r="F182" i="6" s="1"/>
  <c r="H176" i="6"/>
  <c r="H164" i="6"/>
  <c r="F164" i="6" s="1"/>
  <c r="F81" i="6" l="1"/>
  <c r="F82" i="6" s="1"/>
  <c r="H692" i="6"/>
  <c r="F691" i="6" s="1"/>
  <c r="H775" i="6"/>
  <c r="F798" i="6" s="1"/>
  <c r="F799" i="6" s="1"/>
  <c r="F733" i="6"/>
  <c r="F734" i="6" s="1"/>
  <c r="F721" i="6"/>
  <c r="H639" i="6"/>
  <c r="F638" i="6" s="1"/>
  <c r="H426" i="6"/>
  <c r="F426" i="6" s="1"/>
  <c r="H310" i="6"/>
  <c r="F309" i="6" s="1"/>
  <c r="H317" i="6"/>
  <c r="F316" i="6" s="1"/>
  <c r="F538" i="6"/>
  <c r="F539" i="6" s="1"/>
  <c r="F461" i="6"/>
  <c r="F462" i="6" s="1"/>
  <c r="F310" i="6"/>
  <c r="H266" i="6"/>
  <c r="F266" i="6" s="1"/>
  <c r="F621" i="6"/>
  <c r="F673" i="6"/>
  <c r="F169" i="6"/>
  <c r="F478" i="6"/>
  <c r="F376" i="6"/>
  <c r="F697" i="6"/>
  <c r="F358" i="6"/>
  <c r="F686" i="6"/>
  <c r="F710" i="6"/>
  <c r="F562" i="6"/>
  <c r="F284" i="6"/>
  <c r="F574" i="6"/>
  <c r="F414" i="6"/>
  <c r="F340" i="6"/>
  <c r="F549" i="6"/>
  <c r="F586" i="6"/>
  <c r="F260" i="6"/>
  <c r="F296" i="6"/>
  <c r="F353" i="6"/>
  <c r="F425" i="6"/>
  <c r="F503" i="6"/>
  <c r="F592" i="6"/>
  <c r="F615" i="6"/>
  <c r="F627" i="6"/>
  <c r="F680" i="6"/>
  <c r="F704" i="6"/>
  <c r="F716" i="6"/>
  <c r="F728" i="6"/>
  <c r="F218" i="6"/>
  <c r="F236" i="6"/>
  <c r="F237" i="6" s="1"/>
  <c r="F322" i="6"/>
  <c r="F346" i="6"/>
  <c r="F497" i="6"/>
  <c r="F158" i="6"/>
  <c r="F159" i="6" s="1"/>
  <c r="F134" i="6"/>
  <c r="F135" i="6"/>
  <c r="F129" i="6"/>
  <c r="F128" i="6"/>
  <c r="F122" i="6"/>
  <c r="F123" i="6"/>
  <c r="F116" i="6"/>
  <c r="F117" i="6"/>
  <c r="F110" i="6"/>
  <c r="F111" i="6"/>
  <c r="F104" i="6"/>
  <c r="F105" i="6"/>
  <c r="F99" i="6"/>
  <c r="F98" i="6"/>
  <c r="F93" i="6"/>
  <c r="F92" i="6"/>
  <c r="F87" i="6"/>
  <c r="F86" i="6"/>
  <c r="F63" i="6"/>
  <c r="F247" i="6"/>
  <c r="F248" i="6"/>
  <c r="F272" i="6"/>
  <c r="F608" i="6"/>
  <c r="F609" i="6"/>
  <c r="F579" i="6"/>
  <c r="F241" i="6"/>
  <c r="F254" i="6"/>
  <c r="F278" i="6"/>
  <c r="F289" i="6"/>
  <c r="F328" i="6"/>
  <c r="F407" i="6"/>
  <c r="F419" i="6"/>
  <c r="F181" i="6"/>
  <c r="F64" i="6"/>
  <c r="F390" i="6"/>
  <c r="F389" i="6"/>
  <c r="F402" i="6"/>
  <c r="F401" i="6"/>
  <c r="F650" i="6"/>
  <c r="F651" i="6"/>
  <c r="F15" i="6"/>
  <c r="F16" i="6"/>
  <c r="F51" i="6"/>
  <c r="F52" i="6"/>
  <c r="F39" i="6"/>
  <c r="F40" i="6"/>
  <c r="F27" i="6"/>
  <c r="F28" i="6"/>
  <c r="F544" i="6"/>
  <c r="F543" i="6"/>
  <c r="F396" i="6"/>
  <c r="F395" i="6"/>
  <c r="F431" i="6"/>
  <c r="F432" i="6"/>
  <c r="F443" i="6"/>
  <c r="F444" i="6"/>
  <c r="F555" i="6"/>
  <c r="F567" i="6"/>
  <c r="F365" i="6"/>
  <c r="F633" i="6"/>
  <c r="F644" i="6"/>
  <c r="F663" i="6"/>
  <c r="F205" i="6"/>
  <c r="F193" i="6"/>
  <c r="F217" i="6"/>
  <c r="F163" i="6"/>
  <c r="F176" i="6"/>
  <c r="F175" i="6"/>
  <c r="F188" i="6"/>
  <c r="F187" i="6"/>
  <c r="F200" i="6"/>
  <c r="F199" i="6"/>
  <c r="F212" i="6"/>
  <c r="F211" i="6"/>
  <c r="F140" i="6"/>
  <c r="F141" i="6"/>
  <c r="F9" i="6"/>
  <c r="F10" i="6"/>
  <c r="F21" i="6"/>
  <c r="F22" i="6"/>
  <c r="F57" i="6"/>
  <c r="F58" i="6"/>
  <c r="F45" i="6"/>
  <c r="F46" i="6"/>
  <c r="F33" i="6"/>
  <c r="F34" i="6"/>
  <c r="F598" i="6"/>
  <c r="F597" i="6"/>
  <c r="F437" i="6"/>
  <c r="F438" i="6"/>
  <c r="F514" i="6"/>
  <c r="F515" i="6"/>
  <c r="F491" i="6"/>
  <c r="F490" i="6"/>
  <c r="F467" i="6"/>
  <c r="F466" i="6"/>
  <c r="F656" i="6"/>
  <c r="F657" i="6"/>
  <c r="F334" i="6"/>
  <c r="F371" i="6"/>
  <c r="F472" i="6"/>
  <c r="F484" i="6"/>
  <c r="F509" i="6"/>
  <c r="F521" i="6"/>
  <c r="F603" i="6"/>
  <c r="F604" i="6" s="1"/>
  <c r="F692" i="6" l="1"/>
  <c r="F317" i="6"/>
  <c r="F382" i="6"/>
  <c r="F383" i="6" s="1"/>
  <c r="F639" i="6"/>
  <c r="F668" i="6"/>
  <c r="F669" i="6" s="1"/>
  <c r="F265" i="6"/>
  <c r="F301" i="6"/>
  <c r="F302" i="6" s="1"/>
</calcChain>
</file>

<file path=xl/sharedStrings.xml><?xml version="1.0" encoding="utf-8"?>
<sst xmlns="http://schemas.openxmlformats.org/spreadsheetml/2006/main" count="1835" uniqueCount="449">
  <si>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</si>
  <si>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</si>
  <si>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</si>
  <si>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</si>
  <si>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</si>
  <si>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</si>
  <si>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</si>
  <si>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</si>
  <si>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</si>
  <si>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</si>
  <si>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</si>
  <si>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</si>
  <si>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</si>
  <si>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</si>
  <si>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</si>
  <si>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</si>
  <si>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</si>
  <si>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</si>
  <si>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</si>
  <si>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</si>
  <si>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</si>
  <si>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</si>
  <si>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</si>
  <si>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</si>
  <si>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</si>
  <si>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</si>
  <si>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</si>
  <si>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</si>
  <si>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</si>
  <si>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</si>
  <si>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</si>
  <si>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</si>
  <si>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</si>
  <si>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TEMA 3</t>
  </si>
  <si>
    <t>TEMA 2</t>
  </si>
  <si>
    <t>TEMA 4</t>
  </si>
  <si>
    <t>TEMA 5</t>
  </si>
  <si>
    <t>11 .-</t>
  </si>
  <si>
    <t>12 .-</t>
  </si>
  <si>
    <t>TEMA 6</t>
  </si>
  <si>
    <t xml:space="preserve">TEMA  7 </t>
  </si>
  <si>
    <t>TEMA 9</t>
  </si>
  <si>
    <t>TEMA 10</t>
  </si>
  <si>
    <t>TEMA 11</t>
  </si>
  <si>
    <t>comprobar</t>
  </si>
  <si>
    <t>El paradigma Modelo Vista Controlador (MVC):</t>
  </si>
  <si>
    <t>Es una técnica que divide la capa lógica en dos capas: Vista y Controlador.</t>
  </si>
  <si>
    <t>Es una técnica que divide la capa lógica en tres capas: Modelo, Vista y Controlador.</t>
  </si>
  <si>
    <t>Es una técnica que aparece en 1972 y que actualmente está totalmente desfasada.</t>
  </si>
  <si>
    <t>Todas las opciones son falsas.</t>
  </si>
  <si>
    <t>CSS:</t>
  </si>
  <si>
    <t>Es una tecnología del lado del servidor.</t>
  </si>
  <si>
    <t>Es una tecnología del lado del cliente.</t>
  </si>
  <si>
    <t>Es una tecnología para acceder a las bases de datos.</t>
  </si>
  <si>
    <t>PHP:</t>
  </si>
  <si>
    <t>Es una tecnología que trabaja con hojas de estilos.</t>
  </si>
  <si>
    <t>HTML:</t>
  </si>
  <si>
    <t>¿Qué capa es la que permite acceder a las bases de datos en una arquitectura de tres capas de una aplicación web?</t>
  </si>
  <si>
    <t>Presentación.</t>
  </si>
  <si>
    <t>Lógica.</t>
  </si>
  <si>
    <t>Negocio.</t>
  </si>
  <si>
    <t>¿Qué capa es la encargada de crear HTML y CSS en una aplicación web con una arquitectura de tres capas?</t>
  </si>
  <si>
    <t>En un modelo MVC ¿qué parte es la que se encarga de recoger y encauzar las peticiones del cliente?</t>
  </si>
  <si>
    <t>Modelo</t>
  </si>
  <si>
    <t>Vista</t>
  </si>
  <si>
    <t>Controlador</t>
  </si>
  <si>
    <t>Ninguna ópcion es correcta</t>
  </si>
  <si>
    <t>JSP:</t>
  </si>
  <si>
    <t>Un Applet de Java:</t>
  </si>
  <si>
    <t>Los tipos de servicios de cloud computing son:</t>
  </si>
  <si>
    <t>Tres (SaaS, PaaS y IaaS).</t>
  </si>
  <si>
    <t>Cuatro (SaaS, PaaS, MaaS y IaaS).</t>
  </si>
  <si>
    <t>Tres (SaaS, PaaS y MaaS).</t>
  </si>
  <si>
    <t>Los tipos de nubes que existen para implementar los servicios son:</t>
  </si>
  <si>
    <t>Nubes públicas y nubes privadas.</t>
  </si>
  <si>
    <t>Nubes privadas, nubes públicas y nubes semipúblicas.</t>
  </si>
  <si>
    <t>Nubes públicas y nubes semipúblicas.</t>
  </si>
  <si>
    <t>¿Qué son Git, Subversial y Mercure?:</t>
  </si>
  <si>
    <t>Software de máquina virtual.</t>
  </si>
  <si>
    <t>Sistemas de control de versiones.</t>
  </si>
  <si>
    <t>Servidores de aplicaciones web.</t>
  </si>
  <si>
    <t>¿Qué son Windows, Linux y Solaris?</t>
  </si>
  <si>
    <t>¿Qué son Apache, nginx e IIS?</t>
  </si>
  <si>
    <t>¿Qué son XDebug, Zend Debugger y FirePHP?</t>
  </si>
  <si>
    <t>Sistemas gestores de bases de datos.</t>
  </si>
  <si>
    <t>¿Qué son MySQL, PostGreSQL y Oracle?</t>
  </si>
  <si>
    <t>VMWare:</t>
  </si>
  <si>
    <t>Es un conector de bases de datos para aplicaciones de Microsoft.</t>
  </si>
  <si>
    <t>Es un software de máquina virtual.</t>
  </si>
  <si>
    <t>Es un sistema gestor de bases de datos.</t>
  </si>
  <si>
    <t>¿Qué es XAMPP?:</t>
  </si>
  <si>
    <t>Es un paquete integrado que instala entre otros, Apache, MySQL, PHP.</t>
  </si>
  <si>
    <t>Es un sistema operativo muy utilizado para instalar servidores web.</t>
  </si>
  <si>
    <t>Es un depurador de código, utilizado como extensión de Mozilla Firefox.</t>
  </si>
  <si>
    <t>¿Qué es JDBC?:</t>
  </si>
  <si>
    <t>Es un conector de bases de datos para aplicaciones PHP.</t>
  </si>
  <si>
    <t>Es un conector de bases de datos para aplicaciones Javascript.</t>
  </si>
  <si>
    <t>¿Qué es ODBC?:</t>
  </si>
  <si>
    <t>Es un conector de bases de datos para aplicaciones Oracle.</t>
  </si>
  <si>
    <t xml:space="preserve">11 .- </t>
  </si>
  <si>
    <t xml:space="preserve">12 .- </t>
  </si>
  <si>
    <t>Oracle Virtual Box:</t>
  </si>
  <si>
    <t>OSX:</t>
  </si>
  <si>
    <t>Es una distribución Linux.</t>
  </si>
  <si>
    <t>Es una versión de Android.</t>
  </si>
  <si>
    <t>Es un conector de bases de datos.</t>
  </si>
  <si>
    <t>Apache Tomcat:</t>
  </si>
  <si>
    <t>Es un servidor web para aplicaciones php.</t>
  </si>
  <si>
    <t>Es un sistema operativo.</t>
  </si>
  <si>
    <t>El lenguaje PHP:</t>
  </si>
  <si>
    <t>No dispone de la opción de incluir comentarios.</t>
  </si>
  <si>
    <t>Es un lenguaje cuya sintaxis se basa en C y en Perl.</t>
  </si>
  <si>
    <t>Es totalmente sensible a mayúsculas y minúsculas.</t>
  </si>
  <si>
    <t>De los siguientes textos, ¿cuál no puede ser un identificador de una variable?:</t>
  </si>
  <si>
    <t>$_precio2.</t>
  </si>
  <si>
    <t>$precio2.</t>
  </si>
  <si>
    <t>$2precio.</t>
  </si>
  <si>
    <t>De los siguientes textos, ¿cuál es válido como comentario en php?</t>
  </si>
  <si>
    <t>/* esto es un comentario */</t>
  </si>
  <si>
    <t>–- esto es un comentario</t>
  </si>
  <si>
    <t># esto es un comentario</t>
  </si>
  <si>
    <t>De los siguientes operadores de php, ¿cuál no es un operador relacional?</t>
  </si>
  <si>
    <t>&gt; </t>
  </si>
  <si>
    <t>!=</t>
  </si>
  <si>
    <t>=</t>
  </si>
  <si>
    <t>De las siguientes estructuras de control de php, ¿cuál no es una estructura repetitiva o bucle?</t>
  </si>
  <si>
    <t>while.</t>
  </si>
  <si>
    <t>switch.</t>
  </si>
  <si>
    <t>for.</t>
  </si>
  <si>
    <t>Un script PHP, al que le envían información desde un formulario mediante el método GET:</t>
  </si>
  <si>
    <t>La información la recibe en la variable superglobal $_POST.</t>
  </si>
  <si>
    <t>La información la recibe en la variable superglobal $_GET.</t>
  </si>
  <si>
    <t>La información la recibe en una variable local, la cual es un array.</t>
  </si>
  <si>
    <t>El método POST:</t>
  </si>
  <si>
    <t>Sólo se utiliza para enviar información desde un formulario.</t>
  </si>
  <si>
    <t>La información la envía a través de la url.</t>
  </si>
  <si>
    <t>Es similar al método GET.</t>
  </si>
  <si>
    <t>Se quiere hacer un formulario en html para controlar el acceso a una web. El formulario debe tener dos cuadros de texto, uno para el usuario y otro para la password, y además un botón submit. ¿Qué método debemos utilizar para enviar los datos del formulario?:</t>
  </si>
  <si>
    <t>El método POST.</t>
  </si>
  <si>
    <t>El método GET.</t>
  </si>
  <si>
    <t>Tanto el POST como el GET serían igual de correctos.</t>
  </si>
  <si>
    <t>El siguiente código ¿qué muestra por pantalla?:
&lt;?php
for($x=5;$x&gt;0; ) echo --$x.' '; 
?&gt;</t>
  </si>
  <si>
    <t>5 4 3 2 1</t>
  </si>
  <si>
    <t>4 3 2 1 0</t>
  </si>
  <si>
    <t>4 3 2 1</t>
  </si>
  <si>
    <t>¿Cuál es la principal diferencia entre la estructura de control while y do while?</t>
  </si>
  <si>
    <t>No hay ninguna diferencia.</t>
  </si>
  <si>
    <t>En do while siempre se va a ejecutar al menos una vez el bloque de instrucciones y en while no.</t>
  </si>
  <si>
    <t>En while siempre se va a ejecutar al menos una vez el bloque de instrucciones y en do while no.</t>
  </si>
  <si>
    <t>Es una tecnología poco utilizada.</t>
  </si>
  <si>
    <t>Un texto literal en PHP, se debe escribir:</t>
  </si>
  <si>
    <t>Dentro de comillas simples o dobles.</t>
  </si>
  <si>
    <t>Dentro de corchetes.</t>
  </si>
  <si>
    <t>Dentro de paréntesis.</t>
  </si>
  <si>
    <t>Sobre parámetros por valor:</t>
  </si>
  <si>
    <t>Las modificaciones sobre parámetros por valor, no se ven reflejadas fuera de la función.</t>
  </si>
  <si>
    <t>Las modificaciones sobre parámetros por valor, sí se ven reflejadas fuera de la función.</t>
  </si>
  <si>
    <t>Las modificaciones sobre parámetros por valor, hay casos en que sí se ven reflejadas fuera de la función y otros en los que no.</t>
  </si>
  <si>
    <t>Todas las opciones son falsas</t>
  </si>
  <si>
    <t>Sobre parámetros por referencia:</t>
  </si>
  <si>
    <t>Las modificaciones sobre parámetros por referencia, no se ven reflejadas fuera de la función.</t>
  </si>
  <si>
    <t>Las modificaciones sobre parámetros por referencia, sí se ven reflejadas fuera de la función.</t>
  </si>
  <si>
    <t>Las modificaciones sobre parámetros por referencia, hay casos en que sí se ven reflejadas fuera de la función y otros en los que no.</t>
  </si>
  <si>
    <t>De los siguientes textos, ¿cuál no puede ser un identificador de una función?:</t>
  </si>
  <si>
    <t>_precio2.</t>
  </si>
  <si>
    <t>precio2.</t>
  </si>
  <si>
    <t>2precio.</t>
  </si>
  <si>
    <t>La recursividad:</t>
  </si>
  <si>
    <t>Es una técnica para compartir datos entre dos funciones distintas.</t>
  </si>
  <si>
    <t>Es una técnica en la que una función se llama o invoca a sí misma.</t>
  </si>
  <si>
    <t>Es una técnica para recordar datos de variables en llamadas anteriores.</t>
  </si>
  <si>
    <t>Un array en PHP:</t>
  </si>
  <si>
    <t>Puede contener datos de diferentes tipos.</t>
  </si>
  <si>
    <t>Los índices sólo pueden ser enteros.</t>
  </si>
  <si>
    <t>Sólo pueden tener una dimensión.</t>
  </si>
  <si>
    <t>La siguiente función:
function f ($num){
   if($num&lt;2) return 1;
   return $num*f($num-1);
}</t>
  </si>
  <si>
    <t>Es una función iterativa.</t>
  </si>
  <si>
    <t>Es una función recursiva.</t>
  </si>
  <si>
    <t>Es una función estática.</t>
  </si>
  <si>
    <t>En PHP la función count( ):</t>
  </si>
  <si>
    <t>No existe.</t>
  </si>
  <si>
    <t>Devuelve el número de elementos que tiene un array, el cual se pasa como parámetro.</t>
  </si>
  <si>
    <t>Recibe como parámetro un array, pero no devuelve nada.</t>
  </si>
  <si>
    <t>Los arrays de dos dimensiones:</t>
  </si>
  <si>
    <t>Se les denomina vectores.</t>
  </si>
  <si>
    <t>Para acceder a una posición se necesita únicamente un índice.</t>
  </si>
  <si>
    <t>Sólo pueden contener valores enteros (int).</t>
  </si>
  <si>
    <t>Para concatenar cadenas de caracteres se utiliza el operador:</t>
  </si>
  <si>
    <t>+</t>
  </si>
  <si>
    <t>. (punto)</t>
  </si>
  <si>
    <t>&amp;&amp;</t>
  </si>
  <si>
    <t>El siguiente código ¿qué muestra por pantalla?:
&lt;?php
function f ($num){
if($num&lt;2) return 1;
return $num*f($num-1);
}
echo f(4);
?&gt;</t>
  </si>
  <si>
    <t>Nada, hay errores sintácticos.</t>
  </si>
  <si>
    <t>120.</t>
  </si>
  <si>
    <t>En WordPress, una entrada o post puede tener el estado:</t>
  </si>
  <si>
    <t>Publicado (Published).</t>
  </si>
  <si>
    <t>Pública (Public).</t>
  </si>
  <si>
    <t>Privado (Private).</t>
  </si>
  <si>
    <t>IAW</t>
  </si>
  <si>
    <t>IAW,</t>
  </si>
  <si>
    <t>Las cookies en PHP:</t>
  </si>
  <si>
    <t>Se almacenan en el servidor.</t>
  </si>
  <si>
    <t>Se almacenan en el ordenador del cliente.</t>
  </si>
  <si>
    <t>Las cookies no requieren ser almacenadas.</t>
  </si>
  <si>
    <t>Permiten almacenar valores binarios.</t>
  </si>
  <si>
    <t>Permiten almacenar strings.</t>
  </si>
  <si>
    <t>Permiten almacenar tanto valores binarios como strings.</t>
  </si>
  <si>
    <t>Son ficheros de texto.</t>
  </si>
  <si>
    <t>Son variables que se almacenan en el servidor.</t>
  </si>
  <si>
    <t>Son ficheros binarios almacenados en el cliente.</t>
  </si>
  <si>
    <t>Para iniciar una sesión:</t>
  </si>
  <si>
    <t>Se utiliza la función init_session.</t>
  </si>
  <si>
    <t>Se utiliza la función session_init.</t>
  </si>
  <si>
    <t>Se utiliza la función session_start.</t>
  </si>
  <si>
    <t>Para cargar las variables de sesión:</t>
  </si>
  <si>
    <t>Para acceder a los datos de una cookie:</t>
  </si>
  <si>
    <t>Se debe acceder al array $cookie.</t>
  </si>
  <si>
    <t>Se debe acceder al array $_SESSION.</t>
  </si>
  <si>
    <t>Se debe acceder al array $_Cookie.</t>
  </si>
  <si>
    <t>En PHP la función serialize:</t>
  </si>
  <si>
    <t>Convierte valores binarios en strings.</t>
  </si>
  <si>
    <t>Convierte strings en valores binarios.</t>
  </si>
  <si>
    <t>En PHP para eliminar una cookie llamada altura se debe utilizar:</t>
  </si>
  <si>
    <t>$_COOKIE[“altura”]=false;</t>
  </si>
  <si>
    <t>setcookie(“altura”,false);</t>
  </si>
  <si>
    <t>cookie_destroy(“altura”);</t>
  </si>
  <si>
    <t>El identificador (id) de una sesión:</t>
  </si>
  <si>
    <t>Identifica de forma unívoca una sesión.</t>
  </si>
  <si>
    <t>Identifica a las variables de sesión.</t>
  </si>
  <si>
    <t>Identifica a las cookies.</t>
  </si>
  <si>
    <t>En PHP la función unset:</t>
  </si>
  <si>
    <t>Sólo se puede utilizar con variables de sesión.</t>
  </si>
  <si>
    <t>Elimina una variable.</t>
  </si>
  <si>
    <t>Crea una variable de sesión.</t>
  </si>
  <si>
    <t>En PHP la función session_destroy:</t>
  </si>
  <si>
    <t>Crea una sesión.</t>
  </si>
  <si>
    <t>En PHP la función unserialize:</t>
  </si>
  <si>
    <t>Una de las ventajas de las bases de datos es:</t>
  </si>
  <si>
    <t>Añaden una capa más de seguridad.</t>
  </si>
  <si>
    <t>Dejan al programador la gestión de gran parte de la seguridad.</t>
  </si>
  <si>
    <t>Dejan libre el acceso a los datos.</t>
  </si>
  <si>
    <t>PDO.</t>
  </si>
  <si>
    <t>mysqli.</t>
  </si>
  <si>
    <t>mysql.</t>
  </si>
  <si>
    <t>Para realizar una conexión desde un script PHP con una base de datos MySQL, se puede utilizar la función mysqli_connect( ). Esta función:</t>
  </si>
  <si>
    <t>Devuelve true si se ha establecido la conexión de forma correcta.</t>
  </si>
  <si>
    <t>Devuelve false si se ha producido algún error al establecer la conexión.</t>
  </si>
  <si>
    <t>Al menos hay que pasarle un parámetro.</t>
  </si>
  <si>
    <t>La función mysqli_query o el método query:</t>
  </si>
  <si>
    <t>Sirve para ejecutar varias instrucciones SQL a la vez.</t>
  </si>
  <si>
    <t>Sirve para ejecutar varias instrucciones del DML a la vez.</t>
  </si>
  <si>
    <t>Sirve para ejecutar una única instrucción de MySQL.</t>
  </si>
  <si>
    <t>La función mysqli_query:</t>
  </si>
  <si>
    <t>Únicamente admite un parámetro.</t>
  </si>
  <si>
    <t>Al menos hay que pasarle dos parámetros.</t>
  </si>
  <si>
    <t>El método query:</t>
  </si>
  <si>
    <t>Si la función mysqli_query o el método query ejecuta correctamente una instrucción SQL “CREATE TABLE”:</t>
  </si>
  <si>
    <t>Devuelve el valor true.</t>
  </si>
  <si>
    <t>Devuelve el valor false.</t>
  </si>
  <si>
    <t>Devuelve un valor de tipo entero.</t>
  </si>
  <si>
    <t>Las opciones a, b y c son falsas.</t>
  </si>
  <si>
    <t>Si la función mysqli_query o el método query ejecuta correctamente una instrucción SQL “INSERT INTO”:</t>
  </si>
  <si>
    <t>Si la función mysqli_query o el método query ejecuta correctamente una instrucción SQL “SELECT”:</t>
  </si>
  <si>
    <t>Devuelve un valor que no es booleano.</t>
  </si>
  <si>
    <t>La función mysqli_fetch_assoc:</t>
  </si>
  <si>
    <t>Sirve para leer tuplas.</t>
  </si>
  <si>
    <t>Siempre devuelve un array.</t>
  </si>
  <si>
    <t>No es necesario pasarle ningún parámetro.</t>
  </si>
  <si>
    <t>El método fetch_assoc:</t>
  </si>
  <si>
    <t>Lee todos los datos de una consulta.</t>
  </si>
  <si>
    <t>La función mysqli_close() o el método close( ):</t>
  </si>
  <si>
    <t>No devuelve ningún valor.</t>
  </si>
  <si>
    <t>Devuelve un valor booleano.</t>
  </si>
  <si>
    <t>Siempre devuelve true.</t>
  </si>
  <si>
    <t>Las opciones a, b y c son erróneas.</t>
  </si>
  <si>
    <t>Una de las ventajas de los CMS es:</t>
  </si>
  <si>
    <t>Aseguran que el diseño se deba realizar por técnicos especializados.</t>
  </si>
  <si>
    <t>Facilitan la generación y la modificación del contenido.</t>
  </si>
  <si>
    <t>De las siguientes tecnologías, ¿cuáles son las más utilizadas en CMS en la actualidad?:</t>
  </si>
  <si>
    <t>PHP y MySQL.</t>
  </si>
  <si>
    <t>Ruby on Rails y SQLite.</t>
  </si>
  <si>
    <t>Java y Oracle Database.</t>
  </si>
  <si>
    <t>El front-end es:</t>
  </si>
  <si>
    <t>Lo mismo que el back-end.</t>
  </si>
  <si>
    <t>La vista que se tiene de la aplicación web por los administradores.</t>
  </si>
  <si>
    <t>Un conjunto de menús.</t>
  </si>
  <si>
    <t>El back-end es:</t>
  </si>
  <si>
    <t>Lo mismo que el front-end.</t>
  </si>
  <si>
    <t>WordPress:</t>
  </si>
  <si>
    <t>Es el CMS más utilizado.</t>
  </si>
  <si>
    <t>Es un CMS de propósito general.</t>
  </si>
  <si>
    <t>Es un LMS.</t>
  </si>
  <si>
    <t>Drupal</t>
  </si>
  <si>
    <t>Magento</t>
  </si>
  <si>
    <t>Los LMS son:</t>
  </si>
  <si>
    <t>Sistemas de gestión de contenidos empresariales.</t>
  </si>
  <si>
    <t>Sistemas de gestión para comercio electrónico.</t>
  </si>
  <si>
    <t>Sistemas de gestión para galerías.</t>
  </si>
  <si>
    <t>El aspecto fundamental a la hora de elegir un CMS es:</t>
  </si>
  <si>
    <t>Precio.</t>
  </si>
  <si>
    <t>Popularidad.</t>
  </si>
  <si>
    <t>Tipo de necesidad.</t>
  </si>
  <si>
    <t>Las opciones a, b y c son falsas</t>
  </si>
  <si>
    <t>MOODLE:</t>
  </si>
  <si>
    <t>CMS MADE SIMPLE:</t>
  </si>
  <si>
    <t>SIMPLE MACHINES FORUM:</t>
  </si>
  <si>
    <t>Una de las ventajas de WordPress es:</t>
  </si>
  <si>
    <t>Asegura que el diseño de deba realizar por técnicos especializados.</t>
  </si>
  <si>
    <t>Facilidad de instalación y de gestión.</t>
  </si>
  <si>
    <t>Dispone de poca posibilidad de ampliación lo que hace que se produzcan pocos errores.</t>
  </si>
  <si>
    <t>De los siguientes términos cuales no están relacionados con WordPress:</t>
  </si>
  <si>
    <t>Entrada (Post).</t>
  </si>
  <si>
    <t>Comentarios (Comments).</t>
  </si>
  <si>
    <t>Página de inicio (Home page)</t>
  </si>
  <si>
    <t>Todos los términos anteriores están relacionados con WordPress.</t>
  </si>
  <si>
    <t>Para instalar WordPress de forma manual se requiere:</t>
  </si>
  <si>
    <t>Tener instalado un servidor web con PHP y un servidor de bases de datos MySQL o MariaDB.</t>
  </si>
  <si>
    <t>Tener instalado un gestor de contenidos.</t>
  </si>
  <si>
    <t>Tener instalado un IDE para poder trabajar con PHP.</t>
  </si>
  <si>
    <t>En la estructura de archivos de WordPress instalada por defecto, el directorio wp-admin:</t>
  </si>
  <si>
    <t>Contiene el subdirectorio Themes.</t>
  </si>
  <si>
    <t>Contiene archivos que permiten administrar páginas y entradas.</t>
  </si>
  <si>
    <t>Contiene el subdirectorio wp-includes.</t>
  </si>
  <si>
    <t>En la estructura de archivos de WordPress instalada por defecto, el directorio wp-content:</t>
  </si>
  <si>
    <t>El fichero de configuración de Word Press se llama:</t>
  </si>
  <si>
    <t>config.php.</t>
  </si>
  <si>
    <t>wp-config-sample.php.</t>
  </si>
  <si>
    <t>wp-config.php.</t>
  </si>
  <si>
    <t>En la base de datos de WordPress, la tabla creada por defecto wp-comments:</t>
  </si>
  <si>
    <t>Contiene los comentarios de cada post.</t>
  </si>
  <si>
    <t>Contiene metadatos de cada comentario.</t>
  </si>
  <si>
    <t>Contiene lo apellidos de los usuarios que han realizado algún comentario.</t>
  </si>
  <si>
    <t>Todas las opciones son falsas.Todas las opciones son falsas.</t>
  </si>
  <si>
    <t>Para eliminar de forma manual WordPress:</t>
  </si>
  <si>
    <t>Se debe mandar un correo electrónico a info@wordpress.org.</t>
  </si>
  <si>
    <t>No es posible eliminar de forma manual.</t>
  </si>
  <si>
    <t>Sólo es necesario eliminar el directorio wp-includes.</t>
  </si>
  <si>
    <t>Para eliminar un plugin de forma manual en WordPress:</t>
  </si>
  <si>
    <t>Se debe eliminar WordPress.</t>
  </si>
  <si>
    <t>Se debe desactivar antes el plugin.</t>
  </si>
  <si>
    <t>Se debe editar antes el plugin.</t>
  </si>
  <si>
    <t>En WordPress, una entrada o post que está Pendiente de revisión (Pending Review):</t>
  </si>
  <si>
    <t>El post es visible por todos los usuarios.</t>
  </si>
  <si>
    <t>El post está protegido con una contraseña.</t>
  </si>
  <si>
    <t>El post no es visible por todos los usuarios.</t>
  </si>
  <si>
    <t>Todas las opciones anteriores son falsas.</t>
  </si>
  <si>
    <t>En WordPress, una entrada o post que se encuentra en la Papelera (Trash):</t>
  </si>
  <si>
    <t>El post se puede Restaurar (Restore).</t>
  </si>
  <si>
    <t>El post pasa al estado Borrador (Draft).</t>
  </si>
  <si>
    <t>En WordPress, las categorías:</t>
  </si>
  <si>
    <t>Pueden tener una estructura jerárquica.</t>
  </si>
  <si>
    <t>Sólo pueden tener una estructura lineal.</t>
  </si>
  <si>
    <t>No pueden ser creadas por usuarios.</t>
  </si>
  <si>
    <t>En WordPress, los extractos:</t>
  </si>
  <si>
    <t>Es obligatorio definir uno para cada entrada.</t>
  </si>
  <si>
    <t>Si no se define ninguno para un post, se muestran los 55 primeros caracteres del post.</t>
  </si>
  <si>
    <t>Si se define uno para un post, se muestran los 55 primeros caracteres de la entrada.</t>
  </si>
  <si>
    <t>En WordPress, la opción Texto alternativo (Alt text) en una imagen:</t>
  </si>
  <si>
    <t>Se asocia al atributo alt de la etiqueta &lt;img&gt; de HTML.</t>
  </si>
  <si>
    <t>Se asocia al atributo text de la etiqueta &lt;img&gt; de HTML.</t>
  </si>
  <si>
    <t>Se asocia al atributo text de la etiqueta &lt;photo&gt; de HTML.</t>
  </si>
  <si>
    <t>En WordPress, el texto de los comentarios:</t>
  </si>
  <si>
    <t>No puede contener código de HTML.</t>
  </si>
  <si>
    <t>Puede contener código de HTML.</t>
  </si>
  <si>
    <t>Siempre contendrá el email del administrador de la web.</t>
  </si>
  <si>
    <t>En WordPress:</t>
  </si>
  <si>
    <t>Es posible impedir que una entrada no tenga comentarios.</t>
  </si>
  <si>
    <t>No es posible impedir que usuarios no registrados realicen comentarios.</t>
  </si>
  <si>
    <t>No permite paginar los comentarios.</t>
  </si>
  <si>
    <t>Los temas se encuentran en la ruta wp-config/themes.</t>
  </si>
  <si>
    <t>Los temas son un conjunto de archivos con extensión java.</t>
  </si>
  <si>
    <t>Los temas se encuentran en la ruta wp-config/temas.</t>
  </si>
  <si>
    <t>No se pueden crear menús.</t>
  </si>
  <si>
    <t>Los menús hacen más accesible un sitio web.</t>
  </si>
  <si>
    <t>Al ser un CMS orientado a blogs no hay menús.</t>
  </si>
  <si>
    <t>En WordPress, los colaboradores:</t>
  </si>
  <si>
    <t>No pueden publicar entradas.</t>
  </si>
  <si>
    <t>Tienen los mismos privilegios que los editores.</t>
  </si>
  <si>
    <t>Sólo pueden publicar comentarios.</t>
  </si>
  <si>
    <t>Los editores pueden añadir nuevos usuarios.</t>
  </si>
  <si>
    <t>Los autores pueden añadir nuevos usuarios.</t>
  </si>
  <si>
    <t>Los administradores pueden añadir nuevos usuarios.</t>
  </si>
  <si>
    <t>Todas las opciones anteriores son ciertas.</t>
  </si>
  <si>
    <t>En WordPress, al añadir un nuevo usuario:</t>
  </si>
  <si>
    <t>Es obligatorio introducir el correo del nuevo usuario.</t>
  </si>
  <si>
    <t>Es obligatorio introducir el primer apellido del nuevo usuario.</t>
  </si>
  <si>
    <t>Es obligatorio introducir el segundo apellido del nuevo usuario.</t>
  </si>
  <si>
    <t>Un post sólo lo puede editar el usuario que lo creó.</t>
  </si>
  <si>
    <t>Un post sólo lo puede editar el administrador. </t>
  </si>
  <si>
    <t>Un post lo pueden editar varios usuarios a la vez.</t>
  </si>
  <si>
    <t>En WordPress, las revisiones:</t>
  </si>
  <si>
    <t>Tienen el inconveniente de ocupar mucho espacio de almacenamiento.</t>
  </si>
  <si>
    <t>Únicamente se puede almacenar la última revisión de un post.</t>
  </si>
  <si>
    <t>Únicamente se puede almacenar la primera revisión de un post.</t>
  </si>
  <si>
    <t>En WordPress, para realizar una copia de seguridad de un sitio web:</t>
  </si>
  <si>
    <t>Basta con realizar una copia de la carpeta WordPress.</t>
  </si>
  <si>
    <t>Basta con realizar una copia de la carpeta wp-content.</t>
  </si>
  <si>
    <t>Basta con realizar una copia de la carpeta wp-backup.</t>
  </si>
  <si>
    <t>No es posible exportar los datos de un sitio web.</t>
  </si>
  <si>
    <t>Cualquier usuario puede exportar los datos de un sitio web.</t>
  </si>
  <si>
    <t>Al exportar los datos de un sitio web, éstos quedan almacenados en un fichero XML.</t>
  </si>
  <si>
    <t>No es posible importar datos de un sitio web.</t>
  </si>
  <si>
    <t>Cualquier usuario puede importar datos de un sitio web.</t>
  </si>
  <si>
    <t>Importar datos, es tan sencillo como exportarlos.</t>
  </si>
  <si>
    <t>Antes de actualizar el sistema es recomendable realizar una copia de seguridad de los datos.</t>
  </si>
  <si>
    <t>No es posible actualizar el sistema.</t>
  </si>
  <si>
    <t>Siempre es necesario que el sistema esté actualizado a la versión más antigua.</t>
  </si>
  <si>
    <t>Es recomendable que no se limite el número de intentos al conectar con el sistema.</t>
  </si>
  <si>
    <t>Es recomendable ocultar la versión de WordPress.</t>
  </si>
  <si>
    <t>Es recomendable no utilizar contraseñas.</t>
  </si>
  <si>
    <t>Una desventaja de las herramientas de ofimática web es:</t>
  </si>
  <si>
    <t>La descentralización de los documentos.</t>
  </si>
  <si>
    <t>Menor potencia.</t>
  </si>
  <si>
    <t>La centralización de los documentos.</t>
  </si>
  <si>
    <t>Una ventaja de las herramientas de ofimática web es:</t>
  </si>
  <si>
    <t>Mínimos requisitos de instalación.</t>
  </si>
  <si>
    <t>Mínimos requisitos de almacenamiento.</t>
  </si>
  <si>
    <t>Centralización de los documentos.</t>
  </si>
  <si>
    <t>Mayor seguridad.</t>
  </si>
  <si>
    <t>Acceso multiplataforma.</t>
  </si>
  <si>
    <t>Facilidad para la colaboración.</t>
  </si>
  <si>
    <t>Google docs:</t>
  </si>
  <si>
    <t>Fue la primera herramienta de ofimática web.</t>
  </si>
  <si>
    <t>Es compatible con documentos procedentes de Microsoft Office. </t>
  </si>
  <si>
    <t>Es difícil de utilizar.</t>
  </si>
  <si>
    <t>Microsoft Office Online:</t>
  </si>
  <si>
    <t>Contiene Excel.</t>
  </si>
  <si>
    <t>Contiene Access.</t>
  </si>
  <si>
    <t>Contiene Apache.</t>
  </si>
  <si>
    <t>No es compatible con documentos de Microsoft Office.</t>
  </si>
  <si>
    <t>Permite trabajar sin conexión.</t>
  </si>
  <si>
    <t>El interface es totalmente diferente al de Microsoft Office.</t>
  </si>
  <si>
    <t>Zoho Docs:</t>
  </si>
  <si>
    <t>Es una solución ofimática de reciente aparición.</t>
  </si>
  <si>
    <t>Es gratuita hasta 25 usuarios.</t>
  </si>
  <si>
    <t>Aporta almacenamiento Online.</t>
  </si>
  <si>
    <t>Aporta control de versiones.</t>
  </si>
  <si>
    <t>Todas las opciones son ciertas.</t>
  </si>
  <si>
    <t>Thinkfree Online:</t>
  </si>
  <si>
    <t>Es gratuito.</t>
  </si>
  <si>
    <t>Es compatible con documentos de Microsoft Office.</t>
  </si>
  <si>
    <t>Microsoft Office 365:</t>
  </si>
  <si>
    <t>Es gratuito para cualquier usuario.</t>
  </si>
  <si>
    <t>Es compatible con los documentos de Microsoft Office.</t>
  </si>
  <si>
    <t>Está enfocado a usuarios domésticos.</t>
  </si>
  <si>
    <t>Las aplicaciones Web:</t>
  </si>
  <si>
    <t>Son fáciles de mantener.</t>
  </si>
  <si>
    <t>Uno de sus inconvenientes es que su instalación es muy compleja.</t>
  </si>
  <si>
    <r>
      <t xml:space="preserve">De las siguientes APIS de acceso a MySQL cual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se aconseja utilizar: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</si>
</sst>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46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5" borderId="0" xfId="0" applyFont="1" applyFill="1" applyBorder="1" applyAlignment="1" applyProtection="1">
      <alignment horizontal="left" vertical="center"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3" fillId="0" borderId="13" xfId="0" applyFont="1" applyFill="1" applyBorder="1" applyAlignment="1" applyProtection="1">
      <protection hidden="1"/>
    </xf>
    <xf numFmtId="0" fontId="13" fillId="0" borderId="13" xfId="0" applyFont="1" applyFill="1" applyBorder="1" applyAlignment="1" applyProtection="1">
      <alignment horizontal="left"/>
      <protection hidden="1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18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vertical="center"/>
      <protection hidden="1"/>
    </xf>
    <xf numFmtId="0" fontId="0" fillId="2" borderId="19" xfId="0" applyFill="1" applyBorder="1" applyAlignment="1" applyProtection="1">
      <alignment vertical="center"/>
      <protection hidden="1"/>
    </xf>
    <xf numFmtId="0" fontId="0" fillId="3" borderId="19" xfId="0" applyFill="1" applyBorder="1" applyAlignment="1" applyProtection="1">
      <alignment vertical="center"/>
      <protection hidden="1"/>
    </xf>
    <xf numFmtId="0" fontId="0" fillId="0" borderId="20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20" fillId="9" borderId="15" xfId="0" applyFont="1" applyFill="1" applyBorder="1" applyAlignment="1" applyProtection="1">
      <alignment horizontal="center" vertical="center"/>
      <protection locked="0"/>
    </xf>
    <xf numFmtId="0" fontId="20" fillId="9" borderId="16" xfId="0" applyFont="1" applyFill="1" applyBorder="1" applyAlignment="1" applyProtection="1">
      <alignment horizontal="center" vertical="center"/>
      <protection locked="0"/>
    </xf>
    <xf numFmtId="0" fontId="20" fillId="9" borderId="17" xfId="0" applyFont="1" applyFill="1" applyBorder="1" applyAlignment="1" applyProtection="1">
      <alignment horizontal="center" vertical="center"/>
      <protection locked="0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79</xdr:row>
          <xdr:rowOff>152400</xdr:rowOff>
        </xdr:from>
        <xdr:to>
          <xdr:col>2</xdr:col>
          <xdr:colOff>9915525</xdr:colOff>
          <xdr:row>80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157</xdr:row>
          <xdr:rowOff>28575</xdr:rowOff>
        </xdr:from>
        <xdr:to>
          <xdr:col>2</xdr:col>
          <xdr:colOff>9858375</xdr:colOff>
          <xdr:row>158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235</xdr:row>
          <xdr:rowOff>9525</xdr:rowOff>
        </xdr:from>
        <xdr:to>
          <xdr:col>2</xdr:col>
          <xdr:colOff>9763125</xdr:colOff>
          <xdr:row>236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299</xdr:row>
          <xdr:rowOff>190500</xdr:rowOff>
        </xdr:from>
        <xdr:to>
          <xdr:col>2</xdr:col>
          <xdr:colOff>9801225</xdr:colOff>
          <xdr:row>301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380</xdr:row>
          <xdr:rowOff>47625</xdr:rowOff>
        </xdr:from>
        <xdr:to>
          <xdr:col>2</xdr:col>
          <xdr:colOff>9991725</xdr:colOff>
          <xdr:row>381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460</xdr:row>
          <xdr:rowOff>0</xdr:rowOff>
        </xdr:from>
        <xdr:to>
          <xdr:col>2</xdr:col>
          <xdr:colOff>9820275</xdr:colOff>
          <xdr:row>461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536</xdr:row>
          <xdr:rowOff>190500</xdr:rowOff>
        </xdr:from>
        <xdr:to>
          <xdr:col>2</xdr:col>
          <xdr:colOff>9791700</xdr:colOff>
          <xdr:row>537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536</xdr:row>
          <xdr:rowOff>200025</xdr:rowOff>
        </xdr:from>
        <xdr:to>
          <xdr:col>2</xdr:col>
          <xdr:colOff>9096375</xdr:colOff>
          <xdr:row>537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460</xdr:row>
          <xdr:rowOff>9525</xdr:rowOff>
        </xdr:from>
        <xdr:to>
          <xdr:col>2</xdr:col>
          <xdr:colOff>9096375</xdr:colOff>
          <xdr:row>461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380</xdr:row>
          <xdr:rowOff>66675</xdr:rowOff>
        </xdr:from>
        <xdr:to>
          <xdr:col>2</xdr:col>
          <xdr:colOff>9296400</xdr:colOff>
          <xdr:row>381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299</xdr:row>
          <xdr:rowOff>190500</xdr:rowOff>
        </xdr:from>
        <xdr:to>
          <xdr:col>2</xdr:col>
          <xdr:colOff>9096375</xdr:colOff>
          <xdr:row>301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235</xdr:row>
          <xdr:rowOff>28575</xdr:rowOff>
        </xdr:from>
        <xdr:to>
          <xdr:col>2</xdr:col>
          <xdr:colOff>9096375</xdr:colOff>
          <xdr:row>235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157</xdr:row>
          <xdr:rowOff>38100</xdr:rowOff>
        </xdr:from>
        <xdr:to>
          <xdr:col>2</xdr:col>
          <xdr:colOff>9096375</xdr:colOff>
          <xdr:row>158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79</xdr:row>
          <xdr:rowOff>180975</xdr:rowOff>
        </xdr:from>
        <xdr:to>
          <xdr:col>2</xdr:col>
          <xdr:colOff>9096375</xdr:colOff>
          <xdr:row>80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601</xdr:row>
          <xdr:rowOff>76200</xdr:rowOff>
        </xdr:from>
        <xdr:to>
          <xdr:col>2</xdr:col>
          <xdr:colOff>10563225</xdr:colOff>
          <xdr:row>602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601</xdr:row>
          <xdr:rowOff>76200</xdr:rowOff>
        </xdr:from>
        <xdr:to>
          <xdr:col>2</xdr:col>
          <xdr:colOff>9877425</xdr:colOff>
          <xdr:row>602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666</xdr:row>
          <xdr:rowOff>76200</xdr:rowOff>
        </xdr:from>
        <xdr:to>
          <xdr:col>2</xdr:col>
          <xdr:colOff>10563225</xdr:colOff>
          <xdr:row>667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666</xdr:row>
          <xdr:rowOff>76200</xdr:rowOff>
        </xdr:from>
        <xdr:to>
          <xdr:col>2</xdr:col>
          <xdr:colOff>9877425</xdr:colOff>
          <xdr:row>667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731</xdr:row>
          <xdr:rowOff>76200</xdr:rowOff>
        </xdr:from>
        <xdr:to>
          <xdr:col>2</xdr:col>
          <xdr:colOff>10563225</xdr:colOff>
          <xdr:row>732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731</xdr:row>
          <xdr:rowOff>76200</xdr:rowOff>
        </xdr:from>
        <xdr:to>
          <xdr:col>2</xdr:col>
          <xdr:colOff>9877425</xdr:colOff>
          <xdr:row>732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796</xdr:row>
          <xdr:rowOff>76200</xdr:rowOff>
        </xdr:from>
        <xdr:to>
          <xdr:col>2</xdr:col>
          <xdr:colOff>10563225</xdr:colOff>
          <xdr:row>797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796</xdr:row>
          <xdr:rowOff>76200</xdr:rowOff>
        </xdr:from>
        <xdr:to>
          <xdr:col>2</xdr:col>
          <xdr:colOff>9877425</xdr:colOff>
          <xdr:row>797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101600</xdr:rowOff>
    </xdr:to>
    <xdr:sp macro="" textlink="">
      <xdr:nvSpPr>
        <xdr:cNvPr id="34" name="Rectángulo 3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33636857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N799"/>
  <sheetViews>
    <sheetView showGridLines="0" tabSelected="1" zoomScale="55" zoomScaleNormal="5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199</v>
      </c>
      <c r="C6" s="131" t="s">
        <v>0</v>
      </c>
      <c r="D6" s="131"/>
      <c r="E6" s="131"/>
      <c r="F6" s="13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2" t="s">
        <v>18</v>
      </c>
      <c r="C7" s="84" t="s">
        <v>45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3" t="s">
        <v>15</v>
      </c>
      <c r="C8" s="120" t="s">
        <v>46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3" t="s">
        <v>15</v>
      </c>
      <c r="C9" s="120" t="s">
        <v>47</v>
      </c>
      <c r="D9" s="38"/>
      <c r="E9" s="53" t="s">
        <v>10</v>
      </c>
      <c r="F9" s="20" t="str">
        <f>IF(H10=1,IF(H8=H$2,H8,""),"")</f>
        <v/>
      </c>
      <c r="G9" s="17"/>
      <c r="H9" s="19" t="str">
        <f>IF(E$79="comprobar",COUNTIF(D8:D12,"x"),"")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3" t="s">
        <v>15</v>
      </c>
      <c r="C10" s="120" t="s">
        <v>48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3" t="s">
        <v>15</v>
      </c>
      <c r="C11" s="120" t="s">
        <v>49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3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2" t="s">
        <v>17</v>
      </c>
      <c r="C13" s="84" t="s">
        <v>50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3" t="s">
        <v>15</v>
      </c>
      <c r="C14" s="120" t="s">
        <v>51</v>
      </c>
      <c r="D14" s="38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3" t="s">
        <v>15</v>
      </c>
      <c r="C15" s="120" t="s">
        <v>52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IF(E$79="comprobar",COUNTIF(D14:D18,"x"),"")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3" t="s">
        <v>15</v>
      </c>
      <c r="C16" s="120" t="s">
        <v>53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3" t="s">
        <v>15</v>
      </c>
      <c r="C17" s="120" t="s">
        <v>49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3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2" t="s">
        <v>19</v>
      </c>
      <c r="C19" s="84" t="s">
        <v>445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3" t="s">
        <v>15</v>
      </c>
      <c r="C20" s="120" t="s">
        <v>446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3" t="s">
        <v>15</v>
      </c>
      <c r="C21" s="120" t="s">
        <v>447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IF(E$79="comprobar",COUNTIF(D20:D24,"x"),"")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3" t="s">
        <v>15</v>
      </c>
      <c r="C22" s="120" t="s">
        <v>447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3" t="s">
        <v>15</v>
      </c>
      <c r="C23" s="120" t="s">
        <v>49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3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2" t="s">
        <v>20</v>
      </c>
      <c r="C25" s="84" t="s">
        <v>54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3" t="s">
        <v>15</v>
      </c>
      <c r="C26" s="120" t="s">
        <v>51</v>
      </c>
      <c r="D26" s="38"/>
      <c r="E26" s="53" t="s">
        <v>9</v>
      </c>
      <c r="F26" s="25"/>
      <c r="G26" s="17"/>
      <c r="H26" s="19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3" t="s">
        <v>15</v>
      </c>
      <c r="C27" s="120" t="s">
        <v>52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IF(E$79="comprobar",COUNTIF(D26:D30,"x"),"")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3" t="s">
        <v>15</v>
      </c>
      <c r="C28" s="120" t="s">
        <v>55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3" t="s">
        <v>15</v>
      </c>
      <c r="C29" s="120" t="s">
        <v>49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3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2" t="s">
        <v>21</v>
      </c>
      <c r="C31" s="84" t="s">
        <v>56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3" t="s">
        <v>15</v>
      </c>
      <c r="C32" s="120" t="s">
        <v>51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3" t="s">
        <v>15</v>
      </c>
      <c r="C33" s="120" t="s">
        <v>52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IF(E$79="comprobar",COUNTIF(D32:D36,"x"),"")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3" t="s">
        <v>15</v>
      </c>
      <c r="C34" s="120" t="s">
        <v>53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3" t="s">
        <v>15</v>
      </c>
      <c r="C35" s="120" t="s">
        <v>49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3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2" t="s">
        <v>22</v>
      </c>
      <c r="C37" s="84" t="s">
        <v>57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3" t="s">
        <v>15</v>
      </c>
      <c r="C38" s="120" t="s">
        <v>58</v>
      </c>
      <c r="D38" s="38"/>
      <c r="E38" s="53" t="s">
        <v>9</v>
      </c>
      <c r="F38" s="25"/>
      <c r="G38" s="17"/>
      <c r="H38" s="19" t="b">
        <f>IF(D40="x",H$2,H$1)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3" t="s">
        <v>15</v>
      </c>
      <c r="C39" s="120" t="s">
        <v>59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IF(E$79="comprobar",COUNTIF(D38:D42,"x"),"")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3" t="s">
        <v>15</v>
      </c>
      <c r="C40" s="120" t="s">
        <v>60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3" t="s">
        <v>15</v>
      </c>
      <c r="C41" s="120" t="s">
        <v>49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3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2" t="s">
        <v>23</v>
      </c>
      <c r="C43" s="84" t="s">
        <v>61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3" t="s">
        <v>15</v>
      </c>
      <c r="C44" s="120" t="s">
        <v>58</v>
      </c>
      <c r="D44" s="38"/>
      <c r="E44" s="53" t="s">
        <v>9</v>
      </c>
      <c r="F44" s="25"/>
      <c r="G44" s="17"/>
      <c r="H44" s="19" t="b">
        <f>IF(D44="x",H$2,H$1)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3" t="s">
        <v>15</v>
      </c>
      <c r="C45" s="120" t="s">
        <v>59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IF(E$79="comprobar",COUNTIF(D44:D48,"x"),"")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3" t="s">
        <v>15</v>
      </c>
      <c r="C46" s="120" t="s">
        <v>60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3" t="s">
        <v>15</v>
      </c>
      <c r="C47" s="120" t="s">
        <v>49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3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2" t="s">
        <v>24</v>
      </c>
      <c r="C49" s="84" t="s">
        <v>62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3" t="s">
        <v>15</v>
      </c>
      <c r="C50" s="120" t="s">
        <v>63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3" t="s">
        <v>15</v>
      </c>
      <c r="C51" s="120" t="s">
        <v>64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IF(E$79="comprobar",COUNTIF(D50:D54,"x"),"")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3" t="s">
        <v>15</v>
      </c>
      <c r="C52" s="120" t="s">
        <v>65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3" t="s">
        <v>15</v>
      </c>
      <c r="C53" s="120" t="s">
        <v>66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3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2" t="s">
        <v>29</v>
      </c>
      <c r="C55" s="84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3" t="s">
        <v>15</v>
      </c>
      <c r="C56" s="120" t="s">
        <v>51</v>
      </c>
      <c r="D56" s="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3" t="s">
        <v>15</v>
      </c>
      <c r="C57" s="120" t="s">
        <v>52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IF(E$79="comprobar",COUNTIF(D56:D60,"x"),"")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3" t="s">
        <v>15</v>
      </c>
      <c r="C58" s="120" t="s">
        <v>55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3" t="s">
        <v>15</v>
      </c>
      <c r="C59" s="120" t="s">
        <v>49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3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2" t="s">
        <v>27</v>
      </c>
      <c r="C61" s="84" t="s">
        <v>68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3" t="s">
        <v>15</v>
      </c>
      <c r="C62" s="120" t="s">
        <v>51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3" t="s">
        <v>15</v>
      </c>
      <c r="C63" s="120" t="s">
        <v>52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IF(E$79="comprobar",COUNTIF(D62:D66,"x"),"")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3" t="s">
        <v>15</v>
      </c>
      <c r="C64" s="120" t="s">
        <v>55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2:40" x14ac:dyDescent="0.25">
      <c r="B65" s="83" t="s">
        <v>15</v>
      </c>
      <c r="C65" s="120" t="s">
        <v>49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2:40" x14ac:dyDescent="0.25">
      <c r="B66" s="83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2:40" x14ac:dyDescent="0.25">
      <c r="B67" s="82" t="s">
        <v>37</v>
      </c>
      <c r="C67" s="84" t="s">
        <v>69</v>
      </c>
      <c r="D67" s="39"/>
      <c r="E67" s="52"/>
      <c r="F67" s="27"/>
      <c r="G67" s="23"/>
      <c r="H67" s="23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2:40" x14ac:dyDescent="0.25">
      <c r="B68" s="83" t="s">
        <v>15</v>
      </c>
      <c r="C68" s="120" t="s">
        <v>70</v>
      </c>
      <c r="D68" s="38"/>
      <c r="E68" s="53" t="s">
        <v>9</v>
      </c>
      <c r="F68" s="25"/>
      <c r="G68" s="24"/>
      <c r="H68" s="19" t="b">
        <f>IF(D68="x",H$2,H$1)</f>
        <v>0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2:40" x14ac:dyDescent="0.25">
      <c r="B69" s="83" t="s">
        <v>15</v>
      </c>
      <c r="C69" s="120" t="s">
        <v>71</v>
      </c>
      <c r="D69" s="38"/>
      <c r="E69" s="53" t="s">
        <v>10</v>
      </c>
      <c r="F69" s="20" t="str">
        <f>IF(H70=1,IF(H68=H$2,H68,""),"")</f>
        <v/>
      </c>
      <c r="G69" s="24"/>
      <c r="H69" s="19" t="str">
        <f>IF(E$79="comprobar",COUNTIF(D68:D72,"x"),"")</f>
        <v/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2:40" x14ac:dyDescent="0.25">
      <c r="B70" s="83" t="s">
        <v>15</v>
      </c>
      <c r="C70" s="120" t="s">
        <v>72</v>
      </c>
      <c r="D70" s="38"/>
      <c r="E70" s="53" t="s">
        <v>11</v>
      </c>
      <c r="F70" s="21" t="str">
        <f>IF(H70=-0.33,IF(H68=H$1,H68,""),"")</f>
        <v/>
      </c>
      <c r="G70" s="24"/>
      <c r="H70" s="22">
        <f>IF(H69=1,IF(H68=H$2,1,-0.33),0)</f>
        <v>0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2:40" x14ac:dyDescent="0.25">
      <c r="B71" s="83" t="s">
        <v>15</v>
      </c>
      <c r="C71" s="120" t="s">
        <v>49</v>
      </c>
      <c r="D71" s="38"/>
      <c r="E71" s="53" t="s">
        <v>12</v>
      </c>
      <c r="F71" s="25"/>
      <c r="G71" s="24"/>
      <c r="H71" s="22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2:40" x14ac:dyDescent="0.25">
      <c r="B72" s="83"/>
      <c r="C72" s="24"/>
      <c r="D72" s="38"/>
      <c r="E72" s="53" t="s">
        <v>13</v>
      </c>
      <c r="F72" s="18"/>
      <c r="G72" s="24"/>
      <c r="H72" s="22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</row>
    <row r="73" spans="2:40" x14ac:dyDescent="0.25">
      <c r="B73" s="82" t="s">
        <v>38</v>
      </c>
      <c r="C73" s="84" t="s">
        <v>73</v>
      </c>
      <c r="D73" s="39"/>
      <c r="E73" s="52"/>
      <c r="F73" s="27"/>
      <c r="G73" s="23"/>
      <c r="H73" s="23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2:40" x14ac:dyDescent="0.25">
      <c r="B74" s="83" t="s">
        <v>15</v>
      </c>
      <c r="C74" s="120" t="s">
        <v>74</v>
      </c>
      <c r="D74" s="38"/>
      <c r="E74" s="53" t="s">
        <v>9</v>
      </c>
      <c r="F74" s="25"/>
      <c r="G74" s="24"/>
      <c r="H74" s="19" t="b">
        <f>IF(D77="x",H$2,H$1)</f>
        <v>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2:40" x14ac:dyDescent="0.25">
      <c r="B75" s="83" t="s">
        <v>15</v>
      </c>
      <c r="C75" s="120" t="s">
        <v>75</v>
      </c>
      <c r="D75" s="38"/>
      <c r="E75" s="53" t="s">
        <v>10</v>
      </c>
      <c r="F75" s="20" t="str">
        <f>IF(H76=1,IF(H74=H$2,H74,""),"")</f>
        <v/>
      </c>
      <c r="G75" s="24"/>
      <c r="H75" s="19" t="str">
        <f>IF(E$79="comprobar",COUNTIF(D74:D78,"x"),"")</f>
        <v/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2:40" x14ac:dyDescent="0.25">
      <c r="B76" s="83" t="s">
        <v>15</v>
      </c>
      <c r="C76" s="120" t="s">
        <v>76</v>
      </c>
      <c r="D76" s="38"/>
      <c r="E76" s="53" t="s">
        <v>11</v>
      </c>
      <c r="F76" s="21" t="str">
        <f>IF(H76=-0.33,IF(H74=H$1,H74,""),"")</f>
        <v/>
      </c>
      <c r="G76" s="24"/>
      <c r="H76" s="22">
        <f>IF(H75=1,IF(H74=H$2,1,-0.33),0)</f>
        <v>0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2:40" x14ac:dyDescent="0.25">
      <c r="B77" s="83" t="s">
        <v>15</v>
      </c>
      <c r="C77" s="120" t="s">
        <v>49</v>
      </c>
      <c r="D77" s="38"/>
      <c r="E77" s="53" t="s">
        <v>12</v>
      </c>
      <c r="F77" s="25"/>
      <c r="G77" s="24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2:40" x14ac:dyDescent="0.25">
      <c r="B78" s="83"/>
      <c r="C78" s="24"/>
      <c r="D78" s="38"/>
      <c r="E78" s="53" t="s">
        <v>13</v>
      </c>
      <c r="F78" s="18"/>
      <c r="G78" s="24"/>
      <c r="H78" s="22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</row>
    <row r="79" spans="2:40" x14ac:dyDescent="0.25">
      <c r="B79" s="83"/>
      <c r="C79" s="24"/>
      <c r="D79" s="48"/>
      <c r="E79" s="54"/>
      <c r="F79" s="18"/>
      <c r="G79" s="24"/>
      <c r="H79" s="22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2:40" x14ac:dyDescent="0.25">
      <c r="B80" s="44"/>
      <c r="C80" s="8"/>
      <c r="D80" s="48"/>
      <c r="E80" s="57"/>
      <c r="F80" s="28"/>
      <c r="G80" s="17" t="s">
        <v>6</v>
      </c>
      <c r="H80" s="17" t="s">
        <v>7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ht="19.5" x14ac:dyDescent="0.25">
      <c r="B81" s="44"/>
      <c r="C81" s="85"/>
      <c r="D81" s="130"/>
      <c r="E81" s="130"/>
      <c r="F81" s="29" t="str">
        <f>IF(E$79="comprobar",H10+H16+H22+H28+H34+H40+H46+H52+H58+H64+H70+H76,"")</f>
        <v/>
      </c>
      <c r="G81" s="17">
        <f>12/2</f>
        <v>6</v>
      </c>
      <c r="H81" s="17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ht="16.5" thickBot="1" x14ac:dyDescent="0.3">
      <c r="B82" s="45"/>
      <c r="C82" s="30"/>
      <c r="D82" s="31"/>
      <c r="E82" s="55"/>
      <c r="F82" s="32" t="str">
        <f>IF(F81&gt;G81,G80,H80)</f>
        <v>APROBADO</v>
      </c>
      <c r="G82" s="17"/>
      <c r="H82" s="17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ht="28.5" x14ac:dyDescent="0.45">
      <c r="B83" s="61" t="s">
        <v>198</v>
      </c>
      <c r="C83" s="131" t="s">
        <v>34</v>
      </c>
      <c r="D83" s="131"/>
      <c r="E83" s="131"/>
      <c r="F83" s="132"/>
      <c r="G83" s="17"/>
      <c r="H83" s="17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15" customFormat="1" x14ac:dyDescent="0.25">
      <c r="A84" s="4"/>
      <c r="B84" s="82" t="s">
        <v>18</v>
      </c>
      <c r="C84" s="84" t="s">
        <v>77</v>
      </c>
      <c r="D84" s="39"/>
      <c r="E84" s="52"/>
      <c r="F84" s="27"/>
      <c r="G84" s="13"/>
      <c r="H84" s="13"/>
    </row>
    <row r="85" spans="1:40" x14ac:dyDescent="0.25">
      <c r="B85" s="83" t="s">
        <v>15</v>
      </c>
      <c r="C85" s="120" t="s">
        <v>78</v>
      </c>
      <c r="D85" s="38"/>
      <c r="E85" s="53" t="s">
        <v>9</v>
      </c>
      <c r="F85" s="25"/>
      <c r="G85" s="17"/>
      <c r="H85" s="19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3" t="s">
        <v>15</v>
      </c>
      <c r="C86" s="120" t="s">
        <v>79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IF(E$156="comprobar",COUNTIF(D85:D89,"x"),"")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3" t="s">
        <v>15</v>
      </c>
      <c r="C87" s="120" t="s">
        <v>80</v>
      </c>
      <c r="D87" s="38"/>
      <c r="E87" s="53" t="s">
        <v>11</v>
      </c>
      <c r="F87" s="21" t="str">
        <f>IF(H87=-0.33,IF(H85=H$1,H85,""),"")</f>
        <v/>
      </c>
      <c r="G87" s="17"/>
      <c r="H87" s="22">
        <f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3" t="s">
        <v>15</v>
      </c>
      <c r="C88" s="120" t="s">
        <v>49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120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33" customFormat="1" x14ac:dyDescent="0.25">
      <c r="A90" s="4"/>
      <c r="B90" s="82" t="s">
        <v>17</v>
      </c>
      <c r="C90" s="84" t="s">
        <v>81</v>
      </c>
      <c r="D90" s="39"/>
      <c r="E90" s="52"/>
      <c r="F90" s="27"/>
      <c r="G90" s="13"/>
      <c r="H90" s="13"/>
    </row>
    <row r="91" spans="1:40" x14ac:dyDescent="0.25">
      <c r="B91" s="83" t="s">
        <v>15</v>
      </c>
      <c r="C91" s="120" t="s">
        <v>78</v>
      </c>
      <c r="D91" s="38"/>
      <c r="E91" s="53" t="s">
        <v>9</v>
      </c>
      <c r="F91" s="25"/>
      <c r="G91" s="17"/>
      <c r="H91" s="19" t="b">
        <f>IF(D94="x",H$2,H$1)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3" t="s">
        <v>15</v>
      </c>
      <c r="C92" s="120" t="s">
        <v>79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IF(E$156="comprobar",COUNTIF(D91:D95,"x"),"")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3" t="s">
        <v>15</v>
      </c>
      <c r="C93" s="120" t="s">
        <v>80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1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3" t="s">
        <v>15</v>
      </c>
      <c r="C94" s="120" t="s">
        <v>49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120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33" customFormat="1" x14ac:dyDescent="0.25">
      <c r="A96" s="118"/>
      <c r="B96" s="82" t="s">
        <v>19</v>
      </c>
      <c r="C96" s="84" t="s">
        <v>82</v>
      </c>
      <c r="D96" s="58"/>
      <c r="E96" s="56"/>
      <c r="F96" s="50"/>
      <c r="G96" s="47"/>
      <c r="H96" s="47"/>
    </row>
    <row r="97" spans="1:40" x14ac:dyDescent="0.25">
      <c r="B97" s="83" t="s">
        <v>15</v>
      </c>
      <c r="C97" s="120" t="s">
        <v>78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3" t="s">
        <v>15</v>
      </c>
      <c r="C98" s="120" t="s">
        <v>79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IF(E$156="comprobar",COUNTIF(D97:D101,"x"),"")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3" t="s">
        <v>15</v>
      </c>
      <c r="C99" s="84" t="s">
        <v>80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2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3" t="s">
        <v>15</v>
      </c>
      <c r="C100" s="120" t="s">
        <v>49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120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2" t="s">
        <v>20</v>
      </c>
      <c r="C102" s="84" t="s">
        <v>83</v>
      </c>
      <c r="D102" s="39"/>
      <c r="E102" s="52"/>
      <c r="F102" s="27"/>
      <c r="G102" s="13"/>
      <c r="H102" s="13"/>
    </row>
    <row r="103" spans="1:40" x14ac:dyDescent="0.25">
      <c r="B103" s="83" t="s">
        <v>15</v>
      </c>
      <c r="C103" s="120" t="s">
        <v>78</v>
      </c>
      <c r="D103" s="38"/>
      <c r="E103" s="53" t="s">
        <v>9</v>
      </c>
      <c r="F103" s="25"/>
      <c r="G103" s="17"/>
      <c r="H103" s="19" t="b">
        <f>IF(D106="x",H$2,H$1)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3" t="s">
        <v>15</v>
      </c>
      <c r="C104" s="120" t="s">
        <v>79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IF(E$156="comprobar",COUNTIF(D103:D107,"x"),"")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3" t="s">
        <v>15</v>
      </c>
      <c r="C105" s="120" t="s">
        <v>84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3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3" t="s">
        <v>15</v>
      </c>
      <c r="C106" s="120" t="s">
        <v>49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120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2" t="s">
        <v>21</v>
      </c>
      <c r="C108" s="84" t="s">
        <v>85</v>
      </c>
      <c r="D108" s="39"/>
      <c r="E108" s="52"/>
      <c r="F108" s="27"/>
      <c r="G108" s="13"/>
      <c r="H108" s="13"/>
    </row>
    <row r="109" spans="1:40" x14ac:dyDescent="0.25">
      <c r="B109" s="83" t="s">
        <v>15</v>
      </c>
      <c r="C109" s="120" t="s">
        <v>78</v>
      </c>
      <c r="D109" s="38"/>
      <c r="E109" s="53" t="s">
        <v>9</v>
      </c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3" t="s">
        <v>15</v>
      </c>
      <c r="C110" s="120" t="s">
        <v>79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IF(E$156="comprobar",COUNTIF(D109:D113,"x"),"")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3" t="s">
        <v>15</v>
      </c>
      <c r="C111" s="120" t="s">
        <v>84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4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3" t="s">
        <v>15</v>
      </c>
      <c r="C112" s="120" t="s">
        <v>49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63"/>
      <c r="C113" s="120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2" t="s">
        <v>22</v>
      </c>
      <c r="C114" s="84" t="s">
        <v>86</v>
      </c>
      <c r="D114" s="39"/>
      <c r="E114" s="52"/>
      <c r="F114" s="27"/>
      <c r="G114" s="13"/>
      <c r="H114" s="13"/>
    </row>
    <row r="115" spans="1:40" x14ac:dyDescent="0.25">
      <c r="B115" s="83" t="s">
        <v>15</v>
      </c>
      <c r="C115" s="120" t="s">
        <v>87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3" t="s">
        <v>15</v>
      </c>
      <c r="C116" s="120" t="s">
        <v>88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IF(E$156="comprobar",COUNTIF(D115:D119,"x"),"")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3" t="s">
        <v>15</v>
      </c>
      <c r="C117" s="120" t="s">
        <v>89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5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3" t="s">
        <v>15</v>
      </c>
      <c r="C118" s="120" t="s">
        <v>49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120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2" t="s">
        <v>23</v>
      </c>
      <c r="C120" s="84" t="s">
        <v>90</v>
      </c>
      <c r="D120" s="39"/>
      <c r="E120" s="52"/>
      <c r="F120" s="27"/>
      <c r="G120" s="13"/>
      <c r="H120" s="13"/>
    </row>
    <row r="121" spans="1:40" x14ac:dyDescent="0.25">
      <c r="B121" s="83" t="s">
        <v>15</v>
      </c>
      <c r="C121" s="120" t="s">
        <v>91</v>
      </c>
      <c r="D121" s="38"/>
      <c r="E121" s="53" t="s">
        <v>9</v>
      </c>
      <c r="F121" s="25"/>
      <c r="G121" s="17"/>
      <c r="H121" s="19" t="b">
        <f>IF(D121="x",H$2,H$1)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3" t="s">
        <v>15</v>
      </c>
      <c r="C122" s="120" t="s">
        <v>92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IF(E$156="comprobar",COUNTIF(D121:D125,"x"),"")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3" t="s">
        <v>15</v>
      </c>
      <c r="C123" s="120" t="s">
        <v>93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6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3" t="s">
        <v>15</v>
      </c>
      <c r="C124" s="120" t="s">
        <v>49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42"/>
      <c r="C125" s="120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2" t="s">
        <v>24</v>
      </c>
      <c r="C126" s="84" t="s">
        <v>94</v>
      </c>
      <c r="D126" s="39"/>
      <c r="E126" s="52"/>
      <c r="F126" s="27"/>
      <c r="G126" s="13"/>
      <c r="H126" s="13"/>
    </row>
    <row r="127" spans="1:40" x14ac:dyDescent="0.25">
      <c r="B127" s="83" t="s">
        <v>15</v>
      </c>
      <c r="C127" s="120" t="s">
        <v>87</v>
      </c>
      <c r="D127" s="38"/>
      <c r="E127" s="53" t="s">
        <v>9</v>
      </c>
      <c r="F127" s="25"/>
      <c r="G127" s="17"/>
      <c r="H127" s="19" t="b">
        <f>IF(D130="x",H$2,H$1)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3" t="s">
        <v>15</v>
      </c>
      <c r="C128" s="120" t="s">
        <v>95</v>
      </c>
      <c r="D128" s="38"/>
      <c r="E128" s="53" t="s">
        <v>10</v>
      </c>
      <c r="F128" s="20" t="str">
        <f>IF(H129=1,IF(H127=H$2,H127,""),"")</f>
        <v/>
      </c>
      <c r="G128" s="17"/>
      <c r="H128" s="19" t="str">
        <f>IF(E$156="comprobar",COUNTIF(D127:D131,"x"),"")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3" t="s">
        <v>15</v>
      </c>
      <c r="C129" s="120" t="s">
        <v>96</v>
      </c>
      <c r="D129" s="38"/>
      <c r="E129" s="53" t="s">
        <v>11</v>
      </c>
      <c r="F129" s="21" t="str">
        <f>IF(H129=-0.33,IF(H127=H$1,H127,""),"")</f>
        <v/>
      </c>
      <c r="G129" s="17"/>
      <c r="H129" s="22">
        <f t="shared" ref="H129" si="7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3" t="s">
        <v>15</v>
      </c>
      <c r="C130" s="120" t="s">
        <v>49</v>
      </c>
      <c r="D130" s="38"/>
      <c r="E130" s="53" t="s">
        <v>12</v>
      </c>
      <c r="F130" s="25"/>
      <c r="G130" s="17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120"/>
      <c r="D131" s="38"/>
      <c r="E131" s="53" t="s">
        <v>13</v>
      </c>
      <c r="F131" s="18"/>
      <c r="G131" s="17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s="15" customFormat="1" x14ac:dyDescent="0.25">
      <c r="A132" s="4"/>
      <c r="B132" s="82" t="s">
        <v>25</v>
      </c>
      <c r="C132" s="84" t="s">
        <v>97</v>
      </c>
      <c r="D132" s="39"/>
      <c r="E132" s="52"/>
      <c r="F132" s="27"/>
      <c r="G132" s="13"/>
      <c r="H132" s="13"/>
    </row>
    <row r="133" spans="1:40" x14ac:dyDescent="0.25">
      <c r="B133" s="83" t="s">
        <v>15</v>
      </c>
      <c r="C133" s="120" t="s">
        <v>87</v>
      </c>
      <c r="D133" s="38"/>
      <c r="E133" s="53" t="s">
        <v>9</v>
      </c>
      <c r="F133" s="25"/>
      <c r="G133" s="17"/>
      <c r="H133" s="19" t="b">
        <f>IF(D133="x",H$2,H$1)</f>
        <v>0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x14ac:dyDescent="0.25">
      <c r="B134" s="83" t="s">
        <v>15</v>
      </c>
      <c r="C134" s="120" t="s">
        <v>95</v>
      </c>
      <c r="D134" s="38"/>
      <c r="E134" s="53" t="s">
        <v>10</v>
      </c>
      <c r="F134" s="20" t="str">
        <f>IF(H135=1,IF(H133=H$2,H133,""),"")</f>
        <v/>
      </c>
      <c r="G134" s="17"/>
      <c r="H134" s="19" t="str">
        <f>IF(E$156="comprobar",COUNTIF(D133:D137,"x"),"")</f>
        <v/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x14ac:dyDescent="0.25">
      <c r="B135" s="83" t="s">
        <v>15</v>
      </c>
      <c r="C135" s="120" t="s">
        <v>98</v>
      </c>
      <c r="D135" s="38"/>
      <c r="E135" s="53" t="s">
        <v>11</v>
      </c>
      <c r="F135" s="21" t="str">
        <f>IF(H135=-0.33,IF(H133=H$1,H133,""),"")</f>
        <v/>
      </c>
      <c r="G135" s="17"/>
      <c r="H135" s="22">
        <f t="shared" ref="H135" si="8">IF(H134=1,IF(H133=H$2,1,-0.33),0)</f>
        <v>0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x14ac:dyDescent="0.25">
      <c r="B136" s="83" t="s">
        <v>15</v>
      </c>
      <c r="C136" s="120" t="s">
        <v>49</v>
      </c>
      <c r="D136" s="38"/>
      <c r="E136" s="53" t="s">
        <v>12</v>
      </c>
      <c r="F136" s="25"/>
      <c r="G136" s="17"/>
      <c r="H136" s="2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x14ac:dyDescent="0.25">
      <c r="B137" s="63"/>
      <c r="C137" s="120"/>
      <c r="D137" s="38"/>
      <c r="E137" s="53" t="s">
        <v>13</v>
      </c>
      <c r="F137" s="18"/>
      <c r="G137" s="17"/>
      <c r="H137" s="22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</row>
    <row r="138" spans="1:40" s="15" customFormat="1" x14ac:dyDescent="0.25">
      <c r="A138" s="4"/>
      <c r="B138" s="82" t="s">
        <v>26</v>
      </c>
      <c r="C138" s="84" t="s">
        <v>101</v>
      </c>
      <c r="D138" s="39"/>
      <c r="E138" s="52"/>
      <c r="F138" s="27"/>
      <c r="G138" s="26"/>
      <c r="H138" s="13"/>
    </row>
    <row r="139" spans="1:40" x14ac:dyDescent="0.25">
      <c r="B139" s="83" t="s">
        <v>15</v>
      </c>
      <c r="C139" s="120" t="s">
        <v>87</v>
      </c>
      <c r="D139" s="38"/>
      <c r="E139" s="53" t="s">
        <v>9</v>
      </c>
      <c r="F139" s="25"/>
      <c r="G139" s="24"/>
      <c r="H139" s="19" t="b">
        <f>IF(D142="x",H$2,H$1)</f>
        <v>0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3" t="s">
        <v>15</v>
      </c>
      <c r="C140" s="120" t="s">
        <v>95</v>
      </c>
      <c r="D140" s="38"/>
      <c r="E140" s="53" t="s">
        <v>10</v>
      </c>
      <c r="F140" s="20" t="str">
        <f>IF(H141=1,IF(H139=H$2,H139,""),"")</f>
        <v/>
      </c>
      <c r="G140" s="24"/>
      <c r="H140" s="19" t="str">
        <f>IF(E$156="comprobar",COUNTIF(D139:D143,"x"),"")</f>
        <v/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3" t="s">
        <v>15</v>
      </c>
      <c r="C141" s="120" t="s">
        <v>98</v>
      </c>
      <c r="D141" s="38"/>
      <c r="E141" s="53" t="s">
        <v>11</v>
      </c>
      <c r="F141" s="21" t="str">
        <f>IF(H141=-0.33,IF(H139=H$1,H139,""),"")</f>
        <v/>
      </c>
      <c r="G141" s="24"/>
      <c r="H141" s="22">
        <f t="shared" ref="H141" si="9">IF(H140=1,IF(H139=H$2,1,-0.33),0)</f>
        <v>0</v>
      </c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83" t="s">
        <v>15</v>
      </c>
      <c r="C142" s="120" t="s">
        <v>49</v>
      </c>
      <c r="D142" s="38"/>
      <c r="E142" s="53" t="s">
        <v>12</v>
      </c>
      <c r="F142" s="25"/>
      <c r="G142" s="24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5">
      <c r="B143" s="63"/>
      <c r="C143" s="120"/>
      <c r="D143" s="38"/>
      <c r="E143" s="53" t="s">
        <v>13</v>
      </c>
      <c r="F143" s="18"/>
      <c r="G143" s="24"/>
      <c r="H143" s="22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x14ac:dyDescent="0.25">
      <c r="B144" s="82" t="s">
        <v>99</v>
      </c>
      <c r="C144" s="84" t="s">
        <v>102</v>
      </c>
      <c r="D144" s="39"/>
      <c r="E144" s="52"/>
      <c r="F144" s="27"/>
      <c r="G144" s="26"/>
      <c r="H144" s="13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2:40" x14ac:dyDescent="0.25">
      <c r="B145" s="83" t="s">
        <v>15</v>
      </c>
      <c r="C145" s="120" t="s">
        <v>103</v>
      </c>
      <c r="D145" s="38"/>
      <c r="E145" s="53" t="s">
        <v>9</v>
      </c>
      <c r="F145" s="25"/>
      <c r="G145" s="24"/>
      <c r="H145" s="19" t="b">
        <f>IF(D148="x",H$2,H$1)</f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2:40" x14ac:dyDescent="0.25">
      <c r="B146" s="83" t="s">
        <v>15</v>
      </c>
      <c r="C146" s="120" t="s">
        <v>104</v>
      </c>
      <c r="D146" s="38"/>
      <c r="E146" s="53" t="s">
        <v>10</v>
      </c>
      <c r="F146" s="20" t="str">
        <f>IF(H147=1,IF(H145=H$2,H145,""),"")</f>
        <v/>
      </c>
      <c r="G146" s="24"/>
      <c r="H146" s="19" t="str">
        <f>IF(E$156="comprobar",COUNTIF(D145:D149,"x"),"")</f>
        <v/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2:40" x14ac:dyDescent="0.25">
      <c r="B147" s="83" t="s">
        <v>15</v>
      </c>
      <c r="C147" s="120" t="s">
        <v>105</v>
      </c>
      <c r="D147" s="38"/>
      <c r="E147" s="53" t="s">
        <v>11</v>
      </c>
      <c r="F147" s="21" t="str">
        <f>IF(H147=-0.33,IF(H145=H$1,H145,""),"")</f>
        <v/>
      </c>
      <c r="G147" s="24"/>
      <c r="H147" s="22">
        <f t="shared" ref="H147" si="10">IF(H146=1,IF(H145=H$2,1,-0.33),0)</f>
        <v>0</v>
      </c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2:40" x14ac:dyDescent="0.25">
      <c r="B148" s="83" t="s">
        <v>15</v>
      </c>
      <c r="C148" s="120" t="s">
        <v>49</v>
      </c>
      <c r="D148" s="38"/>
      <c r="E148" s="53" t="s">
        <v>12</v>
      </c>
      <c r="F148" s="25"/>
      <c r="G148" s="24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2:40" x14ac:dyDescent="0.25">
      <c r="B149" s="63"/>
      <c r="C149" s="120"/>
      <c r="D149" s="38"/>
      <c r="E149" s="53" t="s">
        <v>13</v>
      </c>
      <c r="F149" s="18"/>
      <c r="G149" s="24"/>
      <c r="H149" s="22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</row>
    <row r="150" spans="2:40" x14ac:dyDescent="0.25">
      <c r="B150" s="82" t="s">
        <v>100</v>
      </c>
      <c r="C150" s="84" t="s">
        <v>106</v>
      </c>
      <c r="D150" s="39"/>
      <c r="E150" s="52"/>
      <c r="F150" s="27"/>
      <c r="G150" s="26"/>
      <c r="H150" s="13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2:40" x14ac:dyDescent="0.25">
      <c r="B151" s="83" t="s">
        <v>15</v>
      </c>
      <c r="C151" s="120" t="s">
        <v>107</v>
      </c>
      <c r="D151" s="38"/>
      <c r="E151" s="53" t="s">
        <v>9</v>
      </c>
      <c r="F151" s="25"/>
      <c r="G151" s="24"/>
      <c r="H151" s="19" t="b">
        <f>IF(D154="x",H$2,H$1)</f>
        <v>0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2:40" x14ac:dyDescent="0.25">
      <c r="B152" s="83" t="s">
        <v>15</v>
      </c>
      <c r="C152" s="120" t="s">
        <v>108</v>
      </c>
      <c r="D152" s="38"/>
      <c r="E152" s="53" t="s">
        <v>10</v>
      </c>
      <c r="F152" s="20" t="str">
        <f>IF(H153=1,IF(H151=H$2,H151,""),"")</f>
        <v/>
      </c>
      <c r="G152" s="24"/>
      <c r="H152" s="19" t="str">
        <f>IF(E$156="comprobar",COUNTIF(D151:D155,"x"),"")</f>
        <v/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2:40" x14ac:dyDescent="0.25">
      <c r="B153" s="83" t="s">
        <v>15</v>
      </c>
      <c r="C153" s="120" t="s">
        <v>105</v>
      </c>
      <c r="D153" s="38"/>
      <c r="E153" s="53" t="s">
        <v>11</v>
      </c>
      <c r="F153" s="21" t="str">
        <f>IF(H153=-0.33,IF(H151=H$1,H151,""),"")</f>
        <v/>
      </c>
      <c r="G153" s="24"/>
      <c r="H153" s="22">
        <f t="shared" ref="H153" si="11">IF(H152=1,IF(H151=H$2,1,-0.33),0)</f>
        <v>0</v>
      </c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2:40" x14ac:dyDescent="0.25">
      <c r="B154" s="83" t="s">
        <v>15</v>
      </c>
      <c r="C154" s="120" t="s">
        <v>49</v>
      </c>
      <c r="D154" s="38"/>
      <c r="E154" s="53" t="s">
        <v>12</v>
      </c>
      <c r="F154" s="25"/>
      <c r="G154" s="24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2:40" x14ac:dyDescent="0.25">
      <c r="B155" s="63"/>
      <c r="C155" s="120"/>
      <c r="D155" s="38"/>
      <c r="E155" s="53" t="s">
        <v>13</v>
      </c>
      <c r="F155" s="18"/>
      <c r="G155" s="24"/>
      <c r="H155" s="22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</row>
    <row r="156" spans="2:40" x14ac:dyDescent="0.25">
      <c r="B156" s="44"/>
      <c r="C156" s="41"/>
      <c r="D156" s="48"/>
      <c r="E156" s="54"/>
      <c r="F156" s="18"/>
      <c r="G156" s="17"/>
      <c r="H156" s="17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2:40" x14ac:dyDescent="0.25">
      <c r="B157" s="44"/>
      <c r="C157" s="16"/>
      <c r="D157" s="48"/>
      <c r="E157" s="57"/>
      <c r="F157" s="28" t="s">
        <v>8</v>
      </c>
      <c r="G157" s="17" t="s">
        <v>6</v>
      </c>
      <c r="H157" s="17" t="s">
        <v>7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2:40" ht="19.5" x14ac:dyDescent="0.25">
      <c r="B158" s="44"/>
      <c r="C158" s="16"/>
      <c r="D158" s="67"/>
      <c r="E158" s="51"/>
      <c r="F158" s="29" t="str">
        <f>IF(E$156="comprobar",H141+H135+H129+H123+H117+H111+H105+H99+H93+H87+H147+H153,"")</f>
        <v/>
      </c>
      <c r="G158" s="17">
        <f>12/2</f>
        <v>6</v>
      </c>
      <c r="H158" s="17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2:40" ht="16.5" thickBot="1" x14ac:dyDescent="0.3">
      <c r="B159" s="45"/>
      <c r="C159" s="30"/>
      <c r="D159" s="31"/>
      <c r="E159" s="55"/>
      <c r="F159" s="32" t="str">
        <f>IF(F158&gt;G158,G157,H157)</f>
        <v>APROBADO</v>
      </c>
      <c r="G159" s="17"/>
      <c r="H159" s="17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2:40" ht="28.5" x14ac:dyDescent="0.45">
      <c r="B160" s="61" t="s">
        <v>198</v>
      </c>
      <c r="C160" s="115" t="s">
        <v>33</v>
      </c>
      <c r="D160" s="68"/>
      <c r="E160" s="68"/>
      <c r="F160" s="69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46" customFormat="1" x14ac:dyDescent="0.25">
      <c r="A161" s="118"/>
      <c r="B161" s="82" t="s">
        <v>18</v>
      </c>
      <c r="C161" s="84" t="s">
        <v>109</v>
      </c>
      <c r="D161" s="71"/>
      <c r="E161" s="47"/>
      <c r="F161" s="72"/>
      <c r="G161" s="47"/>
      <c r="H161" s="47"/>
    </row>
    <row r="162" spans="1:40" x14ac:dyDescent="0.25">
      <c r="B162" s="83" t="s">
        <v>15</v>
      </c>
      <c r="C162" s="120" t="s">
        <v>110</v>
      </c>
      <c r="D162" s="38"/>
      <c r="E162" s="53" t="s">
        <v>9</v>
      </c>
      <c r="F162" s="25"/>
      <c r="G162" s="17"/>
      <c r="H162" s="19" t="b">
        <f>IF(D163="x",H$2,H$1)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3" t="s">
        <v>15</v>
      </c>
      <c r="C163" s="120" t="s">
        <v>111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IF(E$234="comprobar",COUNTIF(D162:D166,"x"),"")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3" t="s">
        <v>15</v>
      </c>
      <c r="C164" s="120" t="s">
        <v>112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ref="H164:H218" si="12">IF(H163=1,IF(H162=H$2,1,-0.33),0)</f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3" t="s">
        <v>15</v>
      </c>
      <c r="C165" s="120" t="s">
        <v>49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4" customFormat="1" x14ac:dyDescent="0.25">
      <c r="B167" s="82" t="s">
        <v>17</v>
      </c>
      <c r="C167" s="84" t="s">
        <v>113</v>
      </c>
      <c r="D167" s="71"/>
      <c r="E167" s="47"/>
      <c r="F167" s="72"/>
      <c r="G167" s="47"/>
      <c r="H167" s="47"/>
    </row>
    <row r="168" spans="1:40" x14ac:dyDescent="0.25">
      <c r="B168" s="83" t="s">
        <v>15</v>
      </c>
      <c r="C168" s="120" t="s">
        <v>114</v>
      </c>
      <c r="D168" s="38"/>
      <c r="E168" s="53" t="s">
        <v>9</v>
      </c>
      <c r="F168" s="25"/>
      <c r="G168" s="17"/>
      <c r="H168" s="19" t="b">
        <f>IF(D170="x",H$2,H$1)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3" t="s">
        <v>15</v>
      </c>
      <c r="C169" s="120" t="s">
        <v>115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IF(E$234="comprobar",COUNTIF(D168:D172,"x"),"")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3" t="s">
        <v>15</v>
      </c>
      <c r="C170" s="120" t="s">
        <v>116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2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3" t="s">
        <v>15</v>
      </c>
      <c r="C171" s="120" t="s">
        <v>49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118"/>
      <c r="B173" s="82" t="s">
        <v>19</v>
      </c>
      <c r="C173" s="84" t="s">
        <v>117</v>
      </c>
      <c r="D173" s="78"/>
      <c r="E173" s="52"/>
      <c r="F173" s="27"/>
      <c r="G173" s="13"/>
      <c r="H173" s="13"/>
    </row>
    <row r="174" spans="1:40" x14ac:dyDescent="0.25">
      <c r="B174" s="83" t="s">
        <v>15</v>
      </c>
      <c r="C174" s="120" t="s">
        <v>118</v>
      </c>
      <c r="D174" s="38"/>
      <c r="E174" s="53" t="s">
        <v>9</v>
      </c>
      <c r="F174" s="25"/>
      <c r="G174" s="17"/>
      <c r="H174" s="19" t="b">
        <f>IF(D174="x",H$2,H$1)</f>
        <v>0</v>
      </c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</row>
    <row r="175" spans="1:40" x14ac:dyDescent="0.25">
      <c r="B175" s="83" t="s">
        <v>15</v>
      </c>
      <c r="C175" s="120" t="s">
        <v>119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IF(E$234="comprobar",COUNTIF(D174:D178,"x"),"")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3" t="s">
        <v>15</v>
      </c>
      <c r="C176" s="120" t="s">
        <v>120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2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3" t="s">
        <v>15</v>
      </c>
      <c r="C177" s="120" t="s">
        <v>49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82" t="s">
        <v>20</v>
      </c>
      <c r="C179" s="84" t="s">
        <v>121</v>
      </c>
      <c r="D179" s="78"/>
      <c r="E179" s="52"/>
      <c r="F179" s="27"/>
      <c r="G179" s="13"/>
      <c r="H179" s="13"/>
    </row>
    <row r="180" spans="1:40" ht="15" customHeight="1" x14ac:dyDescent="0.25">
      <c r="B180" s="83" t="s">
        <v>15</v>
      </c>
      <c r="C180" s="120" t="s">
        <v>122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3" t="s">
        <v>15</v>
      </c>
      <c r="C181" s="120" t="s">
        <v>123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IF(E$234="comprobar",COUNTIF(D180:D184,"x"),"")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3" t="s">
        <v>15</v>
      </c>
      <c r="C182" s="120" t="s">
        <v>124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2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3" t="s">
        <v>15</v>
      </c>
      <c r="C183" s="120" t="s">
        <v>49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19" t="s">
        <v>21</v>
      </c>
      <c r="C185" s="84" t="s">
        <v>125</v>
      </c>
      <c r="D185" s="78"/>
      <c r="E185" s="52"/>
      <c r="F185" s="27"/>
      <c r="G185" s="13"/>
      <c r="H185" s="13"/>
    </row>
    <row r="186" spans="1:40" x14ac:dyDescent="0.25">
      <c r="B186" s="83" t="s">
        <v>15</v>
      </c>
      <c r="C186" s="120" t="s">
        <v>126</v>
      </c>
      <c r="D186" s="38"/>
      <c r="E186" s="53" t="s">
        <v>9</v>
      </c>
      <c r="F186" s="25"/>
      <c r="G186" s="17"/>
      <c r="H186" s="19" t="b">
        <f>IF(D187="x",H$2,H$1)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3" t="s">
        <v>15</v>
      </c>
      <c r="C187" s="120" t="s">
        <v>127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IF(E$234="comprobar",COUNTIF(D186:D190,"x"),"")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3" t="s">
        <v>15</v>
      </c>
      <c r="C188" s="120" t="s">
        <v>128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2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3" t="s">
        <v>15</v>
      </c>
      <c r="C189" s="120" t="s">
        <v>49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19" t="s">
        <v>22</v>
      </c>
      <c r="C191" s="84" t="s">
        <v>129</v>
      </c>
      <c r="D191" s="78"/>
      <c r="E191" s="52"/>
      <c r="F191" s="27"/>
      <c r="G191" s="13"/>
      <c r="H191" s="13"/>
    </row>
    <row r="192" spans="1:40" x14ac:dyDescent="0.25">
      <c r="B192" s="83" t="s">
        <v>15</v>
      </c>
      <c r="C192" s="120" t="s">
        <v>130</v>
      </c>
      <c r="D192" s="38"/>
      <c r="E192" s="53" t="s">
        <v>9</v>
      </c>
      <c r="F192" s="25"/>
      <c r="G192" s="17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3" t="s">
        <v>15</v>
      </c>
      <c r="C193" s="120" t="s">
        <v>131</v>
      </c>
      <c r="D193" s="38"/>
      <c r="E193" s="53" t="s">
        <v>10</v>
      </c>
      <c r="F193" s="20" t="str">
        <f>IF(H194=1,IF(H192=H$2,H192,""),"")</f>
        <v/>
      </c>
      <c r="G193" s="17"/>
      <c r="H193" s="19" t="str">
        <f>IF(E$234="comprobar",COUNTIF(D192:D196,"x"),"")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3" t="s">
        <v>15</v>
      </c>
      <c r="C194" s="120" t="s">
        <v>132</v>
      </c>
      <c r="D194" s="38"/>
      <c r="E194" s="53" t="s">
        <v>11</v>
      </c>
      <c r="F194" s="21" t="str">
        <f>IF(H194=-0.33,IF(H192=H$1,H192,""),"")</f>
        <v/>
      </c>
      <c r="G194" s="17"/>
      <c r="H194" s="22">
        <f t="shared" si="12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3" t="s">
        <v>15</v>
      </c>
      <c r="C195" s="120" t="s">
        <v>49</v>
      </c>
      <c r="D195" s="38"/>
      <c r="E195" s="53" t="s">
        <v>12</v>
      </c>
      <c r="F195" s="25"/>
      <c r="G195" s="17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63"/>
      <c r="C196" s="24"/>
      <c r="D196" s="38"/>
      <c r="E196" s="53" t="s">
        <v>13</v>
      </c>
      <c r="F196" s="18"/>
      <c r="G196" s="17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s="15" customFormat="1" x14ac:dyDescent="0.25">
      <c r="A197" s="4"/>
      <c r="B197" s="119" t="s">
        <v>23</v>
      </c>
      <c r="C197" s="84" t="s">
        <v>133</v>
      </c>
      <c r="D197" s="78"/>
      <c r="E197" s="52"/>
      <c r="F197" s="27"/>
      <c r="G197" s="13"/>
      <c r="H197" s="13"/>
    </row>
    <row r="198" spans="1:40" s="34" customFormat="1" x14ac:dyDescent="0.25">
      <c r="A198" s="4"/>
      <c r="B198" s="83" t="s">
        <v>15</v>
      </c>
      <c r="C198" s="120" t="s">
        <v>134</v>
      </c>
      <c r="D198" s="38"/>
      <c r="E198" s="53" t="s">
        <v>9</v>
      </c>
      <c r="F198" s="25"/>
      <c r="G198" s="17"/>
      <c r="H198" s="19" t="b">
        <f>IF(D198="x",H$2,H$1)</f>
        <v>0</v>
      </c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</row>
    <row r="199" spans="1:40" x14ac:dyDescent="0.25">
      <c r="B199" s="83" t="s">
        <v>15</v>
      </c>
      <c r="C199" s="120" t="s">
        <v>135</v>
      </c>
      <c r="D199" s="38"/>
      <c r="E199" s="53" t="s">
        <v>10</v>
      </c>
      <c r="F199" s="20" t="str">
        <f>IF(H200=1,IF(H198=H$2,H198,""),"")</f>
        <v/>
      </c>
      <c r="G199" s="17"/>
      <c r="H199" s="19" t="str">
        <f>IF(E$234="comprobar",COUNTIF(D198:D202,"x"),"")</f>
        <v/>
      </c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x14ac:dyDescent="0.25">
      <c r="B200" s="83" t="s">
        <v>15</v>
      </c>
      <c r="C200" s="120" t="s">
        <v>136</v>
      </c>
      <c r="D200" s="38"/>
      <c r="E200" s="53" t="s">
        <v>11</v>
      </c>
      <c r="F200" s="21" t="str">
        <f>IF(H200=-0.33,IF(H198=H$1,H198,""),"")</f>
        <v/>
      </c>
      <c r="G200" s="17"/>
      <c r="H200" s="22">
        <f t="shared" si="12"/>
        <v>0</v>
      </c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x14ac:dyDescent="0.25">
      <c r="B201" s="83" t="s">
        <v>15</v>
      </c>
      <c r="C201" s="120" t="s">
        <v>49</v>
      </c>
      <c r="D201" s="38"/>
      <c r="E201" s="53" t="s">
        <v>12</v>
      </c>
      <c r="F201" s="25"/>
      <c r="G201" s="17"/>
      <c r="H201" s="22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x14ac:dyDescent="0.25">
      <c r="B202" s="63"/>
      <c r="C202" s="24"/>
      <c r="D202" s="38"/>
      <c r="E202" s="53" t="s">
        <v>13</v>
      </c>
      <c r="F202" s="18"/>
      <c r="G202" s="17"/>
      <c r="H202" s="22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</row>
    <row r="203" spans="1:40" s="15" customFormat="1" ht="31.5" x14ac:dyDescent="0.25">
      <c r="A203" s="4"/>
      <c r="B203" s="119" t="s">
        <v>24</v>
      </c>
      <c r="C203" s="129" t="s">
        <v>137</v>
      </c>
      <c r="D203" s="39"/>
      <c r="E203" s="52"/>
      <c r="F203" s="27"/>
      <c r="G203" s="13"/>
      <c r="H203" s="13"/>
    </row>
    <row r="204" spans="1:40" x14ac:dyDescent="0.25">
      <c r="B204" s="83" t="s">
        <v>15</v>
      </c>
      <c r="C204" s="120" t="s">
        <v>138</v>
      </c>
      <c r="D204" s="38"/>
      <c r="E204" s="53" t="s">
        <v>9</v>
      </c>
      <c r="F204" s="25"/>
      <c r="G204" s="17"/>
      <c r="H204" s="19" t="b">
        <f>IF(D204="x",H$2,H$1)</f>
        <v>0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3" t="s">
        <v>15</v>
      </c>
      <c r="C205" s="120" t="s">
        <v>139</v>
      </c>
      <c r="D205" s="38"/>
      <c r="E205" s="53" t="s">
        <v>10</v>
      </c>
      <c r="F205" s="20" t="str">
        <f>IF(H206=1,IF(H204=H$2,H204,""),"")</f>
        <v/>
      </c>
      <c r="G205" s="17"/>
      <c r="H205" s="19" t="str">
        <f>IF(E$234="comprobar",COUNTIF(D204:D208,"x"),"")</f>
        <v/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3" t="s">
        <v>15</v>
      </c>
      <c r="C206" s="120" t="s">
        <v>140</v>
      </c>
      <c r="D206" s="38"/>
      <c r="E206" s="53" t="s">
        <v>11</v>
      </c>
      <c r="F206" s="21" t="str">
        <f>IF(H206=-0.33,IF(H204=H$1,H204,""),"")</f>
        <v/>
      </c>
      <c r="G206" s="17"/>
      <c r="H206" s="22">
        <f t="shared" si="12"/>
        <v>0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83" t="s">
        <v>15</v>
      </c>
      <c r="C207" s="120" t="s">
        <v>49</v>
      </c>
      <c r="D207" s="38"/>
      <c r="E207" s="53" t="s">
        <v>12</v>
      </c>
      <c r="F207" s="25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x14ac:dyDescent="0.25">
      <c r="B208" s="63"/>
      <c r="C208" s="24"/>
      <c r="D208" s="38"/>
      <c r="E208" s="53" t="s">
        <v>13</v>
      </c>
      <c r="F208" s="18"/>
      <c r="G208" s="17"/>
      <c r="H208" s="22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</row>
    <row r="209" spans="1:40" s="15" customFormat="1" ht="63" x14ac:dyDescent="0.25">
      <c r="A209" s="4"/>
      <c r="B209" s="119" t="s">
        <v>25</v>
      </c>
      <c r="C209" s="129" t="s">
        <v>141</v>
      </c>
      <c r="D209" s="39"/>
      <c r="E209" s="52"/>
      <c r="F209" s="27"/>
      <c r="G209" s="13"/>
      <c r="H209" s="13"/>
    </row>
    <row r="210" spans="1:40" x14ac:dyDescent="0.25">
      <c r="B210" s="83" t="s">
        <v>15</v>
      </c>
      <c r="C210" s="120" t="s">
        <v>142</v>
      </c>
      <c r="D210" s="38"/>
      <c r="E210" s="53" t="s">
        <v>9</v>
      </c>
      <c r="F210" s="25"/>
      <c r="G210" s="17"/>
      <c r="H210" s="19" t="b">
        <f>IF(D211="x",H$2,H$1)</f>
        <v>0</v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3" t="s">
        <v>15</v>
      </c>
      <c r="C211" s="120" t="s">
        <v>143</v>
      </c>
      <c r="D211" s="38"/>
      <c r="E211" s="53" t="s">
        <v>10</v>
      </c>
      <c r="F211" s="20" t="str">
        <f>IF(H212=1,IF(H210=H$2,H210,""),"")</f>
        <v/>
      </c>
      <c r="G211" s="17"/>
      <c r="H211" s="19" t="str">
        <f>IF(E$234="comprobar",COUNTIF(D210:D214,"x"),"")</f>
        <v/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3" t="s">
        <v>15</v>
      </c>
      <c r="C212" s="120" t="s">
        <v>144</v>
      </c>
      <c r="D212" s="38"/>
      <c r="E212" s="53" t="s">
        <v>11</v>
      </c>
      <c r="F212" s="21" t="str">
        <f>IF(H212=-0.33,IF(H210=H$1,H210,""),"")</f>
        <v/>
      </c>
      <c r="G212" s="17"/>
      <c r="H212" s="22">
        <f t="shared" si="12"/>
        <v>0</v>
      </c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83" t="s">
        <v>15</v>
      </c>
      <c r="C213" s="120" t="s">
        <v>49</v>
      </c>
      <c r="D213" s="38"/>
      <c r="E213" s="53" t="s">
        <v>12</v>
      </c>
      <c r="F213" s="25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x14ac:dyDescent="0.25">
      <c r="B214" s="63"/>
      <c r="C214" s="24"/>
      <c r="D214" s="38"/>
      <c r="E214" s="53" t="s">
        <v>13</v>
      </c>
      <c r="F214" s="18"/>
      <c r="G214" s="17"/>
      <c r="H214" s="22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</row>
    <row r="215" spans="1:40" s="15" customFormat="1" x14ac:dyDescent="0.25">
      <c r="A215" s="4"/>
      <c r="B215" s="119" t="s">
        <v>27</v>
      </c>
      <c r="C215" s="84" t="s">
        <v>145</v>
      </c>
      <c r="D215" s="39"/>
      <c r="E215" s="52"/>
      <c r="F215" s="27"/>
      <c r="G215" s="26"/>
      <c r="H215" s="13"/>
    </row>
    <row r="216" spans="1:40" x14ac:dyDescent="0.25">
      <c r="B216" s="83" t="s">
        <v>15</v>
      </c>
      <c r="C216" s="120" t="s">
        <v>146</v>
      </c>
      <c r="D216" s="38"/>
      <c r="E216" s="53" t="s">
        <v>9</v>
      </c>
      <c r="F216" s="25"/>
      <c r="G216" s="24"/>
      <c r="H216" s="19" t="b">
        <f>IF(D217="x",H$2,H$1)</f>
        <v>0</v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3" t="s">
        <v>15</v>
      </c>
      <c r="C217" s="120" t="s">
        <v>147</v>
      </c>
      <c r="D217" s="38"/>
      <c r="E217" s="53" t="s">
        <v>10</v>
      </c>
      <c r="F217" s="20" t="str">
        <f>IF(H218=1,IF(H216=H$2,H216,""),"")</f>
        <v/>
      </c>
      <c r="G217" s="24"/>
      <c r="H217" s="19" t="str">
        <f>IF(E$234="comprobar",COUNTIF(D216:D220,"x"),"")</f>
        <v/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3" t="s">
        <v>15</v>
      </c>
      <c r="C218" s="120" t="s">
        <v>148</v>
      </c>
      <c r="D218" s="38"/>
      <c r="E218" s="53" t="s">
        <v>11</v>
      </c>
      <c r="F218" s="21" t="str">
        <f>IF(H218=-0.33,IF(H216=H$1,H216,""),"")</f>
        <v/>
      </c>
      <c r="G218" s="24"/>
      <c r="H218" s="22">
        <f t="shared" si="12"/>
        <v>0</v>
      </c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83" t="s">
        <v>15</v>
      </c>
      <c r="C219" s="120" t="s">
        <v>49</v>
      </c>
      <c r="D219" s="38"/>
      <c r="E219" s="53" t="s">
        <v>12</v>
      </c>
      <c r="F219" s="25"/>
      <c r="G219" s="24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x14ac:dyDescent="0.25">
      <c r="B220" s="42"/>
      <c r="C220" s="24"/>
      <c r="D220" s="38"/>
      <c r="E220" s="53" t="s">
        <v>13</v>
      </c>
      <c r="F220" s="18"/>
      <c r="G220" s="24"/>
      <c r="H220" s="22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</row>
    <row r="221" spans="1:40" x14ac:dyDescent="0.25">
      <c r="B221" s="42"/>
      <c r="D221" s="48"/>
      <c r="E221" s="53"/>
      <c r="F221" s="18"/>
      <c r="G221" s="24"/>
      <c r="H221" s="22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126" t="s">
        <v>37</v>
      </c>
      <c r="C222" s="84" t="s">
        <v>54</v>
      </c>
      <c r="D222" s="39"/>
      <c r="E222" s="52"/>
      <c r="F222" s="27"/>
      <c r="G222" s="26"/>
      <c r="H222" s="13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3" t="s">
        <v>15</v>
      </c>
      <c r="C223" s="120" t="s">
        <v>51</v>
      </c>
      <c r="D223" s="38"/>
      <c r="E223" s="53" t="s">
        <v>9</v>
      </c>
      <c r="F223" s="25"/>
      <c r="G223" s="24"/>
      <c r="H223" s="19" t="b">
        <f>IF(D223="x",H$2,H$1)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3" t="s">
        <v>15</v>
      </c>
      <c r="C224" s="120" t="s">
        <v>52</v>
      </c>
      <c r="D224" s="38"/>
      <c r="E224" s="53" t="s">
        <v>10</v>
      </c>
      <c r="F224" s="20" t="str">
        <f>IF(H225=1,IF(H223=H$2,H223,""),"")</f>
        <v/>
      </c>
      <c r="G224" s="24"/>
      <c r="H224" s="19" t="str">
        <f>IF(E$234="comprobar",COUNTIF(D223:D227,"x"),"")</f>
        <v/>
      </c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83" t="s">
        <v>15</v>
      </c>
      <c r="C225" s="120" t="s">
        <v>149</v>
      </c>
      <c r="D225" s="38"/>
      <c r="E225" s="53" t="s">
        <v>11</v>
      </c>
      <c r="F225" s="21" t="str">
        <f>IF(H225=-0.33,IF(H223=H$1,H223,""),"")</f>
        <v/>
      </c>
      <c r="G225" s="24"/>
      <c r="H225" s="22">
        <f t="shared" ref="H225" si="13">IF(H224=1,IF(H223=H$2,1,-0.33),0)</f>
        <v>0</v>
      </c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x14ac:dyDescent="0.25">
      <c r="B226" s="83" t="s">
        <v>15</v>
      </c>
      <c r="C226" s="120" t="s">
        <v>49</v>
      </c>
      <c r="D226" s="38"/>
      <c r="E226" s="53" t="s">
        <v>12</v>
      </c>
      <c r="F226" s="25"/>
      <c r="G226" s="24"/>
      <c r="H226" s="22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</row>
    <row r="227" spans="1:40" x14ac:dyDescent="0.25">
      <c r="B227" s="42"/>
      <c r="C227" s="120"/>
      <c r="D227" s="38"/>
      <c r="E227" s="53" t="s">
        <v>13</v>
      </c>
      <c r="F227" s="18"/>
      <c r="G227" s="24"/>
      <c r="H227" s="22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126" t="s">
        <v>38</v>
      </c>
      <c r="C228" s="84" t="s">
        <v>150</v>
      </c>
      <c r="D228" s="39"/>
      <c r="E228" s="52"/>
      <c r="F228" s="27"/>
      <c r="G228" s="26"/>
      <c r="H228" s="13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3" t="s">
        <v>15</v>
      </c>
      <c r="C229" s="120" t="s">
        <v>151</v>
      </c>
      <c r="D229" s="38"/>
      <c r="E229" s="53" t="s">
        <v>9</v>
      </c>
      <c r="F229" s="25"/>
      <c r="G229" s="24"/>
      <c r="H229" s="19" t="b">
        <f>IF(D229="x",H$2,H$1)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3" t="s">
        <v>15</v>
      </c>
      <c r="C230" s="120" t="s">
        <v>152</v>
      </c>
      <c r="D230" s="38"/>
      <c r="E230" s="53" t="s">
        <v>10</v>
      </c>
      <c r="F230" s="20" t="str">
        <f>IF(H231=1,IF(H229=H$2,H229,""),"")</f>
        <v/>
      </c>
      <c r="G230" s="24"/>
      <c r="H230" s="19" t="str">
        <f>IF(E$234="comprobar",COUNTIF(D229:D233,"x"),"")</f>
        <v/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83" t="s">
        <v>15</v>
      </c>
      <c r="C231" s="120" t="s">
        <v>153</v>
      </c>
      <c r="D231" s="38"/>
      <c r="E231" s="53" t="s">
        <v>11</v>
      </c>
      <c r="F231" s="21" t="str">
        <f>IF(H231=-0.33,IF(H229=H$1,H229,""),"")</f>
        <v/>
      </c>
      <c r="G231" s="24"/>
      <c r="H231" s="22">
        <f t="shared" ref="H231" si="14">IF(H230=1,IF(H229=H$2,1,-0.33),0)</f>
        <v>0</v>
      </c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x14ac:dyDescent="0.25">
      <c r="B232" s="83" t="s">
        <v>15</v>
      </c>
      <c r="C232" s="24" t="s">
        <v>49</v>
      </c>
      <c r="D232" s="38"/>
      <c r="E232" s="53" t="s">
        <v>12</v>
      </c>
      <c r="F232" s="25"/>
      <c r="G232" s="24"/>
      <c r="H232" s="22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</row>
    <row r="233" spans="1:40" x14ac:dyDescent="0.25">
      <c r="B233" s="42"/>
      <c r="C233" s="120"/>
      <c r="D233" s="38"/>
      <c r="E233" s="53" t="s">
        <v>13</v>
      </c>
      <c r="F233" s="18"/>
      <c r="G233" s="24"/>
      <c r="H233" s="22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42"/>
      <c r="C234" s="24"/>
      <c r="D234" s="48"/>
      <c r="E234" s="54"/>
      <c r="F234" s="18"/>
      <c r="G234" s="24"/>
      <c r="H234" s="22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44"/>
      <c r="C235" s="16"/>
      <c r="D235" s="48"/>
      <c r="E235" s="57"/>
      <c r="F235" s="28" t="s">
        <v>8</v>
      </c>
      <c r="G235" s="17" t="s">
        <v>6</v>
      </c>
      <c r="H235" s="17" t="s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ht="19.5" x14ac:dyDescent="0.25">
      <c r="B236" s="44"/>
      <c r="C236" s="16"/>
      <c r="D236" s="67"/>
      <c r="E236" s="51"/>
      <c r="F236" s="29" t="str">
        <f>IF(E$234="comprobar",H218+H212+H206+H200+H194+H188+H182+H176+H170+H164+H225+H231,"")</f>
        <v/>
      </c>
      <c r="G236" s="17">
        <f>12/2</f>
        <v>6</v>
      </c>
      <c r="H236" s="17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ht="16.5" thickBot="1" x14ac:dyDescent="0.3">
      <c r="B237" s="45"/>
      <c r="C237" s="30"/>
      <c r="D237" s="31"/>
      <c r="E237" s="55"/>
      <c r="F237" s="32" t="str">
        <f>IF(F236&gt;G236,G235,H235)</f>
        <v>APROBADO</v>
      </c>
      <c r="G237" s="17"/>
      <c r="H237" s="17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ht="28.5" x14ac:dyDescent="0.45">
      <c r="B238" s="61" t="s">
        <v>198</v>
      </c>
      <c r="C238" s="115" t="s">
        <v>35</v>
      </c>
      <c r="D238" s="68"/>
      <c r="E238" s="68"/>
      <c r="F238" s="69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</row>
    <row r="239" spans="1:40" s="15" customFormat="1" ht="18.95" customHeight="1" x14ac:dyDescent="0.25">
      <c r="A239" s="4"/>
      <c r="B239" s="119" t="s">
        <v>18</v>
      </c>
      <c r="C239" s="84" t="s">
        <v>154</v>
      </c>
      <c r="D239" s="39"/>
      <c r="E239" s="52"/>
      <c r="F239" s="27"/>
      <c r="G239" s="13"/>
      <c r="H239" s="13"/>
    </row>
    <row r="240" spans="1:40" x14ac:dyDescent="0.25">
      <c r="B240" s="83" t="s">
        <v>15</v>
      </c>
      <c r="C240" s="120" t="s">
        <v>155</v>
      </c>
      <c r="D240" s="38"/>
      <c r="E240" s="53" t="s">
        <v>9</v>
      </c>
      <c r="F240" s="25"/>
      <c r="G240" s="17"/>
      <c r="H240" s="19" t="b">
        <f>IF(D240="x",H$2,H$1)</f>
        <v>0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3" t="s">
        <v>15</v>
      </c>
      <c r="C241" s="120" t="s">
        <v>156</v>
      </c>
      <c r="D241" s="38"/>
      <c r="E241" s="53" t="s">
        <v>10</v>
      </c>
      <c r="F241" s="20" t="str">
        <f>IF(H242=1,IF(H240=H$2,H240,""),"")</f>
        <v/>
      </c>
      <c r="G241" s="17"/>
      <c r="H241" s="19" t="str">
        <f>IF(E299="comprobar",COUNTIF(D240:D244,"x"),"")</f>
        <v/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3" t="s">
        <v>15</v>
      </c>
      <c r="C242" s="120" t="s">
        <v>157</v>
      </c>
      <c r="D242" s="38"/>
      <c r="E242" s="53" t="s">
        <v>11</v>
      </c>
      <c r="F242" s="21" t="str">
        <f>IF(H242=-0.33,IF(H240=H$1,H240,""),"")</f>
        <v/>
      </c>
      <c r="G242" s="17"/>
      <c r="H242" s="22">
        <f>IF(H241=1,IF(H240=H$2,1,-0.33),0)</f>
        <v>0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83" t="s">
        <v>15</v>
      </c>
      <c r="C243" s="24" t="s">
        <v>158</v>
      </c>
      <c r="D243" s="38"/>
      <c r="E243" s="53" t="s">
        <v>12</v>
      </c>
      <c r="F243" s="25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x14ac:dyDescent="0.25">
      <c r="B244" s="63"/>
      <c r="C244" s="120"/>
      <c r="D244" s="38"/>
      <c r="E244" s="53" t="s">
        <v>13</v>
      </c>
      <c r="F244" s="18"/>
      <c r="G244" s="17"/>
      <c r="H244" s="22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</row>
    <row r="245" spans="1:40" s="15" customFormat="1" x14ac:dyDescent="0.25">
      <c r="A245" s="4"/>
      <c r="B245" s="119" t="s">
        <v>28</v>
      </c>
      <c r="C245" s="84" t="s">
        <v>159</v>
      </c>
      <c r="D245" s="39"/>
      <c r="E245" s="52"/>
      <c r="F245" s="27"/>
      <c r="G245" s="13"/>
      <c r="H245" s="13"/>
    </row>
    <row r="246" spans="1:40" x14ac:dyDescent="0.25">
      <c r="B246" s="83" t="s">
        <v>15</v>
      </c>
      <c r="C246" s="120" t="s">
        <v>160</v>
      </c>
      <c r="D246" s="38"/>
      <c r="E246" s="53" t="s">
        <v>9</v>
      </c>
      <c r="F246" s="25"/>
      <c r="G246" s="17"/>
      <c r="H246" s="19" t="b">
        <f>IF(D247="x",H$2,H$1)</f>
        <v>0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3" t="s">
        <v>15</v>
      </c>
      <c r="C247" s="120" t="s">
        <v>161</v>
      </c>
      <c r="D247" s="38"/>
      <c r="E247" s="53" t="s">
        <v>10</v>
      </c>
      <c r="F247" s="20" t="str">
        <f>IF(H248=1,IF(H246=H$2,H246,""),"")</f>
        <v/>
      </c>
      <c r="G247" s="17"/>
      <c r="H247" s="19" t="str">
        <f>IF(E$299="comprobar",COUNTIF(D246:D250,"x"),"")</f>
        <v/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3" t="s">
        <v>15</v>
      </c>
      <c r="C248" s="120" t="s">
        <v>162</v>
      </c>
      <c r="D248" s="38"/>
      <c r="E248" s="53" t="s">
        <v>11</v>
      </c>
      <c r="F248" s="21" t="str">
        <f>IF(H248=-0.33,IF(H246=H$1,H246,""),"")</f>
        <v/>
      </c>
      <c r="G248" s="17"/>
      <c r="H248" s="22">
        <f t="shared" ref="H248" si="15">IF(H247=1,IF(H246=H$2,1,-0.33),0)</f>
        <v>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83" t="s">
        <v>15</v>
      </c>
      <c r="C249" s="24" t="s">
        <v>49</v>
      </c>
      <c r="D249" s="38"/>
      <c r="E249" s="53" t="s">
        <v>12</v>
      </c>
      <c r="F249" s="25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x14ac:dyDescent="0.25">
      <c r="B250" s="63"/>
      <c r="C250" s="120"/>
      <c r="D250" s="38"/>
      <c r="E250" s="53" t="s">
        <v>13</v>
      </c>
      <c r="F250" s="18"/>
      <c r="G250" s="17"/>
      <c r="H250" s="22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</row>
    <row r="251" spans="1:40" s="15" customFormat="1" x14ac:dyDescent="0.25">
      <c r="A251" s="4"/>
      <c r="B251" s="119" t="s">
        <v>19</v>
      </c>
      <c r="C251" s="84" t="s">
        <v>163</v>
      </c>
      <c r="D251" s="39"/>
      <c r="E251" s="52"/>
      <c r="F251" s="27"/>
      <c r="G251" s="13"/>
      <c r="H251" s="13"/>
    </row>
    <row r="252" spans="1:40" x14ac:dyDescent="0.25">
      <c r="B252" s="83" t="s">
        <v>15</v>
      </c>
      <c r="C252" s="120" t="s">
        <v>164</v>
      </c>
      <c r="D252" s="38"/>
      <c r="E252" s="53" t="s">
        <v>9</v>
      </c>
      <c r="F252" s="25"/>
      <c r="G252" s="17"/>
      <c r="H252" s="19" t="b">
        <f>IF(D254="x",H$2,H$1)</f>
        <v>0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3" t="s">
        <v>15</v>
      </c>
      <c r="C253" s="120" t="s">
        <v>165</v>
      </c>
      <c r="D253" s="38"/>
      <c r="E253" s="53" t="s">
        <v>10</v>
      </c>
      <c r="F253" s="20" t="str">
        <f>IF(H254=1,IF(H252=H$2,H252,""),"")</f>
        <v/>
      </c>
      <c r="G253" s="17"/>
      <c r="H253" s="19" t="str">
        <f>IF(E$299="comprobar",COUNTIF(D252:D256,"x"),"")</f>
        <v/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3" t="s">
        <v>15</v>
      </c>
      <c r="C254" s="120" t="s">
        <v>166</v>
      </c>
      <c r="D254" s="38"/>
      <c r="E254" s="53" t="s">
        <v>11</v>
      </c>
      <c r="F254" s="21" t="str">
        <f>IF(H254=-0.33,IF(H252=H$1,H252,""),"")</f>
        <v/>
      </c>
      <c r="G254" s="17"/>
      <c r="H254" s="22">
        <f t="shared" ref="H254" si="16">IF(H253=1,IF(H252=H$2,1,-0.33),0)</f>
        <v>0</v>
      </c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83" t="s">
        <v>15</v>
      </c>
      <c r="C255" s="24" t="s">
        <v>49</v>
      </c>
      <c r="D255" s="38"/>
      <c r="E255" s="53" t="s">
        <v>12</v>
      </c>
      <c r="F255" s="25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x14ac:dyDescent="0.25">
      <c r="B256" s="63"/>
      <c r="C256" s="120"/>
      <c r="D256" s="38"/>
      <c r="E256" s="53" t="s">
        <v>13</v>
      </c>
      <c r="F256" s="18"/>
      <c r="G256" s="17"/>
      <c r="H256" s="22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</row>
    <row r="257" spans="1:40" s="15" customFormat="1" x14ac:dyDescent="0.25">
      <c r="A257" s="4"/>
      <c r="B257" s="119" t="s">
        <v>20</v>
      </c>
      <c r="C257" s="84" t="s">
        <v>167</v>
      </c>
      <c r="D257" s="39"/>
      <c r="E257" s="52"/>
      <c r="F257" s="27"/>
      <c r="G257" s="13"/>
      <c r="H257" s="13"/>
    </row>
    <row r="258" spans="1:40" x14ac:dyDescent="0.25">
      <c r="B258" s="83" t="s">
        <v>15</v>
      </c>
      <c r="C258" s="120" t="s">
        <v>168</v>
      </c>
      <c r="D258" s="38"/>
      <c r="E258" s="53" t="s">
        <v>9</v>
      </c>
      <c r="F258" s="25"/>
      <c r="G258" s="17"/>
      <c r="H258" s="19" t="b">
        <f>IF(D259="x",H$2,H$1)</f>
        <v>0</v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3" t="s">
        <v>15</v>
      </c>
      <c r="C259" s="120" t="s">
        <v>169</v>
      </c>
      <c r="D259" s="38"/>
      <c r="E259" s="53" t="s">
        <v>10</v>
      </c>
      <c r="F259" s="20" t="str">
        <f>IF(H260=1,IF(H258=H$2,H258,""),"")</f>
        <v/>
      </c>
      <c r="G259" s="17"/>
      <c r="H259" s="19" t="str">
        <f>IF(E$299="comprobar",COUNTIF(D258:D262,"x"),"")</f>
        <v/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3" t="s">
        <v>15</v>
      </c>
      <c r="C260" s="120" t="s">
        <v>170</v>
      </c>
      <c r="D260" s="38"/>
      <c r="E260" s="53" t="s">
        <v>11</v>
      </c>
      <c r="F260" s="21" t="str">
        <f>IF(H260=-0.33,IF(H258=H$1,H258,""),"")</f>
        <v/>
      </c>
      <c r="G260" s="17"/>
      <c r="H260" s="22">
        <f t="shared" ref="H260" si="17">IF(H259=1,IF(H258=H$2,1,-0.33),0)</f>
        <v>0</v>
      </c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83" t="s">
        <v>15</v>
      </c>
      <c r="C261" s="24" t="s">
        <v>49</v>
      </c>
      <c r="D261" s="38"/>
      <c r="E261" s="53" t="s">
        <v>12</v>
      </c>
      <c r="F261" s="25"/>
      <c r="G261" s="17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63"/>
      <c r="C262" s="120"/>
      <c r="D262" s="38"/>
      <c r="E262" s="53" t="s">
        <v>13</v>
      </c>
      <c r="F262" s="18"/>
      <c r="G262" s="17"/>
      <c r="H262" s="22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s="15" customFormat="1" x14ac:dyDescent="0.25">
      <c r="A263" s="4"/>
      <c r="B263" s="119" t="s">
        <v>21</v>
      </c>
      <c r="C263" s="84" t="s">
        <v>171</v>
      </c>
      <c r="D263" s="39"/>
      <c r="E263" s="52"/>
      <c r="F263" s="27"/>
      <c r="G263" s="13"/>
      <c r="H263" s="13"/>
    </row>
    <row r="264" spans="1:40" x14ac:dyDescent="0.25">
      <c r="B264" s="83" t="s">
        <v>15</v>
      </c>
      <c r="C264" s="120" t="s">
        <v>172</v>
      </c>
      <c r="D264" s="38"/>
      <c r="E264" s="53" t="s">
        <v>9</v>
      </c>
      <c r="F264" s="25"/>
      <c r="G264" s="17"/>
      <c r="H264" s="19" t="b">
        <f>IF(D264="x",H$2,H$1)</f>
        <v>0</v>
      </c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x14ac:dyDescent="0.25">
      <c r="B265" s="83" t="s">
        <v>15</v>
      </c>
      <c r="C265" s="120" t="s">
        <v>173</v>
      </c>
      <c r="D265" s="38"/>
      <c r="E265" s="53" t="s">
        <v>10</v>
      </c>
      <c r="F265" s="20" t="str">
        <f>IF(H266=1,IF(H264=H$2,H264,""),"")</f>
        <v/>
      </c>
      <c r="G265" s="17"/>
      <c r="H265" s="19" t="str">
        <f>IF(E$299="comprobar",COUNTIF(D264:D268,"x"),"")</f>
        <v/>
      </c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x14ac:dyDescent="0.25">
      <c r="B266" s="83" t="s">
        <v>15</v>
      </c>
      <c r="C266" s="120" t="s">
        <v>174</v>
      </c>
      <c r="D266" s="38"/>
      <c r="E266" s="53" t="s">
        <v>11</v>
      </c>
      <c r="F266" s="21" t="str">
        <f>IF(H266=-0.33,IF(H264=H$1,H264,""),"")</f>
        <v/>
      </c>
      <c r="G266" s="17"/>
      <c r="H266" s="22">
        <f t="shared" ref="H266" si="18">IF(H265=1,IF(H264=H$2,1,-0.33),0)</f>
        <v>0</v>
      </c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</row>
    <row r="267" spans="1:40" x14ac:dyDescent="0.25">
      <c r="B267" s="83" t="s">
        <v>15</v>
      </c>
      <c r="C267" s="24" t="s">
        <v>49</v>
      </c>
      <c r="D267" s="38"/>
      <c r="E267" s="53" t="s">
        <v>12</v>
      </c>
      <c r="F267" s="25"/>
      <c r="G267" s="17"/>
      <c r="H267" s="22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</row>
    <row r="268" spans="1:40" x14ac:dyDescent="0.25">
      <c r="B268" s="63"/>
      <c r="C268" s="120"/>
      <c r="D268" s="38"/>
      <c r="E268" s="53" t="s">
        <v>13</v>
      </c>
      <c r="F268" s="18"/>
      <c r="G268" s="17"/>
      <c r="H268" s="22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</row>
    <row r="269" spans="1:40" s="15" customFormat="1" x14ac:dyDescent="0.25">
      <c r="A269" s="4"/>
      <c r="B269" s="119" t="s">
        <v>22</v>
      </c>
      <c r="C269" s="84" t="s">
        <v>175</v>
      </c>
      <c r="D269" s="39"/>
      <c r="E269" s="52"/>
      <c r="F269" s="27"/>
      <c r="G269" s="13"/>
      <c r="H269" s="13"/>
    </row>
    <row r="270" spans="1:40" x14ac:dyDescent="0.25">
      <c r="B270" s="83" t="s">
        <v>15</v>
      </c>
      <c r="C270" s="120" t="s">
        <v>176</v>
      </c>
      <c r="D270" s="38"/>
      <c r="E270" s="53" t="s">
        <v>9</v>
      </c>
      <c r="F270" s="25"/>
      <c r="G270" s="17"/>
      <c r="H270" s="19" t="b">
        <f>IF(D271="x",H$2,H$1)</f>
        <v>0</v>
      </c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</row>
    <row r="271" spans="1:40" x14ac:dyDescent="0.25">
      <c r="B271" s="83" t="s">
        <v>15</v>
      </c>
      <c r="C271" s="120" t="s">
        <v>177</v>
      </c>
      <c r="D271" s="38"/>
      <c r="E271" s="53" t="s">
        <v>10</v>
      </c>
      <c r="F271" s="20" t="str">
        <f>IF(H272=1,IF(H270=H$2,H270,""),"")</f>
        <v/>
      </c>
      <c r="G271" s="17"/>
      <c r="H271" s="19" t="str">
        <f>IF(E$299="comprobar",COUNTIF(D270:D274,"x"),"")</f>
        <v/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</row>
    <row r="272" spans="1:40" x14ac:dyDescent="0.25">
      <c r="B272" s="83" t="s">
        <v>15</v>
      </c>
      <c r="C272" s="120" t="s">
        <v>178</v>
      </c>
      <c r="D272" s="38"/>
      <c r="E272" s="53" t="s">
        <v>11</v>
      </c>
      <c r="F272" s="21" t="str">
        <f>IF(H272=-0.33,IF(H270=H$1,H270,""),"")</f>
        <v/>
      </c>
      <c r="G272" s="17"/>
      <c r="H272" s="22">
        <f t="shared" ref="H272" si="19">IF(H271=1,IF(H270=H$2,1,-0.33),0)</f>
        <v>0</v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</row>
    <row r="273" spans="1:40" x14ac:dyDescent="0.25">
      <c r="B273" s="83" t="s">
        <v>15</v>
      </c>
      <c r="C273" s="24" t="s">
        <v>49</v>
      </c>
      <c r="D273" s="38"/>
      <c r="E273" s="53" t="s">
        <v>12</v>
      </c>
      <c r="F273" s="25"/>
      <c r="G273" s="17"/>
      <c r="H273" s="22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63"/>
      <c r="C274" s="120"/>
      <c r="D274" s="38"/>
      <c r="E274" s="53" t="s">
        <v>13</v>
      </c>
      <c r="F274" s="18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s="15" customFormat="1" x14ac:dyDescent="0.25">
      <c r="A275" s="4"/>
      <c r="B275" s="119" t="s">
        <v>23</v>
      </c>
      <c r="C275" s="84" t="s">
        <v>179</v>
      </c>
      <c r="D275" s="39"/>
      <c r="E275" s="52"/>
      <c r="F275" s="27"/>
      <c r="G275" s="13"/>
      <c r="H275" s="13"/>
    </row>
    <row r="276" spans="1:40" x14ac:dyDescent="0.25">
      <c r="B276" s="83" t="s">
        <v>15</v>
      </c>
      <c r="C276" s="120" t="s">
        <v>180</v>
      </c>
      <c r="D276" s="38"/>
      <c r="E276" s="53" t="s">
        <v>9</v>
      </c>
      <c r="F276" s="25"/>
      <c r="G276" s="17"/>
      <c r="H276" s="19" t="b">
        <f>IF(D277="x",H$2,H$1)</f>
        <v>0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x14ac:dyDescent="0.25">
      <c r="B277" s="83" t="s">
        <v>15</v>
      </c>
      <c r="C277" s="120" t="s">
        <v>181</v>
      </c>
      <c r="D277" s="38"/>
      <c r="E277" s="53" t="s">
        <v>10</v>
      </c>
      <c r="F277" s="20" t="str">
        <f>IF(H278=1,IF(H276=H$2,H276,""),"")</f>
        <v/>
      </c>
      <c r="G277" s="17"/>
      <c r="H277" s="19" t="str">
        <f>IF(E$299="comprobar",COUNTIF(D276:D280,"x"),"")</f>
        <v/>
      </c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</row>
    <row r="278" spans="1:40" x14ac:dyDescent="0.25">
      <c r="B278" s="83" t="s">
        <v>15</v>
      </c>
      <c r="C278" s="120" t="s">
        <v>182</v>
      </c>
      <c r="D278" s="38"/>
      <c r="E278" s="53" t="s">
        <v>11</v>
      </c>
      <c r="F278" s="21" t="str">
        <f>IF(H278=-0.33,IF(H276=H$1,H276,""),"")</f>
        <v/>
      </c>
      <c r="G278" s="17"/>
      <c r="H278" s="22">
        <f t="shared" ref="H278" si="20">IF(H277=1,IF(H276=H$2,1,-0.33),0)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x14ac:dyDescent="0.25">
      <c r="B279" s="83" t="s">
        <v>15</v>
      </c>
      <c r="C279" s="24" t="s">
        <v>49</v>
      </c>
      <c r="D279" s="38"/>
      <c r="E279" s="53" t="s">
        <v>12</v>
      </c>
      <c r="F279" s="25"/>
      <c r="G279" s="17"/>
      <c r="H279" s="22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</row>
    <row r="280" spans="1:40" x14ac:dyDescent="0.25">
      <c r="B280" s="63"/>
      <c r="C280" s="120"/>
      <c r="D280" s="38"/>
      <c r="E280" s="53" t="s">
        <v>13</v>
      </c>
      <c r="F280" s="18"/>
      <c r="G280" s="17"/>
      <c r="H280" s="22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15" customFormat="1" x14ac:dyDescent="0.25">
      <c r="A281" s="4"/>
      <c r="B281" s="119" t="s">
        <v>24</v>
      </c>
      <c r="C281" s="84" t="s">
        <v>183</v>
      </c>
      <c r="D281" s="39"/>
      <c r="E281" s="52"/>
      <c r="F281" s="27"/>
      <c r="G281" s="13"/>
      <c r="H281" s="13"/>
    </row>
    <row r="282" spans="1:40" x14ac:dyDescent="0.25">
      <c r="B282" s="83" t="s">
        <v>15</v>
      </c>
      <c r="C282" s="120" t="s">
        <v>184</v>
      </c>
      <c r="D282" s="38"/>
      <c r="E282" s="53" t="s">
        <v>9</v>
      </c>
      <c r="F282" s="25"/>
      <c r="G282" s="17"/>
      <c r="H282" s="19" t="b">
        <f>IF(D285="x",H$2,H$1)</f>
        <v>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</row>
    <row r="283" spans="1:40" x14ac:dyDescent="0.25">
      <c r="B283" s="83" t="s">
        <v>15</v>
      </c>
      <c r="C283" s="120" t="s">
        <v>185</v>
      </c>
      <c r="D283" s="38"/>
      <c r="E283" s="53" t="s">
        <v>10</v>
      </c>
      <c r="F283" s="20" t="str">
        <f>IF(H284=1,IF(H282=H$2,H282,""),"")</f>
        <v/>
      </c>
      <c r="G283" s="17"/>
      <c r="H283" s="19" t="str">
        <f>IF(E$299="comprobar",COUNTIF(D282:D286,"x"),"")</f>
        <v/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</row>
    <row r="284" spans="1:40" x14ac:dyDescent="0.25">
      <c r="B284" s="83" t="s">
        <v>15</v>
      </c>
      <c r="C284" s="120" t="s">
        <v>186</v>
      </c>
      <c r="D284" s="38"/>
      <c r="E284" s="53" t="s">
        <v>11</v>
      </c>
      <c r="F284" s="21" t="str">
        <f>IF(H284=-0.33,IF(H282=H$1,H282,""),"")</f>
        <v/>
      </c>
      <c r="G284" s="17"/>
      <c r="H284" s="22">
        <f t="shared" ref="H284" si="21">IF(H283=1,IF(H282=H$2,1,-0.33),0)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x14ac:dyDescent="0.25">
      <c r="B285" s="83" t="s">
        <v>15</v>
      </c>
      <c r="C285" s="24" t="s">
        <v>49</v>
      </c>
      <c r="D285" s="38"/>
      <c r="E285" s="53" t="s">
        <v>12</v>
      </c>
      <c r="F285" s="25"/>
      <c r="G285" s="17"/>
      <c r="H285" s="22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</row>
    <row r="286" spans="1:40" x14ac:dyDescent="0.25">
      <c r="B286" s="63"/>
      <c r="C286" s="120"/>
      <c r="D286" s="38"/>
      <c r="E286" s="53" t="s">
        <v>13</v>
      </c>
      <c r="F286" s="18"/>
      <c r="G286" s="17"/>
      <c r="H286" s="22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15" customFormat="1" x14ac:dyDescent="0.25">
      <c r="A287" s="4"/>
      <c r="B287" s="119" t="s">
        <v>29</v>
      </c>
      <c r="C287" s="84" t="s">
        <v>187</v>
      </c>
      <c r="D287" s="39"/>
      <c r="E287" s="52"/>
      <c r="F287" s="27"/>
      <c r="G287" s="13"/>
      <c r="H287" s="13"/>
    </row>
    <row r="288" spans="1:40" x14ac:dyDescent="0.25">
      <c r="B288" s="83" t="s">
        <v>15</v>
      </c>
      <c r="C288" s="120" t="s">
        <v>188</v>
      </c>
      <c r="D288" s="38"/>
      <c r="E288" s="53" t="s">
        <v>9</v>
      </c>
      <c r="F288" s="25"/>
      <c r="G288" s="17"/>
      <c r="H288" s="19" t="b">
        <f>IF(D289="x",H$2,H$1)</f>
        <v>0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</row>
    <row r="289" spans="1:40" x14ac:dyDescent="0.25">
      <c r="B289" s="83" t="s">
        <v>15</v>
      </c>
      <c r="C289" s="120" t="s">
        <v>189</v>
      </c>
      <c r="D289" s="38"/>
      <c r="E289" s="53" t="s">
        <v>10</v>
      </c>
      <c r="F289" s="20" t="str">
        <f>IF(H290=1,IF(H288=H$2,H288,""),"")</f>
        <v/>
      </c>
      <c r="G289" s="17"/>
      <c r="H289" s="19" t="str">
        <f>IF(E$299="comprobar",COUNTIF(D288:D292,"x"),"")</f>
        <v/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</row>
    <row r="290" spans="1:40" x14ac:dyDescent="0.25">
      <c r="B290" s="83" t="s">
        <v>15</v>
      </c>
      <c r="C290" s="120" t="s">
        <v>190</v>
      </c>
      <c r="D290" s="38"/>
      <c r="E290" s="53" t="s">
        <v>11</v>
      </c>
      <c r="F290" s="21" t="str">
        <f>IF(H290=-0.33,IF(H288=H$1,H288,""),"")</f>
        <v/>
      </c>
      <c r="G290" s="17"/>
      <c r="H290" s="22">
        <f t="shared" ref="H290" si="22">IF(H289=1,IF(H288=H$2,1,-0.33),0)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x14ac:dyDescent="0.25">
      <c r="B291" s="83" t="s">
        <v>15</v>
      </c>
      <c r="C291" s="24" t="s">
        <v>49</v>
      </c>
      <c r="D291" s="38"/>
      <c r="E291" s="53" t="s">
        <v>12</v>
      </c>
      <c r="F291" s="25"/>
      <c r="G291" s="17"/>
      <c r="H291" s="22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</row>
    <row r="292" spans="1:40" x14ac:dyDescent="0.25">
      <c r="B292" s="63"/>
      <c r="C292" s="120"/>
      <c r="D292" s="38"/>
      <c r="E292" s="53" t="s">
        <v>13</v>
      </c>
      <c r="F292" s="18"/>
      <c r="G292" s="17"/>
      <c r="H292" s="22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s="15" customFormat="1" ht="29.25" customHeight="1" x14ac:dyDescent="0.25">
      <c r="A293" s="4"/>
      <c r="B293" s="119" t="s">
        <v>27</v>
      </c>
      <c r="C293" s="84" t="s">
        <v>191</v>
      </c>
      <c r="D293" s="39"/>
      <c r="E293" s="52"/>
      <c r="F293" s="27"/>
      <c r="G293" s="26"/>
      <c r="H293" s="13"/>
    </row>
    <row r="294" spans="1:40" x14ac:dyDescent="0.25">
      <c r="B294" s="83" t="s">
        <v>15</v>
      </c>
      <c r="C294" s="120" t="s">
        <v>192</v>
      </c>
      <c r="D294" s="38"/>
      <c r="E294" s="53" t="s">
        <v>9</v>
      </c>
      <c r="F294" s="25"/>
      <c r="G294" s="24"/>
      <c r="H294" s="19" t="b">
        <f>IF(D296="x",H$2,H$1)</f>
        <v>0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x14ac:dyDescent="0.25">
      <c r="B295" s="83" t="s">
        <v>15</v>
      </c>
      <c r="C295" s="120" t="s">
        <v>193</v>
      </c>
      <c r="D295" s="38"/>
      <c r="E295" s="53" t="s">
        <v>10</v>
      </c>
      <c r="F295" s="20" t="str">
        <f>IF(H296=1,IF(H294=H$2,H294,""),"")</f>
        <v/>
      </c>
      <c r="G295" s="24"/>
      <c r="H295" s="19" t="str">
        <f>IF(E$299="comprobar",COUNTIF(D294:D298,"x"),"")</f>
        <v/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</row>
    <row r="296" spans="1:40" x14ac:dyDescent="0.25">
      <c r="B296" s="83" t="s">
        <v>15</v>
      </c>
      <c r="C296" s="127">
        <v>24</v>
      </c>
      <c r="D296" s="38"/>
      <c r="E296" s="53" t="s">
        <v>11</v>
      </c>
      <c r="F296" s="21" t="str">
        <f>IF(H296=-0.33,IF(H294=H$1,H294,""),"")</f>
        <v/>
      </c>
      <c r="G296" s="24"/>
      <c r="H296" s="22">
        <f t="shared" ref="H296" si="23">IF(H295=1,IF(H294=H$2,1,-0.33),0)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x14ac:dyDescent="0.25">
      <c r="B297" s="83" t="s">
        <v>15</v>
      </c>
      <c r="C297" s="24" t="s">
        <v>49</v>
      </c>
      <c r="D297" s="38"/>
      <c r="E297" s="53" t="s">
        <v>12</v>
      </c>
      <c r="F297" s="25"/>
      <c r="G297" s="24"/>
      <c r="H297" s="22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</row>
    <row r="298" spans="1:40" x14ac:dyDescent="0.25">
      <c r="B298" s="63"/>
      <c r="C298" s="120"/>
      <c r="D298" s="38"/>
      <c r="E298" s="53" t="s">
        <v>13</v>
      </c>
      <c r="F298" s="18"/>
      <c r="G298" s="24"/>
      <c r="H298" s="22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44"/>
      <c r="C299" s="41"/>
      <c r="D299" s="48"/>
      <c r="E299" s="54"/>
      <c r="F299" s="18"/>
      <c r="G299" s="17"/>
      <c r="H299" s="17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44"/>
      <c r="C300" s="16"/>
      <c r="D300" s="48"/>
      <c r="E300" s="57"/>
      <c r="F300" s="28" t="s">
        <v>8</v>
      </c>
      <c r="G300" s="17" t="s">
        <v>6</v>
      </c>
      <c r="H300" s="17" t="s">
        <v>7</v>
      </c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ht="19.5" x14ac:dyDescent="0.25">
      <c r="B301" s="44"/>
      <c r="C301" s="16"/>
      <c r="D301" s="67"/>
      <c r="E301" s="51"/>
      <c r="F301" s="29" t="str">
        <f>IF(E299="comprobar",H296+H290+H284+H278+H272+H266+H260+H254+H248+H242,"")</f>
        <v/>
      </c>
      <c r="G301" s="17">
        <f>10/2</f>
        <v>5</v>
      </c>
      <c r="H301" s="17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</row>
    <row r="302" spans="1:40" ht="16.5" thickBot="1" x14ac:dyDescent="0.3">
      <c r="B302" s="45"/>
      <c r="C302" s="30"/>
      <c r="D302" s="31"/>
      <c r="E302" s="55"/>
      <c r="F302" s="32" t="str">
        <f>IF(F301&gt;G301,G300,H300)</f>
        <v>APROBADO</v>
      </c>
      <c r="G302" s="17"/>
      <c r="H302" s="17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4" customFormat="1" ht="28.5" hidden="1" x14ac:dyDescent="0.45">
      <c r="B303" s="90"/>
      <c r="C303" s="87"/>
      <c r="D303" s="88"/>
      <c r="E303" s="88"/>
      <c r="F303" s="88"/>
    </row>
    <row r="304" spans="1:40" s="4" customFormat="1" hidden="1" x14ac:dyDescent="0.25">
      <c r="B304" s="17"/>
      <c r="C304" s="17"/>
      <c r="D304" s="48"/>
      <c r="E304" s="53"/>
      <c r="F304" s="91"/>
      <c r="G304" s="17"/>
      <c r="H304" s="17"/>
    </row>
    <row r="305" spans="1:40" s="4" customFormat="1" hidden="1" x14ac:dyDescent="0.25">
      <c r="B305" s="92"/>
      <c r="C305" s="16"/>
      <c r="D305" s="48"/>
      <c r="E305" s="53"/>
      <c r="F305" s="91"/>
      <c r="G305" s="17"/>
      <c r="H305" s="89"/>
    </row>
    <row r="306" spans="1:40" s="74" customFormat="1" ht="14.1" hidden="1" customHeight="1" thickBot="1" x14ac:dyDescent="0.3">
      <c r="B306" s="93"/>
      <c r="C306" s="93"/>
      <c r="D306" s="94"/>
      <c r="E306" s="95"/>
      <c r="F306" s="96"/>
      <c r="G306" s="73"/>
      <c r="H306" s="89"/>
    </row>
    <row r="307" spans="1:40" s="15" customFormat="1" ht="29.1" customHeight="1" x14ac:dyDescent="0.45">
      <c r="A307" s="4"/>
      <c r="B307" s="61" t="s">
        <v>198</v>
      </c>
      <c r="C307" s="115" t="s">
        <v>36</v>
      </c>
      <c r="D307" s="62"/>
      <c r="E307" s="62"/>
      <c r="F307" s="86"/>
      <c r="G307" s="17"/>
      <c r="H307" s="98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</row>
    <row r="308" spans="1:40" s="15" customFormat="1" x14ac:dyDescent="0.25">
      <c r="A308" s="4"/>
      <c r="B308" s="119" t="s">
        <v>18</v>
      </c>
      <c r="C308" s="84" t="s">
        <v>200</v>
      </c>
      <c r="D308" s="39"/>
      <c r="E308" s="52"/>
      <c r="F308" s="27"/>
      <c r="G308" s="17"/>
      <c r="H308" s="89" t="b">
        <f>IF(D310="x",H$2,H$1)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</row>
    <row r="309" spans="1:40" s="15" customFormat="1" x14ac:dyDescent="0.25">
      <c r="A309" s="4"/>
      <c r="B309" s="83" t="s">
        <v>15</v>
      </c>
      <c r="C309" s="120" t="s">
        <v>201</v>
      </c>
      <c r="D309" s="101"/>
      <c r="E309" s="104" t="s">
        <v>9</v>
      </c>
      <c r="F309" s="103" t="str">
        <f>IF(H310=1,IF(H308=H$2,H308,""),"")</f>
        <v/>
      </c>
      <c r="G309" s="17"/>
      <c r="H309" s="89" t="str">
        <f>IF(E$380="comprobar",COUNTIF(D309:D313,"x"),"")</f>
        <v/>
      </c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</row>
    <row r="310" spans="1:40" x14ac:dyDescent="0.25">
      <c r="B310" s="83" t="s">
        <v>15</v>
      </c>
      <c r="C310" s="120" t="s">
        <v>202</v>
      </c>
      <c r="D310" s="101"/>
      <c r="E310" s="104" t="s">
        <v>10</v>
      </c>
      <c r="F310" s="105" t="str">
        <f>IF(H310=-0.33,IF(H308=H$1,H308,""),"")</f>
        <v/>
      </c>
      <c r="G310" s="17"/>
      <c r="H310" s="22">
        <f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3" t="s">
        <v>15</v>
      </c>
      <c r="C311" s="127" t="s">
        <v>203</v>
      </c>
      <c r="D311" s="101"/>
      <c r="E311" s="104" t="s">
        <v>11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83" t="s">
        <v>15</v>
      </c>
      <c r="C312" s="24" t="s">
        <v>49</v>
      </c>
      <c r="D312" s="101"/>
      <c r="E312" s="104" t="s">
        <v>12</v>
      </c>
      <c r="F312" s="106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x14ac:dyDescent="0.25">
      <c r="B313" s="83"/>
      <c r="C313" s="120"/>
      <c r="D313" s="101"/>
      <c r="E313" s="104" t="s">
        <v>13</v>
      </c>
      <c r="F313" s="106"/>
      <c r="G313" s="17"/>
      <c r="H313" s="22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</row>
    <row r="314" spans="1:40" s="15" customFormat="1" x14ac:dyDescent="0.25">
      <c r="A314" s="4"/>
      <c r="B314" s="119" t="s">
        <v>17</v>
      </c>
      <c r="C314" s="84" t="s">
        <v>200</v>
      </c>
      <c r="D314" s="39"/>
      <c r="E314" s="52"/>
      <c r="F314" s="27"/>
      <c r="G314" s="13"/>
      <c r="H314" s="13"/>
    </row>
    <row r="315" spans="1:40" x14ac:dyDescent="0.25">
      <c r="B315" s="83" t="s">
        <v>15</v>
      </c>
      <c r="C315" s="120" t="s">
        <v>204</v>
      </c>
      <c r="D315" s="101"/>
      <c r="E315" s="104" t="s">
        <v>9</v>
      </c>
      <c r="F315" s="25"/>
      <c r="G315" s="17"/>
      <c r="H315" s="89" t="b">
        <f>IF(D316="x",H$2,H$1)</f>
        <v>0</v>
      </c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</row>
    <row r="316" spans="1:40" s="15" customFormat="1" x14ac:dyDescent="0.25">
      <c r="A316" s="4"/>
      <c r="B316" s="83" t="s">
        <v>15</v>
      </c>
      <c r="C316" s="120" t="s">
        <v>205</v>
      </c>
      <c r="D316" s="101"/>
      <c r="E316" s="104" t="s">
        <v>10</v>
      </c>
      <c r="F316" s="103" t="str">
        <f>IF(H317=1,IF(H315=H$2,H315,""),"")</f>
        <v/>
      </c>
      <c r="G316" s="17"/>
      <c r="H316" s="19" t="str">
        <f>IF(E$380="comprobar",COUNTIF(D315:D319,"x"),"")</f>
        <v/>
      </c>
      <c r="I316" s="4"/>
      <c r="J316" s="4"/>
      <c r="K316" s="4"/>
      <c r="L316" s="4"/>
      <c r="M316" s="4"/>
      <c r="N316" s="4"/>
      <c r="O316" s="4"/>
    </row>
    <row r="317" spans="1:40" x14ac:dyDescent="0.25">
      <c r="B317" s="83" t="s">
        <v>15</v>
      </c>
      <c r="C317" s="127" t="s">
        <v>206</v>
      </c>
      <c r="D317" s="101"/>
      <c r="E317" s="104" t="s">
        <v>11</v>
      </c>
      <c r="F317" s="105" t="str">
        <f>IF(H317=-0.33,IF(H315=H$1,H315,""),"")</f>
        <v/>
      </c>
      <c r="G317" s="17"/>
      <c r="H317" s="22">
        <f t="shared" ref="H317" si="24">IF(H316=1,IF(H315=H$2,1,-0.33),0)</f>
        <v>0</v>
      </c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s="4" customFormat="1" x14ac:dyDescent="0.25">
      <c r="B318" s="83" t="s">
        <v>15</v>
      </c>
      <c r="C318" s="24" t="s">
        <v>49</v>
      </c>
      <c r="D318" s="101"/>
      <c r="E318" s="104" t="s">
        <v>12</v>
      </c>
      <c r="F318" s="25"/>
      <c r="G318" s="17"/>
      <c r="H318" s="98"/>
    </row>
    <row r="319" spans="1:40" s="4" customFormat="1" x14ac:dyDescent="0.25">
      <c r="B319" s="83"/>
      <c r="C319" s="120"/>
      <c r="D319" s="101"/>
      <c r="E319" s="104" t="s">
        <v>13</v>
      </c>
      <c r="F319" s="25"/>
      <c r="G319" s="17"/>
      <c r="H319" s="98"/>
    </row>
    <row r="320" spans="1:40" s="15" customFormat="1" x14ac:dyDescent="0.25">
      <c r="A320" s="4"/>
      <c r="B320" s="119" t="s">
        <v>19</v>
      </c>
      <c r="C320" s="84" t="s">
        <v>200</v>
      </c>
      <c r="D320" s="39"/>
      <c r="E320" s="52"/>
      <c r="F320" s="27"/>
      <c r="G320" s="13"/>
      <c r="H320" s="13"/>
    </row>
    <row r="321" spans="1:40" x14ac:dyDescent="0.25">
      <c r="B321" s="83" t="s">
        <v>15</v>
      </c>
      <c r="C321" s="120" t="s">
        <v>207</v>
      </c>
      <c r="D321" s="101"/>
      <c r="E321" s="104" t="s">
        <v>9</v>
      </c>
      <c r="F321" s="25"/>
      <c r="G321" s="17"/>
      <c r="H321" s="89" t="b">
        <f>IF(D321="x",H$2,H$1)</f>
        <v>0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</row>
    <row r="322" spans="1:40" s="15" customFormat="1" x14ac:dyDescent="0.25">
      <c r="A322" s="4"/>
      <c r="B322" s="83" t="s">
        <v>15</v>
      </c>
      <c r="C322" s="120" t="s">
        <v>208</v>
      </c>
      <c r="D322" s="101"/>
      <c r="E322" s="104" t="s">
        <v>10</v>
      </c>
      <c r="F322" s="103" t="str">
        <f>IF(H323=1,IF(H321=H$2,H321,""),"")</f>
        <v/>
      </c>
      <c r="G322" s="17"/>
      <c r="H322" s="19" t="str">
        <f>IF(E$380="comprobar",COUNTIF(D321:D325,"x"),"")</f>
        <v/>
      </c>
    </row>
    <row r="323" spans="1:40" x14ac:dyDescent="0.25">
      <c r="B323" s="83" t="s">
        <v>15</v>
      </c>
      <c r="C323" s="127" t="s">
        <v>209</v>
      </c>
      <c r="D323" s="101"/>
      <c r="E323" s="104" t="s">
        <v>11</v>
      </c>
      <c r="F323" s="105" t="str">
        <f>IF(H323=-0.33,IF(H321=H$1,H321,""),"")</f>
        <v/>
      </c>
      <c r="G323" s="17"/>
      <c r="H323" s="22">
        <f t="shared" ref="H323" si="25">IF(H322=1,IF(H321=H$2,1,-0.33),0)</f>
        <v>0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s="4" customFormat="1" x14ac:dyDescent="0.25">
      <c r="B324" s="83" t="s">
        <v>15</v>
      </c>
      <c r="C324" s="24" t="s">
        <v>49</v>
      </c>
      <c r="D324" s="101"/>
      <c r="E324" s="104" t="s">
        <v>12</v>
      </c>
      <c r="F324" s="25"/>
      <c r="G324" s="17"/>
      <c r="H324" s="98"/>
    </row>
    <row r="325" spans="1:40" s="4" customFormat="1" x14ac:dyDescent="0.25">
      <c r="B325" s="83"/>
      <c r="C325" s="120"/>
      <c r="D325" s="101"/>
      <c r="E325" s="104" t="s">
        <v>13</v>
      </c>
      <c r="F325" s="25"/>
      <c r="G325" s="17"/>
      <c r="H325" s="98"/>
    </row>
    <row r="326" spans="1:40" s="15" customFormat="1" x14ac:dyDescent="0.25">
      <c r="A326" s="4"/>
      <c r="B326" s="119" t="s">
        <v>20</v>
      </c>
      <c r="C326" s="84" t="s">
        <v>210</v>
      </c>
      <c r="D326" s="39"/>
      <c r="E326" s="52"/>
      <c r="F326" s="27"/>
      <c r="G326" s="13"/>
      <c r="H326" s="13"/>
    </row>
    <row r="327" spans="1:40" x14ac:dyDescent="0.25">
      <c r="B327" s="83" t="s">
        <v>15</v>
      </c>
      <c r="C327" s="120" t="s">
        <v>211</v>
      </c>
      <c r="D327" s="101"/>
      <c r="E327" s="104" t="s">
        <v>9</v>
      </c>
      <c r="F327" s="25"/>
      <c r="G327" s="17"/>
      <c r="H327" s="19" t="b">
        <f>IF(D329="x",H$2,H$1)</f>
        <v>0</v>
      </c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</row>
    <row r="328" spans="1:40" s="15" customFormat="1" x14ac:dyDescent="0.25">
      <c r="A328" s="4"/>
      <c r="B328" s="83" t="s">
        <v>15</v>
      </c>
      <c r="C328" s="120" t="s">
        <v>212</v>
      </c>
      <c r="D328" s="101"/>
      <c r="E328" s="104" t="s">
        <v>10</v>
      </c>
      <c r="F328" s="103" t="str">
        <f>IF(H329=1,IF(H327=H$2,H327,""),"")</f>
        <v/>
      </c>
      <c r="G328" s="17"/>
      <c r="H328" s="19" t="str">
        <f>IF(E$380="comprobar",COUNTIF(D327:D331,"x"),"")</f>
        <v/>
      </c>
    </row>
    <row r="329" spans="1:40" x14ac:dyDescent="0.25">
      <c r="B329" s="83" t="s">
        <v>15</v>
      </c>
      <c r="C329" s="127" t="s">
        <v>213</v>
      </c>
      <c r="D329" s="101"/>
      <c r="E329" s="104" t="s">
        <v>11</v>
      </c>
      <c r="F329" s="105" t="str">
        <f>IF(H329=-0.33,IF(H327=H$1,H327,""),"")</f>
        <v/>
      </c>
      <c r="G329" s="17"/>
      <c r="H329" s="22">
        <f t="shared" ref="H329" si="26">IF(H328=1,IF(H327=H$2,1,-0.33),0)</f>
        <v>0</v>
      </c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83" t="s">
        <v>15</v>
      </c>
      <c r="C330" s="24" t="s">
        <v>49</v>
      </c>
      <c r="D330" s="101"/>
      <c r="E330" s="104" t="s">
        <v>12</v>
      </c>
      <c r="F330" s="25"/>
      <c r="G330" s="17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83"/>
      <c r="C331" s="120"/>
      <c r="D331" s="101"/>
      <c r="E331" s="104" t="s">
        <v>13</v>
      </c>
      <c r="F331" s="25"/>
      <c r="G331" s="17"/>
      <c r="H331" s="22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s="15" customFormat="1" x14ac:dyDescent="0.25">
      <c r="A332" s="4"/>
      <c r="B332" s="119" t="s">
        <v>21</v>
      </c>
      <c r="C332" s="84" t="s">
        <v>214</v>
      </c>
      <c r="D332" s="107"/>
      <c r="E332" s="102"/>
      <c r="F332" s="27"/>
      <c r="G332" s="13"/>
      <c r="H332" s="13"/>
    </row>
    <row r="333" spans="1:40" x14ac:dyDescent="0.25">
      <c r="B333" s="83" t="s">
        <v>15</v>
      </c>
      <c r="C333" s="120" t="s">
        <v>211</v>
      </c>
      <c r="D333" s="101"/>
      <c r="E333" s="104" t="s">
        <v>9</v>
      </c>
      <c r="F333" s="25"/>
      <c r="G333" s="17"/>
      <c r="H333" s="19" t="b">
        <f>IF(D335="x",H$2,H$1)</f>
        <v>0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s="15" customFormat="1" x14ac:dyDescent="0.25">
      <c r="A334" s="4"/>
      <c r="B334" s="83" t="s">
        <v>15</v>
      </c>
      <c r="C334" s="120" t="s">
        <v>212</v>
      </c>
      <c r="D334" s="101"/>
      <c r="E334" s="104" t="s">
        <v>10</v>
      </c>
      <c r="F334" s="103" t="str">
        <f>IF(H335=1,IF(H333=H$2,H333,""),"")</f>
        <v/>
      </c>
      <c r="G334" s="17"/>
      <c r="H334" s="19" t="str">
        <f>IF(E$380="comprobar",COUNTIF(D333:D337,"x"),"")</f>
        <v/>
      </c>
    </row>
    <row r="335" spans="1:40" x14ac:dyDescent="0.25">
      <c r="B335" s="83" t="s">
        <v>15</v>
      </c>
      <c r="C335" s="127" t="s">
        <v>213</v>
      </c>
      <c r="D335" s="101"/>
      <c r="E335" s="104" t="s">
        <v>11</v>
      </c>
      <c r="F335" s="105" t="str">
        <f>IF(H335=-0.33,IF(H333=H$1,H333,""),"")</f>
        <v/>
      </c>
      <c r="G335" s="17"/>
      <c r="H335" s="22">
        <f t="shared" ref="H335" si="27">IF(H334=1,IF(H333=H$2,1,-0.33),0)</f>
        <v>0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83" t="s">
        <v>15</v>
      </c>
      <c r="C336" s="24" t="s">
        <v>49</v>
      </c>
      <c r="D336" s="101"/>
      <c r="E336" s="104" t="s">
        <v>12</v>
      </c>
      <c r="F336" s="25"/>
      <c r="G336" s="17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x14ac:dyDescent="0.25">
      <c r="B337" s="100"/>
      <c r="C337" s="120"/>
      <c r="D337" s="101"/>
      <c r="E337" s="104" t="s">
        <v>13</v>
      </c>
      <c r="F337" s="106"/>
      <c r="G337" s="17"/>
      <c r="H337" s="22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s="15" customFormat="1" x14ac:dyDescent="0.25">
      <c r="A338" s="4"/>
      <c r="B338" s="119" t="s">
        <v>22</v>
      </c>
      <c r="C338" s="84" t="s">
        <v>215</v>
      </c>
      <c r="D338" s="107"/>
      <c r="E338" s="102"/>
      <c r="F338" s="27"/>
      <c r="G338" s="13"/>
      <c r="H338" s="13"/>
    </row>
    <row r="339" spans="1:40" x14ac:dyDescent="0.25">
      <c r="B339" s="83" t="s">
        <v>15</v>
      </c>
      <c r="C339" s="120" t="s">
        <v>216</v>
      </c>
      <c r="D339" s="101"/>
      <c r="E339" s="104" t="s">
        <v>9</v>
      </c>
      <c r="F339" s="25"/>
      <c r="G339" s="17"/>
      <c r="H339" s="19" t="b">
        <f>IF(D342="x",H$2,H$1)</f>
        <v>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s="15" customFormat="1" x14ac:dyDescent="0.25">
      <c r="A340" s="4"/>
      <c r="B340" s="83" t="s">
        <v>15</v>
      </c>
      <c r="C340" s="120" t="s">
        <v>217</v>
      </c>
      <c r="D340" s="101"/>
      <c r="E340" s="104" t="s">
        <v>10</v>
      </c>
      <c r="F340" s="103" t="str">
        <f>IF(H341=1,IF(H339=H$2,H339,""),"")</f>
        <v/>
      </c>
      <c r="G340" s="17"/>
      <c r="H340" s="19" t="str">
        <f>IF(E$380="comprobar",COUNTIF(D339:D343,"x"),"")</f>
        <v/>
      </c>
    </row>
    <row r="341" spans="1:40" x14ac:dyDescent="0.25">
      <c r="B341" s="83" t="s">
        <v>15</v>
      </c>
      <c r="C341" s="127" t="s">
        <v>218</v>
      </c>
      <c r="D341" s="101"/>
      <c r="E341" s="104" t="s">
        <v>11</v>
      </c>
      <c r="F341" s="105" t="str">
        <f>IF(H341=-0.33,IF(H339=H$1,H339,""),"")</f>
        <v/>
      </c>
      <c r="G341" s="17"/>
      <c r="H341" s="22">
        <f t="shared" ref="H341" si="28">IF(H340=1,IF(H339=H$2,1,-0.33),0)</f>
        <v>0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83" t="s">
        <v>15</v>
      </c>
      <c r="C342" s="24" t="s">
        <v>49</v>
      </c>
      <c r="D342" s="101"/>
      <c r="E342" s="104" t="s">
        <v>12</v>
      </c>
      <c r="F342" s="25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5">
      <c r="B343" s="63"/>
      <c r="C343" s="120"/>
      <c r="D343" s="101"/>
      <c r="E343" s="104" t="s">
        <v>13</v>
      </c>
      <c r="F343" s="106"/>
      <c r="G343" s="17"/>
      <c r="H343" s="22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s="15" customFormat="1" x14ac:dyDescent="0.25">
      <c r="A344" s="4"/>
      <c r="B344" s="119" t="s">
        <v>23</v>
      </c>
      <c r="C344" s="84" t="s">
        <v>219</v>
      </c>
      <c r="D344" s="107"/>
      <c r="E344" s="102"/>
      <c r="F344" s="27"/>
      <c r="G344" s="13"/>
      <c r="H344" s="13"/>
    </row>
    <row r="345" spans="1:40" x14ac:dyDescent="0.25">
      <c r="B345" s="83" t="s">
        <v>15</v>
      </c>
      <c r="C345" s="120" t="s">
        <v>220</v>
      </c>
      <c r="D345" s="101"/>
      <c r="E345" s="104" t="s">
        <v>9</v>
      </c>
      <c r="F345" s="25"/>
      <c r="G345" s="17"/>
      <c r="H345" s="19" t="b">
        <f>IF(D345="x",H$2,H$1)</f>
        <v>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s="15" customFormat="1" x14ac:dyDescent="0.25">
      <c r="A346" s="4"/>
      <c r="B346" s="83" t="s">
        <v>15</v>
      </c>
      <c r="C346" s="120" t="s">
        <v>177</v>
      </c>
      <c r="D346" s="101"/>
      <c r="E346" s="104" t="s">
        <v>10</v>
      </c>
      <c r="F346" s="103" t="str">
        <f>IF(H347=1,IF(H345=H$2,H345,""),"")</f>
        <v/>
      </c>
      <c r="G346" s="17"/>
      <c r="H346" s="19" t="str">
        <f>IF(E$380="comprobar",COUNTIF(D345:D349,"x"),"")</f>
        <v/>
      </c>
    </row>
    <row r="347" spans="1:40" x14ac:dyDescent="0.25">
      <c r="B347" s="83" t="s">
        <v>15</v>
      </c>
      <c r="C347" s="127" t="s">
        <v>221</v>
      </c>
      <c r="D347" s="101"/>
      <c r="E347" s="104" t="s">
        <v>11</v>
      </c>
      <c r="F347" s="105" t="str">
        <f>IF(H347=-0.33,IF(H345=H$1,H345,""),"")</f>
        <v/>
      </c>
      <c r="G347" s="17"/>
      <c r="H347" s="22">
        <f t="shared" ref="H347" si="29">IF(H346=1,IF(H345=H$2,1,-0.33),0)</f>
        <v>0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83" t="s">
        <v>15</v>
      </c>
      <c r="C348" s="24" t="s">
        <v>49</v>
      </c>
      <c r="D348" s="101"/>
      <c r="E348" s="104" t="s">
        <v>12</v>
      </c>
      <c r="F348" s="25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5">
      <c r="B349" s="63"/>
      <c r="C349" s="120"/>
      <c r="D349" s="101"/>
      <c r="E349" s="104" t="s">
        <v>13</v>
      </c>
      <c r="F349" s="106"/>
      <c r="G349" s="17"/>
      <c r="H349" s="22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s="15" customFormat="1" x14ac:dyDescent="0.25">
      <c r="A350" s="4"/>
      <c r="B350" s="119" t="s">
        <v>24</v>
      </c>
      <c r="C350" s="84" t="s">
        <v>222</v>
      </c>
      <c r="D350" s="107"/>
      <c r="E350" s="102"/>
      <c r="F350" s="27"/>
      <c r="G350" s="13"/>
      <c r="H350" s="13"/>
    </row>
    <row r="351" spans="1:40" x14ac:dyDescent="0.25">
      <c r="B351" s="83" t="s">
        <v>15</v>
      </c>
      <c r="C351" s="120" t="s">
        <v>223</v>
      </c>
      <c r="D351" s="101"/>
      <c r="E351" s="104" t="s">
        <v>9</v>
      </c>
      <c r="F351" s="25"/>
      <c r="G351" s="17"/>
      <c r="H351" s="19" t="b">
        <f>IF(D352="x",H$2,H$1)</f>
        <v>0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s="15" customFormat="1" x14ac:dyDescent="0.25">
      <c r="A352" s="4"/>
      <c r="B352" s="83" t="s">
        <v>15</v>
      </c>
      <c r="C352" s="120" t="s">
        <v>224</v>
      </c>
      <c r="D352" s="101"/>
      <c r="E352" s="104" t="s">
        <v>10</v>
      </c>
      <c r="F352" s="103" t="str">
        <f>IF(H353=1,IF(H351=H$2,H351,""),"")</f>
        <v/>
      </c>
      <c r="G352" s="17"/>
      <c r="H352" s="19" t="str">
        <f>IF(E$380="comprobar",COUNTIF(D351:D355,"x"),"")</f>
        <v/>
      </c>
    </row>
    <row r="353" spans="1:40" x14ac:dyDescent="0.25">
      <c r="B353" s="83" t="s">
        <v>15</v>
      </c>
      <c r="C353" s="127" t="s">
        <v>225</v>
      </c>
      <c r="D353" s="101"/>
      <c r="E353" s="104" t="s">
        <v>11</v>
      </c>
      <c r="F353" s="105" t="str">
        <f>IF(H353=-0.33,IF(H351=H$1,H351,""),"")</f>
        <v/>
      </c>
      <c r="G353" s="17"/>
      <c r="H353" s="22">
        <f t="shared" ref="H353" si="30">IF(H352=1,IF(H351=H$2,1,-0.33),0)</f>
        <v>0</v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83" t="s">
        <v>15</v>
      </c>
      <c r="C354" s="24" t="s">
        <v>49</v>
      </c>
      <c r="D354" s="101"/>
      <c r="E354" s="104" t="s">
        <v>12</v>
      </c>
      <c r="F354" s="25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5">
      <c r="B355" s="63"/>
      <c r="C355" s="120"/>
      <c r="D355" s="101"/>
      <c r="E355" s="104" t="s">
        <v>13</v>
      </c>
      <c r="F355" s="106"/>
      <c r="G355" s="17"/>
      <c r="H355" s="22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s="15" customFormat="1" x14ac:dyDescent="0.25">
      <c r="A356" s="4"/>
      <c r="B356" s="119" t="s">
        <v>29</v>
      </c>
      <c r="C356" s="84" t="s">
        <v>226</v>
      </c>
      <c r="D356" s="107"/>
      <c r="E356" s="102"/>
      <c r="F356" s="27"/>
      <c r="G356" s="26"/>
      <c r="H356" s="13"/>
    </row>
    <row r="357" spans="1:40" s="4" customFormat="1" x14ac:dyDescent="0.25">
      <c r="B357" s="83" t="s">
        <v>15</v>
      </c>
      <c r="C357" s="120" t="s">
        <v>227</v>
      </c>
      <c r="D357" s="101"/>
      <c r="E357" s="104" t="s">
        <v>9</v>
      </c>
      <c r="F357" s="25"/>
      <c r="G357" s="97"/>
      <c r="H357" s="89" t="b">
        <f>IF(D357="x",H$2,H$1)</f>
        <v>0</v>
      </c>
    </row>
    <row r="358" spans="1:40" s="4" customFormat="1" x14ac:dyDescent="0.25">
      <c r="B358" s="83" t="s">
        <v>15</v>
      </c>
      <c r="C358" s="120" t="s">
        <v>228</v>
      </c>
      <c r="D358" s="101"/>
      <c r="E358" s="104" t="s">
        <v>10</v>
      </c>
      <c r="F358" s="103" t="str">
        <f>IF(H359=1,IF(H357=H$2,H357,""),"")</f>
        <v/>
      </c>
      <c r="G358" s="97"/>
      <c r="H358" s="89" t="str">
        <f>IF(E$380="comprobar",COUNTIF(D357:D361,"x"),"")</f>
        <v/>
      </c>
    </row>
    <row r="359" spans="1:40" s="4" customFormat="1" x14ac:dyDescent="0.25">
      <c r="B359" s="83" t="s">
        <v>15</v>
      </c>
      <c r="C359" s="127" t="s">
        <v>229</v>
      </c>
      <c r="D359" s="101"/>
      <c r="E359" s="104" t="s">
        <v>11</v>
      </c>
      <c r="F359" s="105" t="str">
        <f>IF(H359=-0.33,IF(H357=H$1,H357,""),"")</f>
        <v/>
      </c>
      <c r="G359" s="97"/>
      <c r="H359" s="98">
        <f t="shared" ref="H359" si="31">IF(H358=1,IF(H357=H$2,1,-0.33),0)</f>
        <v>0</v>
      </c>
    </row>
    <row r="360" spans="1:40" x14ac:dyDescent="0.25">
      <c r="B360" s="83" t="s">
        <v>15</v>
      </c>
      <c r="C360" s="24" t="s">
        <v>49</v>
      </c>
      <c r="D360" s="101"/>
      <c r="E360" s="104" t="s">
        <v>12</v>
      </c>
      <c r="F360" s="25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x14ac:dyDescent="0.25">
      <c r="B361" s="63"/>
      <c r="C361" s="120"/>
      <c r="D361" s="101"/>
      <c r="E361" s="104" t="s">
        <v>13</v>
      </c>
      <c r="F361" s="106"/>
      <c r="G361" s="24"/>
      <c r="H361" s="22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s="15" customFormat="1" x14ac:dyDescent="0.25">
      <c r="A362" s="4"/>
      <c r="B362" s="119" t="s">
        <v>27</v>
      </c>
      <c r="C362" s="84" t="s">
        <v>230</v>
      </c>
      <c r="D362" s="107"/>
      <c r="E362" s="102"/>
      <c r="F362" s="27"/>
      <c r="G362" s="13"/>
      <c r="H362" s="13"/>
    </row>
    <row r="363" spans="1:40" x14ac:dyDescent="0.25">
      <c r="B363" s="83" t="s">
        <v>15</v>
      </c>
      <c r="C363" s="120" t="s">
        <v>231</v>
      </c>
      <c r="D363" s="101"/>
      <c r="E363" s="104" t="s">
        <v>9</v>
      </c>
      <c r="F363" s="25"/>
      <c r="G363" s="24"/>
      <c r="H363" s="19" t="b">
        <f>IF(D364="x",H$2,H$1)</f>
        <v>0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s="15" customFormat="1" x14ac:dyDescent="0.25">
      <c r="A364" s="4"/>
      <c r="B364" s="83" t="s">
        <v>15</v>
      </c>
      <c r="C364" s="120" t="s">
        <v>232</v>
      </c>
      <c r="D364" s="101"/>
      <c r="E364" s="104" t="s">
        <v>10</v>
      </c>
      <c r="F364" s="103" t="str">
        <f>IF(H365=1,IF(H363=H$2,H363,""),"")</f>
        <v/>
      </c>
      <c r="G364" s="24"/>
      <c r="H364" s="19" t="str">
        <f>IF(E$380="comprobar",COUNTIF(D363:D367,"x"),"")</f>
        <v/>
      </c>
    </row>
    <row r="365" spans="1:40" x14ac:dyDescent="0.25">
      <c r="B365" s="83" t="s">
        <v>15</v>
      </c>
      <c r="C365" s="127" t="s">
        <v>233</v>
      </c>
      <c r="D365" s="101"/>
      <c r="E365" s="104" t="s">
        <v>11</v>
      </c>
      <c r="F365" s="105" t="str">
        <f>IF(H365=-0.33,IF(H363=H$1,H363,""),"")</f>
        <v/>
      </c>
      <c r="G365" s="24"/>
      <c r="H365" s="22">
        <f t="shared" ref="H365" si="32">IF(H364=1,IF(H363=H$2,1,-0.33),0)</f>
        <v>0</v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83" t="s">
        <v>15</v>
      </c>
      <c r="C366" s="24" t="s">
        <v>49</v>
      </c>
      <c r="D366" s="101"/>
      <c r="E366" s="104" t="s">
        <v>12</v>
      </c>
      <c r="F366" s="25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5">
      <c r="B367" s="63"/>
      <c r="C367" s="120"/>
      <c r="D367" s="101"/>
      <c r="E367" s="104" t="s">
        <v>13</v>
      </c>
      <c r="F367" s="106"/>
      <c r="G367" s="24"/>
      <c r="H367" s="22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x14ac:dyDescent="0.25">
      <c r="B368" s="126" t="s">
        <v>37</v>
      </c>
      <c r="C368" s="84" t="s">
        <v>234</v>
      </c>
      <c r="D368" s="107"/>
      <c r="E368" s="102"/>
      <c r="F368" s="27"/>
      <c r="G368" s="13"/>
      <c r="H368" s="13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3" t="s">
        <v>15</v>
      </c>
      <c r="C369" s="120" t="s">
        <v>235</v>
      </c>
      <c r="D369" s="101"/>
      <c r="E369" s="104" t="s">
        <v>9</v>
      </c>
      <c r="F369" s="25"/>
      <c r="G369" s="24"/>
      <c r="H369" s="19" t="b">
        <f>IF(D372="x",H$2,H$1)</f>
        <v>0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3" t="s">
        <v>15</v>
      </c>
      <c r="C370" s="120" t="s">
        <v>232</v>
      </c>
      <c r="D370" s="101"/>
      <c r="E370" s="104" t="s">
        <v>10</v>
      </c>
      <c r="F370" s="103" t="str">
        <f>IF(H371=1,IF(H369=H$2,H369,""),"")</f>
        <v/>
      </c>
      <c r="G370" s="24"/>
      <c r="H370" s="19" t="str">
        <f>IF(E$380="comprobar",COUNTIF(D369:D373,"x"),"")</f>
        <v/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3" t="s">
        <v>15</v>
      </c>
      <c r="C371" s="127" t="s">
        <v>233</v>
      </c>
      <c r="D371" s="101"/>
      <c r="E371" s="104" t="s">
        <v>11</v>
      </c>
      <c r="F371" s="105" t="str">
        <f>IF(H371=-0.33,IF(H369=H$1,H369,""),"")</f>
        <v/>
      </c>
      <c r="G371" s="24"/>
      <c r="H371" s="22">
        <f t="shared" ref="H371" si="33">IF(H370=1,IF(H369=H$2,1,-0.33),0)</f>
        <v>0</v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83" t="s">
        <v>15</v>
      </c>
      <c r="C372" s="24" t="s">
        <v>49</v>
      </c>
      <c r="D372" s="101"/>
      <c r="E372" s="104" t="s">
        <v>12</v>
      </c>
      <c r="F372" s="25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63"/>
      <c r="C373" s="120"/>
      <c r="D373" s="101"/>
      <c r="E373" s="104" t="s">
        <v>13</v>
      </c>
      <c r="F373" s="106"/>
      <c r="G373" s="24"/>
      <c r="H373" s="22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126" t="s">
        <v>38</v>
      </c>
      <c r="C374" s="84" t="s">
        <v>236</v>
      </c>
      <c r="D374" s="107"/>
      <c r="E374" s="102"/>
      <c r="F374" s="27"/>
      <c r="G374" s="13"/>
      <c r="H374" s="13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3" t="s">
        <v>15</v>
      </c>
      <c r="C375" s="120" t="s">
        <v>220</v>
      </c>
      <c r="D375" s="101"/>
      <c r="E375" s="104" t="s">
        <v>9</v>
      </c>
      <c r="F375" s="25"/>
      <c r="G375" s="24"/>
      <c r="H375" s="19" t="b">
        <f>IF(D377="x",H$2,H$1)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3" t="s">
        <v>15</v>
      </c>
      <c r="C376" s="120" t="s">
        <v>177</v>
      </c>
      <c r="D376" s="101"/>
      <c r="E376" s="104" t="s">
        <v>10</v>
      </c>
      <c r="F376" s="103" t="str">
        <f>IF(H377=1,IF(H375=H$2,H375,""),"")</f>
        <v/>
      </c>
      <c r="G376" s="24"/>
      <c r="H376" s="19" t="str">
        <f>IF(E$380="comprobar",COUNTIF(D375:D379,"x"),"")</f>
        <v/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3" t="s">
        <v>15</v>
      </c>
      <c r="C377" s="127" t="s">
        <v>221</v>
      </c>
      <c r="D377" s="101"/>
      <c r="E377" s="104" t="s">
        <v>11</v>
      </c>
      <c r="F377" s="105" t="str">
        <f>IF(H377=-0.33,IF(H375=H$1,H375,""),"")</f>
        <v/>
      </c>
      <c r="G377" s="24"/>
      <c r="H377" s="22">
        <f t="shared" ref="H377" si="34">IF(H376=1,IF(H375=H$2,1,-0.33),0)</f>
        <v>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83" t="s">
        <v>15</v>
      </c>
      <c r="C378" s="24" t="s">
        <v>49</v>
      </c>
      <c r="D378" s="101"/>
      <c r="E378" s="104" t="s">
        <v>12</v>
      </c>
      <c r="F378" s="25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63"/>
      <c r="C379" s="120"/>
      <c r="D379" s="101"/>
      <c r="E379" s="104" t="s">
        <v>13</v>
      </c>
      <c r="F379" s="106"/>
      <c r="G379" s="24"/>
      <c r="H379" s="22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63"/>
      <c r="C380" s="64"/>
      <c r="D380" s="109"/>
      <c r="E380" s="54"/>
      <c r="F380" s="106"/>
      <c r="G380" s="24"/>
      <c r="H380" s="22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108"/>
      <c r="C381" s="8"/>
      <c r="D381" s="109"/>
      <c r="E381" s="76"/>
      <c r="F381" s="110" t="s">
        <v>8</v>
      </c>
      <c r="G381" s="17" t="s">
        <v>6</v>
      </c>
      <c r="H381" s="17" t="s">
        <v>7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ht="19.5" x14ac:dyDescent="0.25">
      <c r="B382" s="44"/>
      <c r="C382" s="41"/>
      <c r="D382" s="40"/>
      <c r="E382" s="111"/>
      <c r="F382" s="29" t="str">
        <f>IF(E$380="comprobar",H365+H359+H353+H347+H341+H335+H329+H323+H317+H310+H371+H377,"")</f>
        <v/>
      </c>
      <c r="G382" s="17">
        <f>12/2</f>
        <v>6</v>
      </c>
      <c r="H382" s="17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ht="16.5" thickBot="1" x14ac:dyDescent="0.3">
      <c r="B383" s="45"/>
      <c r="C383" s="30"/>
      <c r="D383" s="112"/>
      <c r="E383" s="113"/>
      <c r="F383" s="114" t="str">
        <f>IF(F382&gt;G382,G381,H381)</f>
        <v>APROBADO</v>
      </c>
      <c r="G383" s="17"/>
      <c r="H383" s="17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hidden="1" x14ac:dyDescent="0.25">
      <c r="B384" s="44"/>
      <c r="C384" s="16"/>
      <c r="D384" s="60"/>
      <c r="E384" s="51"/>
      <c r="F384" s="75"/>
      <c r="G384" s="17"/>
      <c r="H384" s="17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hidden="1" x14ac:dyDescent="0.25">
      <c r="B385" s="44"/>
      <c r="C385" s="16"/>
      <c r="D385" s="60"/>
      <c r="E385" s="51"/>
      <c r="F385" s="75"/>
      <c r="G385" s="17"/>
      <c r="H385" s="17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ht="28.5" x14ac:dyDescent="0.45">
      <c r="B386" s="61" t="s">
        <v>198</v>
      </c>
      <c r="C386" s="115" t="s">
        <v>39</v>
      </c>
      <c r="D386" s="80"/>
      <c r="E386" s="80"/>
      <c r="F386" s="81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s="15" customFormat="1" ht="18.95" customHeight="1" x14ac:dyDescent="0.25">
      <c r="A387" s="4"/>
      <c r="B387" s="119" t="s">
        <v>18</v>
      </c>
      <c r="C387" s="84" t="s">
        <v>237</v>
      </c>
      <c r="D387" s="39"/>
      <c r="E387" s="52"/>
      <c r="F387" s="27"/>
      <c r="G387" s="13"/>
      <c r="H387" s="13"/>
    </row>
    <row r="388" spans="1:40" x14ac:dyDescent="0.25">
      <c r="B388" s="83" t="s">
        <v>15</v>
      </c>
      <c r="C388" s="120" t="s">
        <v>238</v>
      </c>
      <c r="D388" s="38"/>
      <c r="E388" s="53" t="s">
        <v>9</v>
      </c>
      <c r="F388" s="25"/>
      <c r="G388" s="17"/>
      <c r="H388" s="19" t="b">
        <f>IF(D388="x",H$2,H$1)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15.95" customHeight="1" x14ac:dyDescent="0.25">
      <c r="B389" s="83" t="s">
        <v>15</v>
      </c>
      <c r="C389" s="120" t="s">
        <v>239</v>
      </c>
      <c r="D389" s="38"/>
      <c r="E389" s="53" t="s">
        <v>10</v>
      </c>
      <c r="F389" s="20" t="str">
        <f>IF(H390=1,IF(H388=H$2,H388,""),"")</f>
        <v/>
      </c>
      <c r="G389" s="17"/>
      <c r="H389" s="19" t="str">
        <f>IF(E459="comprobar",COUNTIF(D388:D392,"x"),"")</f>
        <v/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ht="18.95" customHeight="1" x14ac:dyDescent="0.25">
      <c r="B390" s="83" t="s">
        <v>15</v>
      </c>
      <c r="C390" s="127" t="s">
        <v>240</v>
      </c>
      <c r="D390" s="38"/>
      <c r="E390" s="53" t="s">
        <v>11</v>
      </c>
      <c r="F390" s="21" t="str">
        <f>IF(H390=-0.33,IF(H388=H$1,H388,""),"")</f>
        <v/>
      </c>
      <c r="G390" s="17"/>
      <c r="H390" s="22">
        <f>IF(H389=1,IF(H388=H$2,1,-0.33),0)</f>
        <v>0</v>
      </c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83" t="s">
        <v>15</v>
      </c>
      <c r="C391" s="24" t="s">
        <v>49</v>
      </c>
      <c r="D391" s="38"/>
      <c r="E391" s="53" t="s">
        <v>12</v>
      </c>
      <c r="F391" s="25"/>
      <c r="G391" s="17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44"/>
      <c r="C392" s="120"/>
      <c r="D392" s="38"/>
      <c r="E392" s="53" t="s">
        <v>13</v>
      </c>
      <c r="F392" s="18"/>
      <c r="G392" s="17"/>
      <c r="H392" s="22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s="15" customFormat="1" ht="18.95" customHeight="1" x14ac:dyDescent="0.25">
      <c r="A393" s="4"/>
      <c r="B393" s="119" t="s">
        <v>28</v>
      </c>
      <c r="C393" s="84" t="s">
        <v>448</v>
      </c>
      <c r="D393" s="39"/>
      <c r="E393" s="52"/>
      <c r="F393" s="27"/>
      <c r="G393" s="13"/>
      <c r="H393" s="13"/>
    </row>
    <row r="394" spans="1:40" x14ac:dyDescent="0.25">
      <c r="B394" s="83" t="s">
        <v>15</v>
      </c>
      <c r="C394" s="120" t="s">
        <v>241</v>
      </c>
      <c r="D394" s="38"/>
      <c r="E394" s="53" t="s">
        <v>9</v>
      </c>
      <c r="F394" s="25"/>
      <c r="G394" s="17"/>
      <c r="H394" s="19" t="b">
        <f>IF(D396="x",H$2,H$1)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83" t="s">
        <v>15</v>
      </c>
      <c r="C395" s="120" t="s">
        <v>242</v>
      </c>
      <c r="D395" s="38"/>
      <c r="E395" s="53" t="s">
        <v>10</v>
      </c>
      <c r="F395" s="20" t="str">
        <f>IF(H396=1,IF(H394=H$2,H394,""),"")</f>
        <v/>
      </c>
      <c r="G395" s="17"/>
      <c r="H395" s="19" t="str">
        <f>IF(E$459="comprobar",COUNTIF(D394:D398,"x"),"")</f>
        <v/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5">
      <c r="B396" s="83" t="s">
        <v>15</v>
      </c>
      <c r="C396" s="127" t="s">
        <v>243</v>
      </c>
      <c r="D396" s="38"/>
      <c r="E396" s="53" t="s">
        <v>11</v>
      </c>
      <c r="F396" s="21" t="str">
        <f>IF(H396=-0.33,IF(H394=H$1,H394,""),"")</f>
        <v/>
      </c>
      <c r="G396" s="17"/>
      <c r="H396" s="22">
        <f t="shared" ref="H396" si="35">IF(H395=1,IF(H394=H$2,1,-0.33),0)</f>
        <v>0</v>
      </c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83" t="s">
        <v>15</v>
      </c>
      <c r="C397" s="24" t="s">
        <v>49</v>
      </c>
      <c r="D397" s="38"/>
      <c r="E397" s="53" t="s">
        <v>12</v>
      </c>
      <c r="F397" s="25"/>
      <c r="G397" s="17"/>
      <c r="H397" s="2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20"/>
      <c r="D398" s="38"/>
      <c r="E398" s="53" t="s">
        <v>13</v>
      </c>
      <c r="F398" s="18"/>
      <c r="G398" s="17"/>
      <c r="H398" s="22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s="15" customFormat="1" ht="18.95" customHeight="1" x14ac:dyDescent="0.25">
      <c r="A399" s="4"/>
      <c r="B399" s="119" t="s">
        <v>31</v>
      </c>
      <c r="C399" s="84" t="s">
        <v>244</v>
      </c>
      <c r="D399" s="39"/>
      <c r="E399" s="52"/>
      <c r="F399" s="27"/>
      <c r="G399" s="13"/>
      <c r="H399" s="13"/>
    </row>
    <row r="400" spans="1:40" x14ac:dyDescent="0.25">
      <c r="B400" s="83" t="s">
        <v>15</v>
      </c>
      <c r="C400" s="120" t="s">
        <v>245</v>
      </c>
      <c r="D400" s="38"/>
      <c r="E400" s="53" t="s">
        <v>9</v>
      </c>
      <c r="F400" s="25"/>
      <c r="G400" s="17"/>
      <c r="H400" s="19" t="b">
        <f>IF(D401="x",H$2,H$1)</f>
        <v>0</v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x14ac:dyDescent="0.25">
      <c r="B401" s="83" t="s">
        <v>15</v>
      </c>
      <c r="C401" s="120" t="s">
        <v>246</v>
      </c>
      <c r="D401" s="38"/>
      <c r="E401" s="53" t="s">
        <v>10</v>
      </c>
      <c r="F401" s="20" t="str">
        <f>IF(H402=1,IF(H400=H$2,H400,""),"")</f>
        <v/>
      </c>
      <c r="G401" s="17"/>
      <c r="H401" s="19" t="str">
        <f>IF(E$459="comprobar",COUNTIF(D400:D404,"x"),"")</f>
        <v/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3" t="s">
        <v>15</v>
      </c>
      <c r="C402" s="127" t="s">
        <v>247</v>
      </c>
      <c r="D402" s="38"/>
      <c r="E402" s="53" t="s">
        <v>11</v>
      </c>
      <c r="F402" s="21" t="str">
        <f>IF(H402=-0.33,IF(H400=H$1,H400,""),"")</f>
        <v/>
      </c>
      <c r="G402" s="17"/>
      <c r="H402" s="22">
        <f t="shared" ref="H402" si="36">IF(H401=1,IF(H400=H$2,1,-0.33),0)</f>
        <v>0</v>
      </c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83" t="s">
        <v>15</v>
      </c>
      <c r="C403" s="24" t="s">
        <v>49</v>
      </c>
      <c r="D403" s="38"/>
      <c r="E403" s="53" t="s">
        <v>12</v>
      </c>
      <c r="F403" s="25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x14ac:dyDescent="0.25">
      <c r="B404" s="44"/>
      <c r="C404" s="120"/>
      <c r="D404" s="38"/>
      <c r="E404" s="53" t="s">
        <v>13</v>
      </c>
      <c r="F404" s="18"/>
      <c r="G404" s="17"/>
      <c r="H404" s="22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s="15" customFormat="1" ht="15.95" customHeight="1" x14ac:dyDescent="0.25">
      <c r="A405" s="4"/>
      <c r="B405" s="119" t="s">
        <v>20</v>
      </c>
      <c r="C405" s="84" t="s">
        <v>248</v>
      </c>
      <c r="D405" s="39"/>
      <c r="E405" s="52"/>
      <c r="F405" s="27"/>
      <c r="G405" s="13"/>
      <c r="H405" s="13"/>
    </row>
    <row r="406" spans="1:40" x14ac:dyDescent="0.25">
      <c r="B406" s="83" t="s">
        <v>15</v>
      </c>
      <c r="C406" s="120" t="s">
        <v>249</v>
      </c>
      <c r="D406" s="38"/>
      <c r="E406" s="53" t="s">
        <v>9</v>
      </c>
      <c r="F406" s="25"/>
      <c r="G406" s="17"/>
      <c r="H406" s="19" t="b">
        <f>IF(D408="x",H$2,H$1)</f>
        <v>0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3" t="s">
        <v>15</v>
      </c>
      <c r="C407" s="120" t="s">
        <v>250</v>
      </c>
      <c r="D407" s="38"/>
      <c r="E407" s="53" t="s">
        <v>10</v>
      </c>
      <c r="F407" s="20" t="str">
        <f>IF(H408=1,IF(H406=H$2,H406,""),"")</f>
        <v/>
      </c>
      <c r="G407" s="17"/>
      <c r="H407" s="19" t="str">
        <f>IF(E$459="comprobar",COUNTIF(D406:D410,"x"),"")</f>
        <v/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3" t="s">
        <v>15</v>
      </c>
      <c r="C408" s="127" t="s">
        <v>251</v>
      </c>
      <c r="D408" s="38"/>
      <c r="E408" s="53" t="s">
        <v>11</v>
      </c>
      <c r="F408" s="21" t="str">
        <f>IF(H408=-0.33,IF(H406=H$1,H406,""),"")</f>
        <v/>
      </c>
      <c r="G408" s="17"/>
      <c r="H408" s="22">
        <f t="shared" ref="H408" si="37">IF(H407=1,IF(H406=H$2,1,-0.33),0)</f>
        <v>0</v>
      </c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83" t="s">
        <v>15</v>
      </c>
      <c r="C409" s="24" t="s">
        <v>49</v>
      </c>
      <c r="D409" s="38"/>
      <c r="E409" s="53" t="s">
        <v>12</v>
      </c>
      <c r="F409" s="25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25">
      <c r="B410" s="116"/>
      <c r="C410" s="120"/>
      <c r="D410" s="38"/>
      <c r="E410" s="53" t="s">
        <v>13</v>
      </c>
      <c r="F410" s="18"/>
      <c r="G410" s="17"/>
      <c r="H410" s="22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s="15" customFormat="1" ht="18.95" customHeight="1" x14ac:dyDescent="0.25">
      <c r="A411" s="4"/>
      <c r="B411" s="119" t="s">
        <v>21</v>
      </c>
      <c r="C411" s="84" t="s">
        <v>252</v>
      </c>
      <c r="D411" s="39"/>
      <c r="E411" s="52"/>
      <c r="F411" s="27"/>
      <c r="G411" s="13"/>
      <c r="H411" s="13"/>
    </row>
    <row r="412" spans="1:40" x14ac:dyDescent="0.25">
      <c r="B412" s="83" t="s">
        <v>15</v>
      </c>
      <c r="C412" s="120" t="s">
        <v>247</v>
      </c>
      <c r="D412" s="38"/>
      <c r="E412" s="53" t="s">
        <v>9</v>
      </c>
      <c r="F412" s="25"/>
      <c r="G412" s="17"/>
      <c r="H412" s="19" t="b">
        <f>IF(D414="x",H$2,H$1)</f>
        <v>0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3" t="s">
        <v>15</v>
      </c>
      <c r="C413" s="120" t="s">
        <v>253</v>
      </c>
      <c r="D413" s="38"/>
      <c r="E413" s="53" t="s">
        <v>10</v>
      </c>
      <c r="F413" s="20" t="str">
        <f>IF(H414=1,IF(H412=H$2,H412,""),"")</f>
        <v/>
      </c>
      <c r="G413" s="17"/>
      <c r="H413" s="19" t="str">
        <f>IF(E$459="comprobar",COUNTIF(D412:D416,"x"),"")</f>
        <v/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3" t="s">
        <v>15</v>
      </c>
      <c r="C414" s="127" t="s">
        <v>254</v>
      </c>
      <c r="D414" s="38"/>
      <c r="E414" s="53" t="s">
        <v>11</v>
      </c>
      <c r="F414" s="21" t="str">
        <f>IF(H414=-0.33,IF(H412=H$1,H412,""),"")</f>
        <v/>
      </c>
      <c r="G414" s="17"/>
      <c r="H414" s="22">
        <f t="shared" ref="H414" si="38">IF(H413=1,IF(H412=H$2,1,-0.33),0)</f>
        <v>0</v>
      </c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83" t="s">
        <v>15</v>
      </c>
      <c r="C415" s="24" t="s">
        <v>49</v>
      </c>
      <c r="D415" s="38"/>
      <c r="E415" s="53" t="s">
        <v>12</v>
      </c>
      <c r="F415" s="25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x14ac:dyDescent="0.25">
      <c r="B416" s="44"/>
      <c r="C416" s="120"/>
      <c r="D416" s="38"/>
      <c r="E416" s="53" t="s">
        <v>13</v>
      </c>
      <c r="F416" s="18"/>
      <c r="G416" s="17"/>
      <c r="H416" s="22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s="15" customFormat="1" ht="18.95" customHeight="1" x14ac:dyDescent="0.25">
      <c r="A417" s="4"/>
      <c r="B417" s="119" t="s">
        <v>32</v>
      </c>
      <c r="C417" s="84" t="s">
        <v>255</v>
      </c>
      <c r="D417" s="39"/>
      <c r="E417" s="52"/>
      <c r="F417" s="27"/>
      <c r="G417" s="13"/>
      <c r="H417" s="13"/>
    </row>
    <row r="418" spans="1:40" x14ac:dyDescent="0.25">
      <c r="B418" s="83" t="s">
        <v>15</v>
      </c>
      <c r="C418" s="120" t="s">
        <v>247</v>
      </c>
      <c r="D418" s="38"/>
      <c r="E418" s="53" t="s">
        <v>9</v>
      </c>
      <c r="F418" s="25"/>
      <c r="G418" s="17"/>
      <c r="H418" s="19" t="b">
        <f>IF(D418="x",H$2,H$1)</f>
        <v>0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3" t="s">
        <v>15</v>
      </c>
      <c r="C419" s="120" t="s">
        <v>253</v>
      </c>
      <c r="D419" s="38"/>
      <c r="E419" s="53" t="s">
        <v>10</v>
      </c>
      <c r="F419" s="20" t="str">
        <f>IF(H420=1,IF(H418=H$2,H418,""),"")</f>
        <v/>
      </c>
      <c r="G419" s="17"/>
      <c r="H419" s="19" t="str">
        <f>IF(E$459="comprobar",COUNTIF(D418:D422,"x"),"")</f>
        <v/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3" t="s">
        <v>15</v>
      </c>
      <c r="C420" s="127" t="s">
        <v>254</v>
      </c>
      <c r="D420" s="38"/>
      <c r="E420" s="53" t="s">
        <v>11</v>
      </c>
      <c r="F420" s="21" t="str">
        <f>IF(H420=-0.33,IF(H418=H$1,H418,""),"")</f>
        <v/>
      </c>
      <c r="G420" s="17"/>
      <c r="H420" s="22">
        <f t="shared" ref="H420" si="39">IF(H419=1,IF(H418=H$2,1,-0.33),0)</f>
        <v>0</v>
      </c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x14ac:dyDescent="0.25">
      <c r="B421" s="83" t="s">
        <v>15</v>
      </c>
      <c r="C421" s="24" t="s">
        <v>49</v>
      </c>
      <c r="D421" s="38"/>
      <c r="E421" s="53" t="s">
        <v>12</v>
      </c>
      <c r="F421" s="25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x14ac:dyDescent="0.25">
      <c r="B422" s="44"/>
      <c r="C422" s="120"/>
      <c r="D422" s="38"/>
      <c r="E422" s="53" t="s">
        <v>13</v>
      </c>
      <c r="F422" s="18"/>
      <c r="G422" s="17"/>
      <c r="H422" s="22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s="15" customFormat="1" ht="15.95" customHeight="1" x14ac:dyDescent="0.25">
      <c r="A423" s="4"/>
      <c r="B423" s="119" t="s">
        <v>23</v>
      </c>
      <c r="C423" s="84" t="s">
        <v>256</v>
      </c>
      <c r="D423" s="39"/>
      <c r="E423" s="52"/>
      <c r="F423" s="27"/>
      <c r="G423" s="13"/>
      <c r="H423" s="13"/>
    </row>
    <row r="424" spans="1:40" x14ac:dyDescent="0.25">
      <c r="B424" s="83" t="s">
        <v>15</v>
      </c>
      <c r="C424" s="120" t="s">
        <v>257</v>
      </c>
      <c r="D424" s="38"/>
      <c r="E424" s="53" t="s">
        <v>9</v>
      </c>
      <c r="F424" s="25"/>
      <c r="G424" s="17"/>
      <c r="H424" s="19" t="b">
        <f>IF(D424="x",H$2,H$1)</f>
        <v>0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3" t="s">
        <v>15</v>
      </c>
      <c r="C425" s="120" t="s">
        <v>258</v>
      </c>
      <c r="D425" s="38"/>
      <c r="E425" s="53" t="s">
        <v>10</v>
      </c>
      <c r="F425" s="20" t="str">
        <f>IF(H426=1,IF(H424=H$2,H424,""),"")</f>
        <v/>
      </c>
      <c r="G425" s="17"/>
      <c r="H425" s="19" t="str">
        <f>IF(E$459="comprobar",COUNTIF(D424:D428,"x"),"")</f>
        <v/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3" t="s">
        <v>15</v>
      </c>
      <c r="C426" s="127" t="s">
        <v>259</v>
      </c>
      <c r="D426" s="38"/>
      <c r="E426" s="53" t="s">
        <v>11</v>
      </c>
      <c r="F426" s="21" t="str">
        <f>IF(H426=-0.33,IF(H424=H$1,H424,""),"")</f>
        <v/>
      </c>
      <c r="G426" s="17"/>
      <c r="H426" s="22">
        <f t="shared" ref="H426" si="40">IF(H425=1,IF(H424=H$2,1,-0.33),0)</f>
        <v>0</v>
      </c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83" t="s">
        <v>15</v>
      </c>
      <c r="C427" s="24" t="s">
        <v>260</v>
      </c>
      <c r="D427" s="38"/>
      <c r="E427" s="53" t="s">
        <v>12</v>
      </c>
      <c r="F427" s="25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x14ac:dyDescent="0.25">
      <c r="B428" s="44"/>
      <c r="C428" s="120"/>
      <c r="D428" s="38"/>
      <c r="E428" s="53" t="s">
        <v>13</v>
      </c>
      <c r="F428" s="18"/>
      <c r="G428" s="17"/>
      <c r="H428" s="22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s="15" customFormat="1" ht="18.95" customHeight="1" x14ac:dyDescent="0.25">
      <c r="A429" s="4"/>
      <c r="B429" s="119" t="s">
        <v>30</v>
      </c>
      <c r="C429" s="84" t="s">
        <v>261</v>
      </c>
      <c r="D429" s="39"/>
      <c r="E429" s="52"/>
      <c r="F429" s="27"/>
      <c r="G429" s="13"/>
      <c r="H429" s="13"/>
    </row>
    <row r="430" spans="1:40" x14ac:dyDescent="0.25">
      <c r="B430" s="83" t="s">
        <v>15</v>
      </c>
      <c r="C430" s="120" t="s">
        <v>257</v>
      </c>
      <c r="D430" s="38"/>
      <c r="E430" s="53" t="s">
        <v>9</v>
      </c>
      <c r="F430" s="25"/>
      <c r="G430" s="17"/>
      <c r="H430" s="19" t="b">
        <f>IF(D430="x",H$2,H$1)</f>
        <v>0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3" t="s">
        <v>15</v>
      </c>
      <c r="C431" s="120" t="s">
        <v>258</v>
      </c>
      <c r="D431" s="38"/>
      <c r="E431" s="53" t="s">
        <v>10</v>
      </c>
      <c r="F431" s="20" t="str">
        <f>IF(H432=1,IF(H430=H$2,H430,""),"")</f>
        <v/>
      </c>
      <c r="G431" s="17"/>
      <c r="H431" s="19" t="str">
        <f>IF(E$459="comprobar",COUNTIF(D430:D434,"x"),"")</f>
        <v/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3" t="s">
        <v>15</v>
      </c>
      <c r="C432" s="127" t="s">
        <v>259</v>
      </c>
      <c r="D432" s="38"/>
      <c r="E432" s="53" t="s">
        <v>11</v>
      </c>
      <c r="F432" s="21" t="str">
        <f>IF(H432=-0.33,IF(H430=H$1,H430,""),"")</f>
        <v/>
      </c>
      <c r="G432" s="17"/>
      <c r="H432" s="22">
        <f t="shared" ref="H432" si="41">IF(H431=1,IF(H430=H$2,1,-0.33),0)</f>
        <v>0</v>
      </c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83" t="s">
        <v>15</v>
      </c>
      <c r="C433" s="24" t="s">
        <v>260</v>
      </c>
      <c r="D433" s="38"/>
      <c r="E433" s="53" t="s">
        <v>12</v>
      </c>
      <c r="F433" s="25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x14ac:dyDescent="0.25">
      <c r="B434" s="44"/>
      <c r="C434" s="120"/>
      <c r="D434" s="38"/>
      <c r="E434" s="53" t="s">
        <v>13</v>
      </c>
      <c r="F434" s="18"/>
      <c r="G434" s="17"/>
      <c r="H434" s="22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s="15" customFormat="1" ht="18.95" customHeight="1" x14ac:dyDescent="0.25">
      <c r="A435" s="4"/>
      <c r="B435" s="119" t="s">
        <v>29</v>
      </c>
      <c r="C435" s="84" t="s">
        <v>262</v>
      </c>
      <c r="D435" s="39"/>
      <c r="E435" s="52"/>
      <c r="F435" s="27"/>
      <c r="G435" s="13"/>
      <c r="H435" s="13"/>
    </row>
    <row r="436" spans="1:40" x14ac:dyDescent="0.25">
      <c r="B436" s="83" t="s">
        <v>15</v>
      </c>
      <c r="C436" s="120" t="s">
        <v>257</v>
      </c>
      <c r="D436" s="38"/>
      <c r="E436" s="53" t="s">
        <v>9</v>
      </c>
      <c r="F436" s="25"/>
      <c r="G436" s="17"/>
      <c r="H436" s="19" t="b">
        <f>IF(D438="x",H$2,H$1)</f>
        <v>0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3" t="s">
        <v>15</v>
      </c>
      <c r="C437" s="120" t="s">
        <v>258</v>
      </c>
      <c r="D437" s="38"/>
      <c r="E437" s="53" t="s">
        <v>10</v>
      </c>
      <c r="F437" s="20" t="str">
        <f>IF(H438=1,IF(H436=H$2,H436,""),"")</f>
        <v/>
      </c>
      <c r="G437" s="17"/>
      <c r="H437" s="19" t="str">
        <f>IF(E$459="comprobar",COUNTIF(D436:D440,"x"),"")</f>
        <v/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3" t="s">
        <v>15</v>
      </c>
      <c r="C438" s="127" t="s">
        <v>263</v>
      </c>
      <c r="D438" s="38"/>
      <c r="E438" s="53" t="s">
        <v>11</v>
      </c>
      <c r="F438" s="21" t="str">
        <f>IF(H438=-0.33,IF(H436=H$1,H436,""),"")</f>
        <v/>
      </c>
      <c r="G438" s="17"/>
      <c r="H438" s="22">
        <f t="shared" ref="H438" si="42">IF(H437=1,IF(H436=H$2,1,-0.33),0)</f>
        <v>0</v>
      </c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83" t="s">
        <v>15</v>
      </c>
      <c r="C439" s="24" t="s">
        <v>260</v>
      </c>
      <c r="D439" s="38"/>
      <c r="E439" s="53" t="s">
        <v>12</v>
      </c>
      <c r="F439" s="25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34" customFormat="1" x14ac:dyDescent="0.25">
      <c r="A440" s="4"/>
      <c r="B440" s="117"/>
      <c r="C440" s="120"/>
      <c r="D440" s="38"/>
      <c r="E440" s="53" t="s">
        <v>14</v>
      </c>
      <c r="F440" s="18"/>
      <c r="G440" s="17"/>
      <c r="H440" s="22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  <c r="AK440" s="49"/>
      <c r="AL440" s="49"/>
      <c r="AM440" s="49"/>
      <c r="AN440" s="49"/>
    </row>
    <row r="441" spans="1:40" s="15" customFormat="1" ht="18.95" customHeight="1" x14ac:dyDescent="0.25">
      <c r="A441" s="4"/>
      <c r="B441" s="119" t="s">
        <v>27</v>
      </c>
      <c r="C441" s="84" t="s">
        <v>264</v>
      </c>
      <c r="D441" s="78"/>
      <c r="E441" s="52"/>
      <c r="F441" s="27"/>
      <c r="G441" s="26"/>
      <c r="H441" s="13"/>
    </row>
    <row r="442" spans="1:40" x14ac:dyDescent="0.25">
      <c r="B442" s="83" t="s">
        <v>15</v>
      </c>
      <c r="C442" s="120" t="s">
        <v>265</v>
      </c>
      <c r="D442" s="38"/>
      <c r="E442" s="53" t="s">
        <v>9</v>
      </c>
      <c r="F442" s="25"/>
      <c r="G442" s="24"/>
      <c r="H442" s="19" t="b">
        <f>IF(D442="x",H$2,H$1)</f>
        <v>0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3" t="s">
        <v>15</v>
      </c>
      <c r="C443" s="120" t="s">
        <v>266</v>
      </c>
      <c r="D443" s="38"/>
      <c r="E443" s="53" t="s">
        <v>10</v>
      </c>
      <c r="F443" s="20" t="str">
        <f>IF(H444=1,IF(H442=H$2,H442,""),"")</f>
        <v/>
      </c>
      <c r="G443" s="24"/>
      <c r="H443" s="19" t="str">
        <f>IF(E$459="comprobar",COUNTIF(D442:D446,"x"),"")</f>
        <v/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3" t="s">
        <v>15</v>
      </c>
      <c r="C444" s="127" t="s">
        <v>267</v>
      </c>
      <c r="D444" s="38"/>
      <c r="E444" s="53" t="s">
        <v>11</v>
      </c>
      <c r="F444" s="21" t="str">
        <f>IF(H444=-0.33,IF(H442=H$1,H442,""),"")</f>
        <v/>
      </c>
      <c r="G444" s="24"/>
      <c r="H444" s="22">
        <f>IF(H443=1,IF(H442=H$2,1,-0.33),0)</f>
        <v>0</v>
      </c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83" t="s">
        <v>15</v>
      </c>
      <c r="C445" s="24" t="s">
        <v>260</v>
      </c>
      <c r="D445" s="38"/>
      <c r="E445" s="53" t="s">
        <v>12</v>
      </c>
      <c r="F445" s="25"/>
      <c r="G445" s="24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25">
      <c r="B446" s="116"/>
      <c r="C446" s="120"/>
      <c r="D446" s="38"/>
      <c r="E446" s="53" t="s">
        <v>13</v>
      </c>
      <c r="F446" s="18"/>
      <c r="G446" s="24"/>
      <c r="H446" s="22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126" t="s">
        <v>37</v>
      </c>
      <c r="C447" s="84" t="s">
        <v>268</v>
      </c>
      <c r="D447" s="78"/>
      <c r="E447" s="52"/>
      <c r="F447" s="27"/>
      <c r="G447" s="26"/>
      <c r="H447" s="13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3" t="s">
        <v>15</v>
      </c>
      <c r="C448" s="120" t="s">
        <v>269</v>
      </c>
      <c r="D448" s="38"/>
      <c r="E448" s="53" t="s">
        <v>9</v>
      </c>
      <c r="F448" s="25"/>
      <c r="G448" s="24"/>
      <c r="H448" s="19" t="b">
        <f>IF(D450="x",H$2,H$1)</f>
        <v>0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3" t="s">
        <v>15</v>
      </c>
      <c r="C449" s="120" t="s">
        <v>266</v>
      </c>
      <c r="D449" s="38"/>
      <c r="E449" s="53" t="s">
        <v>10</v>
      </c>
      <c r="F449" s="20" t="str">
        <f>IF(H450=1,IF(H448=H$2,H448,""),"")</f>
        <v/>
      </c>
      <c r="G449" s="24"/>
      <c r="H449" s="19" t="str">
        <f>IF(E$459="comprobar",COUNTIF(D448:D452,"x"),"")</f>
        <v/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3" t="s">
        <v>15</v>
      </c>
      <c r="C450" s="127" t="s">
        <v>267</v>
      </c>
      <c r="D450" s="38"/>
      <c r="E450" s="53" t="s">
        <v>11</v>
      </c>
      <c r="F450" s="21" t="str">
        <f>IF(H450=-0.33,IF(H448=H$1,H448,""),"")</f>
        <v/>
      </c>
      <c r="G450" s="24"/>
      <c r="H450" s="22">
        <f>IF(H449=1,IF(H448=H$2,1,-0.33),0)</f>
        <v>0</v>
      </c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x14ac:dyDescent="0.25">
      <c r="B451" s="83" t="s">
        <v>15</v>
      </c>
      <c r="C451" s="24" t="s">
        <v>260</v>
      </c>
      <c r="D451" s="38"/>
      <c r="E451" s="53" t="s">
        <v>12</v>
      </c>
      <c r="F451" s="25"/>
      <c r="G451" s="24"/>
      <c r="H451" s="22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25">
      <c r="B452" s="116"/>
      <c r="C452" s="120"/>
      <c r="D452" s="38"/>
      <c r="E452" s="53" t="s">
        <v>13</v>
      </c>
      <c r="F452" s="18"/>
      <c r="G452" s="24"/>
      <c r="H452" s="22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126" t="s">
        <v>38</v>
      </c>
      <c r="C453" s="84" t="s">
        <v>270</v>
      </c>
      <c r="D453" s="78"/>
      <c r="E453" s="52"/>
      <c r="F453" s="27"/>
      <c r="G453" s="26"/>
      <c r="H453" s="13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3" t="s">
        <v>15</v>
      </c>
      <c r="C454" s="120" t="s">
        <v>271</v>
      </c>
      <c r="D454" s="38"/>
      <c r="E454" s="53" t="s">
        <v>9</v>
      </c>
      <c r="F454" s="25"/>
      <c r="G454" s="24"/>
      <c r="H454" s="19" t="b">
        <f>IF(D455="x",H$2,H$1)</f>
        <v>0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3" t="s">
        <v>15</v>
      </c>
      <c r="C455" s="120" t="s">
        <v>272</v>
      </c>
      <c r="D455" s="38"/>
      <c r="E455" s="53" t="s">
        <v>10</v>
      </c>
      <c r="F455" s="20" t="str">
        <f>IF(H456=1,IF(H454=H$2,H454,""),"")</f>
        <v/>
      </c>
      <c r="G455" s="24"/>
      <c r="H455" s="19" t="str">
        <f>IF(E$459="comprobar",COUNTIF(D454:D458,"x"),"")</f>
        <v/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3" t="s">
        <v>15</v>
      </c>
      <c r="C456" s="127" t="s">
        <v>273</v>
      </c>
      <c r="D456" s="38"/>
      <c r="E456" s="53" t="s">
        <v>11</v>
      </c>
      <c r="F456" s="21" t="str">
        <f>IF(H456=-0.33,IF(H454=H$1,H454,""),"")</f>
        <v/>
      </c>
      <c r="G456" s="24"/>
      <c r="H456" s="22">
        <f>IF(H455=1,IF(H454=H$2,1,-0.33),0)</f>
        <v>0</v>
      </c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x14ac:dyDescent="0.25">
      <c r="B457" s="83" t="s">
        <v>15</v>
      </c>
      <c r="C457" s="24" t="s">
        <v>274</v>
      </c>
      <c r="D457" s="38"/>
      <c r="E457" s="53" t="s">
        <v>12</v>
      </c>
      <c r="F457" s="25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25">
      <c r="B458" s="116"/>
      <c r="C458" s="120"/>
      <c r="D458" s="38"/>
      <c r="E458" s="53" t="s">
        <v>13</v>
      </c>
      <c r="F458" s="18"/>
      <c r="G458" s="24"/>
      <c r="H458" s="22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41"/>
      <c r="D459" s="48"/>
      <c r="E459" s="54"/>
      <c r="F459" s="18"/>
      <c r="G459" s="17"/>
      <c r="H459" s="17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44"/>
      <c r="C460" s="16"/>
      <c r="D460" s="48"/>
      <c r="E460" s="57"/>
      <c r="F460" s="28" t="s">
        <v>8</v>
      </c>
      <c r="G460" s="17" t="s">
        <v>6</v>
      </c>
      <c r="H460" s="17" t="s">
        <v>7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9.5" x14ac:dyDescent="0.25">
      <c r="B461" s="44"/>
      <c r="C461" s="16"/>
      <c r="D461" s="79"/>
      <c r="E461" s="51"/>
      <c r="F461" s="29" t="str">
        <f>IF(E$459="comprobar",H444+H438+H432+H426+H420+H414+H408+H402+H396+H390+H450+H456,"")</f>
        <v/>
      </c>
      <c r="G461" s="17">
        <f>12/2</f>
        <v>6</v>
      </c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16.5" thickBot="1" x14ac:dyDescent="0.3">
      <c r="B462" s="45"/>
      <c r="C462" s="30"/>
      <c r="D462" s="31"/>
      <c r="E462" s="55"/>
      <c r="F462" s="32" t="str">
        <f>IF(F461&gt;G461,G460,H460)</f>
        <v>APROBADO</v>
      </c>
      <c r="G462" s="17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ht="28.5" x14ac:dyDescent="0.45">
      <c r="B463" s="61" t="s">
        <v>198</v>
      </c>
      <c r="C463" s="115" t="s">
        <v>40</v>
      </c>
      <c r="D463" s="80"/>
      <c r="E463" s="80"/>
      <c r="F463" s="81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s="15" customFormat="1" ht="18.95" customHeight="1" x14ac:dyDescent="0.25">
      <c r="A464" s="4"/>
      <c r="B464" s="119" t="s">
        <v>18</v>
      </c>
      <c r="C464" s="84" t="s">
        <v>275</v>
      </c>
      <c r="D464" s="39"/>
      <c r="E464" s="52"/>
      <c r="F464" s="27"/>
      <c r="G464" s="13"/>
      <c r="H464" s="13"/>
    </row>
    <row r="465" spans="1:40" x14ac:dyDescent="0.25">
      <c r="B465" s="83" t="s">
        <v>15</v>
      </c>
      <c r="C465" s="120" t="s">
        <v>276</v>
      </c>
      <c r="D465" s="38"/>
      <c r="E465" s="53" t="s">
        <v>9</v>
      </c>
      <c r="F465" s="25"/>
      <c r="G465" s="24"/>
      <c r="H465" s="19" t="b">
        <f>IF(D466="x",H$2,H$1)</f>
        <v>0</v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3" t="s">
        <v>15</v>
      </c>
      <c r="C466" s="120" t="s">
        <v>277</v>
      </c>
      <c r="D466" s="38"/>
      <c r="E466" s="53" t="s">
        <v>10</v>
      </c>
      <c r="F466" s="20" t="str">
        <f>IF(H467=1,IF(H465=H$2,H465,""),"")</f>
        <v/>
      </c>
      <c r="G466" s="24"/>
      <c r="H466" s="19" t="str">
        <f>IF(E$536="comprobar",COUNTIF(D465:D469,"x"),"")</f>
        <v/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3" t="s">
        <v>15</v>
      </c>
      <c r="C467" s="127" t="s">
        <v>240</v>
      </c>
      <c r="D467" s="38"/>
      <c r="E467" s="53" t="s">
        <v>11</v>
      </c>
      <c r="F467" s="21" t="str">
        <f>IF(H467=-0.33,IF(H465=H$1,H465,""),"")</f>
        <v/>
      </c>
      <c r="G467" s="24"/>
      <c r="H467" s="22">
        <f>IF(H466=1,IF(H465=H$2,1,-0.33),0)</f>
        <v>0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83" t="s">
        <v>15</v>
      </c>
      <c r="C468" s="24" t="s">
        <v>49</v>
      </c>
      <c r="D468" s="38"/>
      <c r="E468" s="53" t="s">
        <v>12</v>
      </c>
      <c r="F468" s="25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x14ac:dyDescent="0.25">
      <c r="B469" s="63"/>
      <c r="C469" s="120"/>
      <c r="D469" s="38"/>
      <c r="E469" s="53" t="s">
        <v>13</v>
      </c>
      <c r="F469" s="18"/>
      <c r="G469" s="24"/>
      <c r="H469" s="22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</row>
    <row r="470" spans="1:40" s="15" customFormat="1" ht="18.95" customHeight="1" x14ac:dyDescent="0.25">
      <c r="A470" s="4"/>
      <c r="B470" s="119" t="s">
        <v>17</v>
      </c>
      <c r="C470" s="84" t="s">
        <v>278</v>
      </c>
      <c r="D470" s="39"/>
      <c r="E470" s="52"/>
      <c r="F470" s="77"/>
      <c r="G470" s="13"/>
      <c r="H470" s="13"/>
    </row>
    <row r="471" spans="1:40" x14ac:dyDescent="0.25">
      <c r="B471" s="83" t="s">
        <v>15</v>
      </c>
      <c r="C471" s="120" t="s">
        <v>279</v>
      </c>
      <c r="D471" s="38"/>
      <c r="E471" s="53" t="s">
        <v>9</v>
      </c>
      <c r="F471" s="25"/>
      <c r="G471" s="24"/>
      <c r="H471" s="19" t="b">
        <f>IF(D471="x",H$2,H$1)</f>
        <v>0</v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3" t="s">
        <v>15</v>
      </c>
      <c r="C472" s="120" t="s">
        <v>280</v>
      </c>
      <c r="D472" s="38"/>
      <c r="E472" s="53" t="s">
        <v>10</v>
      </c>
      <c r="F472" s="20" t="str">
        <f>IF(H473=1,IF(H471=H$2,H471,""),"")</f>
        <v/>
      </c>
      <c r="G472" s="24"/>
      <c r="H472" s="19" t="str">
        <f>IF(E$536="comprobar",COUNTIF(D471:D475,"x"),"")</f>
        <v/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3" t="s">
        <v>15</v>
      </c>
      <c r="C473" s="127" t="s">
        <v>281</v>
      </c>
      <c r="D473" s="38"/>
      <c r="E473" s="53" t="s">
        <v>11</v>
      </c>
      <c r="F473" s="21" t="str">
        <f>IF(H473=-0.33,IF(H471=H$1,H471,""),"")</f>
        <v/>
      </c>
      <c r="G473" s="24"/>
      <c r="H473" s="22">
        <f>IF(H472=1,IF(H471=H$2,1,-0.33),0)</f>
        <v>0</v>
      </c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83" t="s">
        <v>15</v>
      </c>
      <c r="C474" s="24" t="s">
        <v>49</v>
      </c>
      <c r="D474" s="38"/>
      <c r="E474" s="53" t="s">
        <v>12</v>
      </c>
      <c r="F474" s="25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x14ac:dyDescent="0.25">
      <c r="B475" s="63"/>
      <c r="C475" s="120"/>
      <c r="D475" s="38"/>
      <c r="E475" s="53" t="s">
        <v>13</v>
      </c>
      <c r="F475" s="18"/>
      <c r="G475" s="24"/>
      <c r="H475" s="22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</row>
    <row r="476" spans="1:40" s="15" customFormat="1" ht="18.95" customHeight="1" x14ac:dyDescent="0.25">
      <c r="A476" s="4"/>
      <c r="B476" s="119" t="s">
        <v>19</v>
      </c>
      <c r="C476" s="84" t="s">
        <v>282</v>
      </c>
      <c r="D476" s="78"/>
      <c r="E476" s="52"/>
      <c r="F476" s="27"/>
      <c r="G476" s="13"/>
      <c r="H476" s="13"/>
    </row>
    <row r="477" spans="1:40" x14ac:dyDescent="0.25">
      <c r="B477" s="83" t="s">
        <v>15</v>
      </c>
      <c r="C477" s="120" t="s">
        <v>283</v>
      </c>
      <c r="D477" s="38"/>
      <c r="E477" s="53" t="s">
        <v>9</v>
      </c>
      <c r="F477" s="25"/>
      <c r="G477" s="24"/>
      <c r="H477" s="19" t="b">
        <f>IF(D480="x",H$2,H$1)</f>
        <v>0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3" t="s">
        <v>15</v>
      </c>
      <c r="C478" s="120" t="s">
        <v>284</v>
      </c>
      <c r="D478" s="38"/>
      <c r="E478" s="53" t="s">
        <v>10</v>
      </c>
      <c r="F478" s="20" t="str">
        <f>IF(H479=1,IF(H477=H$2,H477,""),"")</f>
        <v/>
      </c>
      <c r="G478" s="24"/>
      <c r="H478" s="19" t="str">
        <f>IF(E$536="comprobar",COUNTIF(D477:D481,"x"),"")</f>
        <v/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3" t="s">
        <v>15</v>
      </c>
      <c r="C479" s="127" t="s">
        <v>285</v>
      </c>
      <c r="D479" s="38"/>
      <c r="E479" s="53" t="s">
        <v>11</v>
      </c>
      <c r="F479" s="21" t="str">
        <f>IF(H479=-0.33,IF(H477=H$1,H477,""),"")</f>
        <v/>
      </c>
      <c r="G479" s="24"/>
      <c r="H479" s="22">
        <f>IF(H478=1,IF(H477=H$2,1,-0.33),0)</f>
        <v>0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83" t="s">
        <v>15</v>
      </c>
      <c r="C480" s="24" t="s">
        <v>49</v>
      </c>
      <c r="D480" s="38"/>
      <c r="E480" s="53" t="s">
        <v>12</v>
      </c>
      <c r="F480" s="25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x14ac:dyDescent="0.25">
      <c r="B481" s="63"/>
      <c r="C481" s="120"/>
      <c r="D481" s="38"/>
      <c r="E481" s="53" t="s">
        <v>13</v>
      </c>
      <c r="F481" s="18"/>
      <c r="G481" s="24"/>
      <c r="H481" s="22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</row>
    <row r="482" spans="1:40" s="15" customFormat="1" ht="18.95" customHeight="1" x14ac:dyDescent="0.25">
      <c r="A482" s="4"/>
      <c r="B482" s="119" t="s">
        <v>20</v>
      </c>
      <c r="C482" s="84" t="s">
        <v>286</v>
      </c>
      <c r="D482" s="78"/>
      <c r="E482" s="52"/>
      <c r="F482" s="27"/>
      <c r="G482" s="13"/>
      <c r="H482" s="13"/>
    </row>
    <row r="483" spans="1:40" x14ac:dyDescent="0.25">
      <c r="B483" s="83" t="s">
        <v>15</v>
      </c>
      <c r="C483" s="120" t="s">
        <v>287</v>
      </c>
      <c r="D483" s="38"/>
      <c r="E483" s="53" t="s">
        <v>9</v>
      </c>
      <c r="F483" s="25"/>
      <c r="G483" s="24"/>
      <c r="H483" s="19" t="b">
        <f>IF(D484="x",H$2,H$1)</f>
        <v>0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3" t="s">
        <v>15</v>
      </c>
      <c r="C484" s="120" t="s">
        <v>284</v>
      </c>
      <c r="D484" s="38"/>
      <c r="E484" s="53" t="s">
        <v>10</v>
      </c>
      <c r="F484" s="20" t="str">
        <f>IF(H485=1,IF(H483=H$2,H483,""),"")</f>
        <v/>
      </c>
      <c r="G484" s="24"/>
      <c r="H484" s="19" t="str">
        <f>IF(E$536="comprobar",COUNTIF(D483:D487,"x"),"")</f>
        <v/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3" t="s">
        <v>15</v>
      </c>
      <c r="C485" s="127" t="s">
        <v>285</v>
      </c>
      <c r="D485" s="38"/>
      <c r="E485" s="53" t="s">
        <v>11</v>
      </c>
      <c r="F485" s="21" t="str">
        <f>IF(H485=-0.33,IF(H483=H$1,H483,""),"")</f>
        <v/>
      </c>
      <c r="G485" s="24"/>
      <c r="H485" s="22">
        <f>IF(H484=1,IF(H483=H$2,1,-0.33),0)</f>
        <v>0</v>
      </c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83" t="s">
        <v>15</v>
      </c>
      <c r="C486" s="24" t="s">
        <v>49</v>
      </c>
      <c r="D486" s="38"/>
      <c r="E486" s="53" t="s">
        <v>12</v>
      </c>
      <c r="F486" s="25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x14ac:dyDescent="0.25">
      <c r="B487" s="63"/>
      <c r="C487" s="120"/>
      <c r="D487" s="38"/>
      <c r="E487" s="53" t="s">
        <v>13</v>
      </c>
      <c r="F487" s="18"/>
      <c r="G487" s="24"/>
      <c r="H487" s="22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</row>
    <row r="488" spans="1:40" s="15" customFormat="1" x14ac:dyDescent="0.25">
      <c r="A488" s="4"/>
      <c r="B488" s="119" t="s">
        <v>21</v>
      </c>
      <c r="C488" s="84" t="s">
        <v>288</v>
      </c>
      <c r="D488" s="99"/>
      <c r="E488" s="52"/>
      <c r="F488" s="27"/>
      <c r="G488" s="13"/>
      <c r="H488" s="13"/>
    </row>
    <row r="489" spans="1:40" x14ac:dyDescent="0.25">
      <c r="B489" s="83" t="s">
        <v>15</v>
      </c>
      <c r="C489" s="120" t="s">
        <v>289</v>
      </c>
      <c r="D489" s="38"/>
      <c r="E489" s="53" t="s">
        <v>9</v>
      </c>
      <c r="F489" s="25"/>
      <c r="G489" s="24"/>
      <c r="H489" s="19" t="b">
        <f>IF(D489="x",H$2,H$1)</f>
        <v>0</v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3" t="s">
        <v>15</v>
      </c>
      <c r="C490" s="120" t="s">
        <v>290</v>
      </c>
      <c r="D490" s="38"/>
      <c r="E490" s="53" t="s">
        <v>10</v>
      </c>
      <c r="F490" s="20" t="str">
        <f>IF(H491=1,IF(H489=H$2,H489,""),"")</f>
        <v/>
      </c>
      <c r="G490" s="24"/>
      <c r="H490" s="19" t="str">
        <f>IF(E$536="comprobar",COUNTIF(D489:D493,"x"),"")</f>
        <v/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3" t="s">
        <v>15</v>
      </c>
      <c r="C491" s="127" t="s">
        <v>291</v>
      </c>
      <c r="D491" s="38"/>
      <c r="E491" s="53" t="s">
        <v>11</v>
      </c>
      <c r="F491" s="21" t="str">
        <f>IF(H491=-0.33,IF(H489=H$1,H489,""),"")</f>
        <v/>
      </c>
      <c r="G491" s="24"/>
      <c r="H491" s="22">
        <f>IF(H490=1,IF(H489=H$2,1,-0.33),0)</f>
        <v>0</v>
      </c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83" t="s">
        <v>15</v>
      </c>
      <c r="C492" s="24" t="s">
        <v>49</v>
      </c>
      <c r="D492" s="38"/>
      <c r="E492" s="53" t="s">
        <v>12</v>
      </c>
      <c r="F492" s="25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x14ac:dyDescent="0.25">
      <c r="B493" s="63"/>
      <c r="C493" s="120"/>
      <c r="D493" s="38"/>
      <c r="E493" s="53" t="s">
        <v>13</v>
      </c>
      <c r="F493" s="18"/>
      <c r="G493" s="24"/>
      <c r="H493" s="22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</row>
    <row r="494" spans="1:40" s="15" customFormat="1" x14ac:dyDescent="0.25">
      <c r="A494" s="4"/>
      <c r="B494" s="119" t="s">
        <v>22</v>
      </c>
      <c r="C494" s="84" t="s">
        <v>292</v>
      </c>
      <c r="D494" s="99"/>
      <c r="E494" s="52"/>
      <c r="F494" s="27"/>
      <c r="G494" s="13"/>
      <c r="H494" s="13"/>
    </row>
    <row r="495" spans="1:40" x14ac:dyDescent="0.25">
      <c r="B495" s="83" t="s">
        <v>15</v>
      </c>
      <c r="C495" s="120" t="s">
        <v>289</v>
      </c>
      <c r="D495" s="38"/>
      <c r="E495" s="53"/>
      <c r="F495" s="25"/>
      <c r="G495" s="24"/>
      <c r="H495" s="19" t="b">
        <f>IF(D496="x",H$2,H$1)</f>
        <v>0</v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3" t="s">
        <v>15</v>
      </c>
      <c r="C496" s="120" t="s">
        <v>290</v>
      </c>
      <c r="D496" s="38"/>
      <c r="E496" s="53" t="s">
        <v>10</v>
      </c>
      <c r="F496" s="20" t="str">
        <f>IF(H497=1,IF(H495=H$2,H495,""),"")</f>
        <v/>
      </c>
      <c r="G496" s="24"/>
      <c r="H496" s="19" t="str">
        <f>IF(E$536="comprobar",COUNTIF(D495:D499,"x"),"")</f>
        <v/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3" t="s">
        <v>15</v>
      </c>
      <c r="C497" s="127" t="s">
        <v>291</v>
      </c>
      <c r="D497" s="38"/>
      <c r="E497" s="53" t="s">
        <v>11</v>
      </c>
      <c r="F497" s="21" t="str">
        <f>IF(H497=-0.33,IF(H495=H$1,H495,""),"")</f>
        <v/>
      </c>
      <c r="G497" s="24"/>
      <c r="H497" s="22">
        <f>IF(H496=1,IF(H495=H$2,1,-0.33),0)</f>
        <v>0</v>
      </c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83" t="s">
        <v>15</v>
      </c>
      <c r="C498" s="24" t="s">
        <v>49</v>
      </c>
      <c r="D498" s="38"/>
      <c r="E498" s="53" t="s">
        <v>12</v>
      </c>
      <c r="F498" s="25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x14ac:dyDescent="0.25">
      <c r="B499" s="63"/>
      <c r="C499" s="120"/>
      <c r="D499" s="38"/>
      <c r="E499" s="53" t="s">
        <v>13</v>
      </c>
      <c r="F499" s="18"/>
      <c r="G499" s="24"/>
      <c r="H499" s="22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</row>
    <row r="500" spans="1:40" s="15" customFormat="1" x14ac:dyDescent="0.25">
      <c r="A500" s="4"/>
      <c r="B500" s="119" t="s">
        <v>23</v>
      </c>
      <c r="C500" s="84" t="s">
        <v>293</v>
      </c>
      <c r="D500" s="99"/>
      <c r="E500" s="52"/>
      <c r="F500" s="27"/>
      <c r="G500" s="13"/>
      <c r="H500" s="13"/>
    </row>
    <row r="501" spans="1:40" x14ac:dyDescent="0.25">
      <c r="B501" s="83" t="s">
        <v>15</v>
      </c>
      <c r="C501" s="120" t="s">
        <v>289</v>
      </c>
      <c r="D501" s="38"/>
      <c r="E501" s="53" t="s">
        <v>9</v>
      </c>
      <c r="F501" s="25"/>
      <c r="G501" s="24"/>
      <c r="H501" s="19" t="b">
        <f>IF(D504="x",H$2,H$1)</f>
        <v>0</v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3" t="s">
        <v>15</v>
      </c>
      <c r="C502" s="120" t="s">
        <v>290</v>
      </c>
      <c r="D502" s="38"/>
      <c r="E502" s="53" t="s">
        <v>10</v>
      </c>
      <c r="F502" s="20" t="str">
        <f>IF(H503=1,IF(H501=H$2,H501,""),"")</f>
        <v/>
      </c>
      <c r="G502" s="24"/>
      <c r="H502" s="19" t="str">
        <f>IF(E$536="comprobar",COUNTIF(D501:D505,"x"),"")</f>
        <v/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3" t="s">
        <v>15</v>
      </c>
      <c r="C503" s="127" t="s">
        <v>291</v>
      </c>
      <c r="D503" s="38"/>
      <c r="E503" s="53" t="s">
        <v>11</v>
      </c>
      <c r="F503" s="21" t="str">
        <f>IF(H503=-0.33,IF(H501=H$1,H501,""),"")</f>
        <v/>
      </c>
      <c r="G503" s="24"/>
      <c r="H503" s="22">
        <f>IF(H502=1,IF(H501=H$2,1,-0.33),0)</f>
        <v>0</v>
      </c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83" t="s">
        <v>15</v>
      </c>
      <c r="C504" s="24" t="s">
        <v>49</v>
      </c>
      <c r="D504" s="38"/>
      <c r="E504" s="53" t="s">
        <v>12</v>
      </c>
      <c r="F504" s="25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x14ac:dyDescent="0.25">
      <c r="B505" s="63"/>
      <c r="C505" s="120"/>
      <c r="D505" s="38"/>
      <c r="E505" s="53" t="s">
        <v>13</v>
      </c>
      <c r="F505" s="18"/>
      <c r="G505" s="24"/>
      <c r="H505" s="22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</row>
    <row r="506" spans="1:40" s="15" customFormat="1" x14ac:dyDescent="0.25">
      <c r="A506" s="4"/>
      <c r="B506" s="119" t="s">
        <v>24</v>
      </c>
      <c r="C506" s="84" t="s">
        <v>294</v>
      </c>
      <c r="D506" s="99"/>
      <c r="E506" s="52"/>
      <c r="F506" s="27"/>
      <c r="G506" s="13"/>
      <c r="H506" s="13"/>
    </row>
    <row r="507" spans="1:40" x14ac:dyDescent="0.25">
      <c r="B507" s="83" t="s">
        <v>15</v>
      </c>
      <c r="C507" s="120" t="s">
        <v>295</v>
      </c>
      <c r="D507" s="38"/>
      <c r="E507" s="53" t="s">
        <v>9</v>
      </c>
      <c r="F507" s="25"/>
      <c r="G507" s="24"/>
      <c r="H507" s="19" t="b">
        <f>IF(D510="x",H$2,H$1)</f>
        <v>0</v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3" t="s">
        <v>15</v>
      </c>
      <c r="C508" s="120" t="s">
        <v>296</v>
      </c>
      <c r="D508" s="38"/>
      <c r="E508" s="53" t="s">
        <v>10</v>
      </c>
      <c r="F508" s="20" t="str">
        <f>IF(H509=1,IF(H507=H$2,H507,""),"")</f>
        <v/>
      </c>
      <c r="G508" s="24"/>
      <c r="H508" s="19" t="str">
        <f>IF(E$536="comprobar",COUNTIF(D507:D511,"x"),"")</f>
        <v/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3" t="s">
        <v>15</v>
      </c>
      <c r="C509" s="127" t="s">
        <v>297</v>
      </c>
      <c r="D509" s="38"/>
      <c r="E509" s="53" t="s">
        <v>11</v>
      </c>
      <c r="F509" s="21" t="str">
        <f>IF(H509=-0.33,IF(H507=H$1,H507,""),"")</f>
        <v/>
      </c>
      <c r="G509" s="24"/>
      <c r="H509" s="22">
        <f>IF(H508=1,IF(H507=H$2,1,-0.33),0)</f>
        <v>0</v>
      </c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83" t="s">
        <v>15</v>
      </c>
      <c r="C510" s="24" t="s">
        <v>49</v>
      </c>
      <c r="D510" s="38"/>
      <c r="E510" s="53" t="s">
        <v>12</v>
      </c>
      <c r="F510" s="25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x14ac:dyDescent="0.25">
      <c r="B511" s="63"/>
      <c r="C511" s="120"/>
      <c r="D511" s="38"/>
      <c r="E511" s="53" t="s">
        <v>13</v>
      </c>
      <c r="F511" s="18"/>
      <c r="G511" s="24"/>
      <c r="H511" s="22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</row>
    <row r="512" spans="1:40" s="15" customFormat="1" x14ac:dyDescent="0.25">
      <c r="A512" s="4"/>
      <c r="B512" s="119" t="s">
        <v>29</v>
      </c>
      <c r="C512" s="84" t="s">
        <v>298</v>
      </c>
      <c r="D512" s="99"/>
      <c r="E512" s="52"/>
      <c r="F512" s="27"/>
      <c r="G512" s="13"/>
      <c r="H512" s="13"/>
    </row>
    <row r="513" spans="1:40" x14ac:dyDescent="0.25">
      <c r="B513" s="83" t="s">
        <v>15</v>
      </c>
      <c r="C513" s="120" t="s">
        <v>299</v>
      </c>
      <c r="D513" s="38"/>
      <c r="E513" s="53" t="s">
        <v>9</v>
      </c>
      <c r="F513" s="25"/>
      <c r="G513" s="24"/>
      <c r="H513" s="19" t="b">
        <f>IF(D515="x",H$2,H$1)</f>
        <v>0</v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3" t="s">
        <v>15</v>
      </c>
      <c r="C514" s="120" t="s">
        <v>300</v>
      </c>
      <c r="D514" s="38"/>
      <c r="E514" s="53" t="s">
        <v>10</v>
      </c>
      <c r="F514" s="20" t="str">
        <f>IF(H515=1,IF(H513=H$2,H513,""),"")</f>
        <v/>
      </c>
      <c r="G514" s="24"/>
      <c r="H514" s="19" t="str">
        <f>IF(E$536="comprobar",COUNTIF(D513:D517,"x"),"")</f>
        <v/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3" t="s">
        <v>15</v>
      </c>
      <c r="C515" s="127" t="s">
        <v>301</v>
      </c>
      <c r="D515" s="38"/>
      <c r="E515" s="53" t="s">
        <v>11</v>
      </c>
      <c r="F515" s="21" t="str">
        <f>IF(H515=-0.33,IF(H513=H$1,H513,""),"")</f>
        <v/>
      </c>
      <c r="G515" s="24"/>
      <c r="H515" s="22">
        <f>IF(H514=1,IF(H513=H$2,1,-0.33),0)</f>
        <v>0</v>
      </c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83" t="s">
        <v>15</v>
      </c>
      <c r="C516" s="24" t="s">
        <v>302</v>
      </c>
      <c r="D516" s="38"/>
      <c r="E516" s="53" t="s">
        <v>12</v>
      </c>
      <c r="F516" s="25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x14ac:dyDescent="0.25">
      <c r="B517" s="63"/>
      <c r="C517" s="120"/>
      <c r="D517" s="38"/>
      <c r="E517" s="53" t="s">
        <v>13</v>
      </c>
      <c r="F517" s="18"/>
      <c r="G517" s="24"/>
      <c r="H517" s="22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</row>
    <row r="518" spans="1:40" s="15" customFormat="1" x14ac:dyDescent="0.25">
      <c r="A518" s="4"/>
      <c r="B518" s="119" t="s">
        <v>27</v>
      </c>
      <c r="C518" s="84" t="s">
        <v>303</v>
      </c>
      <c r="D518" s="99"/>
      <c r="E518" s="52"/>
      <c r="F518" s="27"/>
      <c r="G518" s="13"/>
      <c r="H518" s="13"/>
    </row>
    <row r="519" spans="1:40" x14ac:dyDescent="0.25">
      <c r="B519" s="83" t="s">
        <v>15</v>
      </c>
      <c r="C519" s="120" t="s">
        <v>289</v>
      </c>
      <c r="D519" s="38"/>
      <c r="E519" s="53" t="s">
        <v>9</v>
      </c>
      <c r="F519" s="25"/>
      <c r="G519" s="24"/>
      <c r="H519" s="19" t="b">
        <f>IF(D521="x",H$2,H$1)</f>
        <v>0</v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3" t="s">
        <v>15</v>
      </c>
      <c r="C520" s="120" t="s">
        <v>290</v>
      </c>
      <c r="D520" s="38"/>
      <c r="E520" s="53" t="s">
        <v>10</v>
      </c>
      <c r="F520" s="20" t="str">
        <f>IF(H521=1,IF(H519=H$2,H519,""),"")</f>
        <v/>
      </c>
      <c r="G520" s="24"/>
      <c r="H520" s="19" t="str">
        <f>IF(E$536="comprobar",COUNTIF(D519:D523,"x"),"")</f>
        <v/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3" t="s">
        <v>15</v>
      </c>
      <c r="C521" s="127" t="s">
        <v>291</v>
      </c>
      <c r="D521" s="38"/>
      <c r="E521" s="53" t="s">
        <v>11</v>
      </c>
      <c r="F521" s="21" t="str">
        <f>IF(H521=-0.33,IF(H519=H$1,H519,""),"")</f>
        <v/>
      </c>
      <c r="G521" s="24"/>
      <c r="H521" s="22">
        <f>IF(H520=1,IF(H519=H$2,1,-0.33),0)</f>
        <v>0</v>
      </c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83" t="s">
        <v>15</v>
      </c>
      <c r="C522" s="24" t="s">
        <v>49</v>
      </c>
      <c r="D522" s="38"/>
      <c r="E522" s="53" t="s">
        <v>12</v>
      </c>
      <c r="F522" s="25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120"/>
      <c r="D523" s="38"/>
      <c r="E523" s="53" t="s">
        <v>13</v>
      </c>
      <c r="F523" s="18"/>
      <c r="G523" s="24"/>
      <c r="H523" s="22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126" t="s">
        <v>37</v>
      </c>
      <c r="C524" s="84" t="s">
        <v>304</v>
      </c>
      <c r="D524" s="99"/>
      <c r="E524" s="52"/>
      <c r="F524" s="27"/>
      <c r="G524" s="13"/>
      <c r="H524" s="13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x14ac:dyDescent="0.25">
      <c r="B525" s="83" t="s">
        <v>15</v>
      </c>
      <c r="C525" s="120" t="s">
        <v>289</v>
      </c>
      <c r="D525" s="38"/>
      <c r="E525" s="53" t="s">
        <v>9</v>
      </c>
      <c r="F525" s="25"/>
      <c r="G525" s="24"/>
      <c r="H525" s="19" t="b">
        <f>IF(D526="x",H$2,H$1)</f>
        <v>0</v>
      </c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x14ac:dyDescent="0.25">
      <c r="B526" s="83" t="s">
        <v>15</v>
      </c>
      <c r="C526" s="120" t="s">
        <v>290</v>
      </c>
      <c r="D526" s="38"/>
      <c r="E526" s="53" t="s">
        <v>10</v>
      </c>
      <c r="F526" s="20" t="str">
        <f>IF(H527=1,IF(H525=H$2,H525,""),"")</f>
        <v/>
      </c>
      <c r="G526" s="24"/>
      <c r="H526" s="19" t="str">
        <f>IF(E$536="comprobar",COUNTIF(D525:D529,"x"),"")</f>
        <v/>
      </c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x14ac:dyDescent="0.25">
      <c r="B527" s="83" t="s">
        <v>15</v>
      </c>
      <c r="C527" s="120" t="s">
        <v>291</v>
      </c>
      <c r="D527" s="38"/>
      <c r="E527" s="53" t="s">
        <v>11</v>
      </c>
      <c r="F527" s="21" t="str">
        <f>IF(H527=-0.33,IF(H525=H$1,H525,""),"")</f>
        <v/>
      </c>
      <c r="G527" s="24"/>
      <c r="H527" s="22">
        <f>IF(H526=1,IF(H525=H$2,1,-0.33),0)</f>
        <v>0</v>
      </c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</row>
    <row r="528" spans="1:40" x14ac:dyDescent="0.25">
      <c r="B528" s="83" t="s">
        <v>15</v>
      </c>
      <c r="C528" s="120" t="s">
        <v>49</v>
      </c>
      <c r="D528" s="38"/>
      <c r="E528" s="53" t="s">
        <v>12</v>
      </c>
      <c r="F528" s="25"/>
      <c r="G528" s="24"/>
      <c r="H528" s="22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</row>
    <row r="529" spans="1:40" x14ac:dyDescent="0.25">
      <c r="B529" s="63"/>
      <c r="C529" s="120"/>
      <c r="D529" s="38"/>
      <c r="E529" s="53" t="s">
        <v>13</v>
      </c>
      <c r="F529" s="18"/>
      <c r="G529" s="24"/>
      <c r="H529" s="22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</row>
    <row r="530" spans="1:40" x14ac:dyDescent="0.25">
      <c r="B530" s="126" t="s">
        <v>38</v>
      </c>
      <c r="C530" s="84" t="s">
        <v>305</v>
      </c>
      <c r="D530" s="99"/>
      <c r="E530" s="52"/>
      <c r="F530" s="27"/>
      <c r="G530" s="13"/>
      <c r="H530" s="13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</row>
    <row r="531" spans="1:40" x14ac:dyDescent="0.25">
      <c r="B531" s="83" t="s">
        <v>15</v>
      </c>
      <c r="C531" s="120" t="s">
        <v>289</v>
      </c>
      <c r="D531" s="38"/>
      <c r="E531" s="53" t="s">
        <v>9</v>
      </c>
      <c r="F531" s="25"/>
      <c r="G531" s="24"/>
      <c r="H531" s="19" t="b">
        <f>IF(D534="x",H$2,H$1)</f>
        <v>0</v>
      </c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</row>
    <row r="532" spans="1:40" x14ac:dyDescent="0.25">
      <c r="B532" s="83" t="s">
        <v>15</v>
      </c>
      <c r="C532" s="127" t="s">
        <v>290</v>
      </c>
      <c r="D532" s="38"/>
      <c r="E532" s="53" t="s">
        <v>10</v>
      </c>
      <c r="F532" s="20" t="str">
        <f>IF(H533=1,IF(H531=H$2,H531,""),"")</f>
        <v/>
      </c>
      <c r="G532" s="24"/>
      <c r="H532" s="19" t="str">
        <f>IF(E$536="comprobar",COUNTIF(D531:D535,"x"),"")</f>
        <v/>
      </c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</row>
    <row r="533" spans="1:40" x14ac:dyDescent="0.25">
      <c r="B533" s="83" t="s">
        <v>15</v>
      </c>
      <c r="C533" s="127" t="s">
        <v>291</v>
      </c>
      <c r="D533" s="38"/>
      <c r="E533" s="53" t="s">
        <v>11</v>
      </c>
      <c r="F533" s="21" t="str">
        <f>IF(H533=-0.33,IF(H531=H$1,H531,""),"")</f>
        <v/>
      </c>
      <c r="G533" s="24"/>
      <c r="H533" s="22">
        <f>IF(H532=1,IF(H531=H$2,1,-0.33),0)</f>
        <v>0</v>
      </c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</row>
    <row r="534" spans="1:40" x14ac:dyDescent="0.25">
      <c r="B534" s="83" t="s">
        <v>15</v>
      </c>
      <c r="C534" s="120" t="s">
        <v>49</v>
      </c>
      <c r="D534" s="38"/>
      <c r="E534" s="53" t="s">
        <v>12</v>
      </c>
      <c r="F534" s="25"/>
      <c r="G534" s="24"/>
      <c r="H534" s="22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</row>
    <row r="535" spans="1:40" x14ac:dyDescent="0.25">
      <c r="B535" s="63"/>
      <c r="C535" s="127"/>
      <c r="D535" s="38"/>
      <c r="E535" s="53" t="s">
        <v>13</v>
      </c>
      <c r="F535" s="18"/>
      <c r="G535" s="24"/>
      <c r="H535" s="22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</row>
    <row r="536" spans="1:40" x14ac:dyDescent="0.25">
      <c r="B536" s="63"/>
      <c r="C536" s="24"/>
      <c r="D536" s="48"/>
      <c r="E536" s="54"/>
      <c r="F536" s="18"/>
      <c r="G536" s="24"/>
      <c r="H536" s="22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</row>
    <row r="537" spans="1:40" x14ac:dyDescent="0.25">
      <c r="B537" s="44"/>
      <c r="C537" s="40"/>
      <c r="D537" s="48"/>
      <c r="E537" s="54" t="s">
        <v>44</v>
      </c>
      <c r="F537" s="18"/>
      <c r="G537" s="17" t="s">
        <v>6</v>
      </c>
      <c r="H537" s="17" t="s">
        <v>7</v>
      </c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</row>
    <row r="538" spans="1:40" ht="19.5" x14ac:dyDescent="0.25">
      <c r="B538" s="44"/>
      <c r="C538" s="16"/>
      <c r="D538" s="79"/>
      <c r="E538" s="51"/>
      <c r="F538" s="29" t="str">
        <f>IF(E$536="comprobar",H467+H473+H479+H485+H491+H497+H503+H509+H515+H521+H527+H533,"")</f>
        <v/>
      </c>
      <c r="G538" s="17">
        <f>12/2</f>
        <v>6</v>
      </c>
      <c r="H538" s="17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</row>
    <row r="539" spans="1:40" ht="16.5" thickBot="1" x14ac:dyDescent="0.3">
      <c r="B539" s="45"/>
      <c r="C539" s="30"/>
      <c r="D539" s="31"/>
      <c r="E539" s="55"/>
      <c r="F539" s="32" t="str">
        <f>IF(F538&gt;G538,G537,H537)</f>
        <v>APROBADO</v>
      </c>
      <c r="G539" s="17"/>
      <c r="H539" s="17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</row>
    <row r="540" spans="1:40" ht="28.5" x14ac:dyDescent="0.45">
      <c r="B540" s="61" t="s">
        <v>198</v>
      </c>
      <c r="C540" s="80" t="s">
        <v>16</v>
      </c>
      <c r="D540" s="80"/>
      <c r="E540" s="80"/>
      <c r="F540" s="81"/>
    </row>
    <row r="541" spans="1:40" s="15" customFormat="1" x14ac:dyDescent="0.25">
      <c r="A541" s="4"/>
      <c r="B541" s="119" t="s">
        <v>18</v>
      </c>
      <c r="C541" s="84" t="s">
        <v>306</v>
      </c>
      <c r="D541" s="12"/>
      <c r="E541" s="12"/>
      <c r="F541" s="14"/>
      <c r="G541" s="26"/>
      <c r="H541" s="13"/>
    </row>
    <row r="542" spans="1:40" x14ac:dyDescent="0.25">
      <c r="B542" s="83" t="s">
        <v>15</v>
      </c>
      <c r="C542" s="120" t="s">
        <v>307</v>
      </c>
      <c r="D542" s="38"/>
      <c r="E542" s="79" t="s">
        <v>9</v>
      </c>
      <c r="F542" s="18"/>
      <c r="G542" s="24"/>
      <c r="H542" s="19" t="b">
        <f>IF(D543="x",H$2,H$1)</f>
        <v>0</v>
      </c>
    </row>
    <row r="543" spans="1:40" x14ac:dyDescent="0.25">
      <c r="B543" s="83" t="s">
        <v>15</v>
      </c>
      <c r="C543" s="127" t="s">
        <v>308</v>
      </c>
      <c r="D543" s="38"/>
      <c r="E543" s="79" t="s">
        <v>10</v>
      </c>
      <c r="F543" s="20" t="str">
        <f>IF(H544=1,IF(H542=H$2,H542,""),"")</f>
        <v/>
      </c>
      <c r="G543" s="24"/>
      <c r="H543" s="19" t="str">
        <f>IF(E$601="comprobar",COUNTIF(D542:D546,"x"),"")</f>
        <v/>
      </c>
    </row>
    <row r="544" spans="1:40" x14ac:dyDescent="0.25">
      <c r="B544" s="83" t="s">
        <v>15</v>
      </c>
      <c r="C544" s="127" t="s">
        <v>309</v>
      </c>
      <c r="D544" s="38"/>
      <c r="E544" s="79" t="s">
        <v>11</v>
      </c>
      <c r="F544" s="21" t="str">
        <f>IF(H544=-0.33,IF(H542=H$1,H542,""),"")</f>
        <v/>
      </c>
      <c r="G544" s="24"/>
      <c r="H544" s="22">
        <f>IF(H543=1,IF(H542=H$2,1,-0.33),0)</f>
        <v>0</v>
      </c>
    </row>
    <row r="545" spans="1:8" x14ac:dyDescent="0.25">
      <c r="B545" s="83" t="s">
        <v>15</v>
      </c>
      <c r="C545" s="120" t="s">
        <v>49</v>
      </c>
      <c r="D545" s="38"/>
      <c r="E545" s="79" t="s">
        <v>12</v>
      </c>
      <c r="F545" s="18"/>
      <c r="G545" s="24"/>
      <c r="H545" s="22"/>
    </row>
    <row r="546" spans="1:8" x14ac:dyDescent="0.25">
      <c r="B546" s="42"/>
      <c r="C546" s="127"/>
      <c r="D546" s="38"/>
      <c r="E546" s="79" t="s">
        <v>13</v>
      </c>
      <c r="F546" s="18"/>
      <c r="G546" s="17"/>
      <c r="H546" s="22"/>
    </row>
    <row r="547" spans="1:8" s="15" customFormat="1" x14ac:dyDescent="0.25">
      <c r="A547" s="4"/>
      <c r="B547" s="122" t="s">
        <v>17</v>
      </c>
      <c r="C547" s="84" t="s">
        <v>310</v>
      </c>
      <c r="D547" s="39"/>
      <c r="E547" s="12"/>
      <c r="F547" s="14"/>
      <c r="G547" s="26"/>
      <c r="H547" s="13"/>
    </row>
    <row r="548" spans="1:8" x14ac:dyDescent="0.25">
      <c r="B548" s="83" t="s">
        <v>15</v>
      </c>
      <c r="C548" s="120" t="s">
        <v>311</v>
      </c>
      <c r="D548" s="38"/>
      <c r="E548" s="79" t="s">
        <v>9</v>
      </c>
      <c r="F548" s="18"/>
      <c r="G548" s="24"/>
      <c r="H548" s="19" t="b">
        <f>IF(D551="x",H$2,H$1)</f>
        <v>0</v>
      </c>
    </row>
    <row r="549" spans="1:8" x14ac:dyDescent="0.25">
      <c r="B549" s="83" t="s">
        <v>15</v>
      </c>
      <c r="C549" s="127" t="s">
        <v>312</v>
      </c>
      <c r="D549" s="38"/>
      <c r="E549" s="79" t="s">
        <v>10</v>
      </c>
      <c r="F549" s="20" t="str">
        <f>IF(H550=1,IF(H548=H$2,H548,""),"")</f>
        <v/>
      </c>
      <c r="G549" s="24"/>
      <c r="H549" s="19" t="str">
        <f>IF(E$601="comprobar",COUNTIF(D548:D552,"x"),"")</f>
        <v/>
      </c>
    </row>
    <row r="550" spans="1:8" x14ac:dyDescent="0.25">
      <c r="B550" s="83" t="s">
        <v>15</v>
      </c>
      <c r="C550" s="127" t="s">
        <v>313</v>
      </c>
      <c r="D550" s="38"/>
      <c r="E550" s="79" t="s">
        <v>11</v>
      </c>
      <c r="F550" s="21" t="str">
        <f>IF(H550=-0.33,IF(H548=H$1,H548,""),"")</f>
        <v/>
      </c>
      <c r="G550" s="24"/>
      <c r="H550" s="22">
        <f t="shared" ref="H550" si="43">IF(H549=1,IF(H548=H$2,1,-0.33),0)</f>
        <v>0</v>
      </c>
    </row>
    <row r="551" spans="1:8" x14ac:dyDescent="0.25">
      <c r="B551" s="83" t="s">
        <v>15</v>
      </c>
      <c r="C551" s="120" t="s">
        <v>314</v>
      </c>
      <c r="D551" s="38"/>
      <c r="E551" s="79" t="s">
        <v>12</v>
      </c>
      <c r="F551" s="18"/>
      <c r="G551" s="24"/>
      <c r="H551" s="22"/>
    </row>
    <row r="552" spans="1:8" x14ac:dyDescent="0.25">
      <c r="B552" s="83"/>
      <c r="C552" s="127"/>
      <c r="D552" s="38"/>
      <c r="E552" s="79" t="s">
        <v>13</v>
      </c>
      <c r="F552" s="18"/>
      <c r="G552" s="17"/>
      <c r="H552" s="22"/>
    </row>
    <row r="553" spans="1:8" s="15" customFormat="1" x14ac:dyDescent="0.25">
      <c r="A553" s="4"/>
      <c r="B553" s="122" t="s">
        <v>19</v>
      </c>
      <c r="C553" s="84" t="s">
        <v>315</v>
      </c>
      <c r="D553" s="39"/>
      <c r="E553" s="12"/>
      <c r="F553" s="14"/>
      <c r="G553" s="26"/>
      <c r="H553" s="13"/>
    </row>
    <row r="554" spans="1:8" x14ac:dyDescent="0.25">
      <c r="B554" s="83" t="s">
        <v>15</v>
      </c>
      <c r="C554" s="120" t="s">
        <v>316</v>
      </c>
      <c r="D554" s="38"/>
      <c r="E554" s="79" t="s">
        <v>9</v>
      </c>
      <c r="F554" s="18"/>
      <c r="G554" s="24"/>
      <c r="H554" s="19" t="b">
        <f>IF(D554="x",H$2,H$1)</f>
        <v>0</v>
      </c>
    </row>
    <row r="555" spans="1:8" x14ac:dyDescent="0.25">
      <c r="B555" s="83" t="s">
        <v>15</v>
      </c>
      <c r="C555" s="127" t="s">
        <v>317</v>
      </c>
      <c r="D555" s="38"/>
      <c r="E555" s="79" t="s">
        <v>10</v>
      </c>
      <c r="F555" s="20" t="str">
        <f>IF(H556=1,IF(H554=H$2,H554,""),"")</f>
        <v/>
      </c>
      <c r="G555" s="24"/>
      <c r="H555" s="19" t="str">
        <f>IF(E$601="comprobar",COUNTIF(D554:D558,"x"),"")</f>
        <v/>
      </c>
    </row>
    <row r="556" spans="1:8" x14ac:dyDescent="0.25">
      <c r="B556" s="83" t="s">
        <v>15</v>
      </c>
      <c r="C556" s="127" t="s">
        <v>318</v>
      </c>
      <c r="D556" s="38"/>
      <c r="E556" s="79" t="s">
        <v>11</v>
      </c>
      <c r="F556" s="21" t="str">
        <f>IF(H556=-0.33,IF(H554=H$1,H554,""),"")</f>
        <v/>
      </c>
      <c r="G556" s="24"/>
      <c r="H556" s="22">
        <f t="shared" ref="H556" si="44">IF(H555=1,IF(H554=H$2,1,-0.33),0)</f>
        <v>0</v>
      </c>
    </row>
    <row r="557" spans="1:8" x14ac:dyDescent="0.25">
      <c r="B557" s="83" t="s">
        <v>15</v>
      </c>
      <c r="C557" s="120" t="s">
        <v>49</v>
      </c>
      <c r="D557" s="38"/>
      <c r="E557" s="79" t="s">
        <v>12</v>
      </c>
      <c r="F557" s="18"/>
      <c r="G557" s="24"/>
      <c r="H557" s="22"/>
    </row>
    <row r="558" spans="1:8" x14ac:dyDescent="0.25">
      <c r="B558" s="83"/>
      <c r="C558" s="127"/>
      <c r="D558" s="38"/>
      <c r="E558" s="79" t="s">
        <v>13</v>
      </c>
      <c r="F558" s="18"/>
      <c r="G558" s="17"/>
      <c r="H558" s="22"/>
    </row>
    <row r="559" spans="1:8" s="15" customFormat="1" x14ac:dyDescent="0.25">
      <c r="A559" s="4"/>
      <c r="B559" s="122" t="s">
        <v>20</v>
      </c>
      <c r="C559" s="84" t="s">
        <v>319</v>
      </c>
      <c r="D559" s="39"/>
      <c r="E559" s="12"/>
      <c r="F559" s="14"/>
      <c r="G559" s="26"/>
      <c r="H559" s="13"/>
    </row>
    <row r="560" spans="1:8" x14ac:dyDescent="0.25">
      <c r="B560" s="83" t="s">
        <v>15</v>
      </c>
      <c r="C560" s="120" t="s">
        <v>320</v>
      </c>
      <c r="D560" s="38"/>
      <c r="E560" s="79" t="s">
        <v>9</v>
      </c>
      <c r="F560" s="18"/>
      <c r="G560" s="24"/>
      <c r="H560" s="19" t="b">
        <f>IF(D561="x",H$2,H$1)</f>
        <v>0</v>
      </c>
    </row>
    <row r="561" spans="1:8" x14ac:dyDescent="0.25">
      <c r="B561" s="83" t="s">
        <v>15</v>
      </c>
      <c r="C561" s="127" t="s">
        <v>321</v>
      </c>
      <c r="D561" s="38"/>
      <c r="E561" s="79" t="s">
        <v>10</v>
      </c>
      <c r="F561" s="20" t="str">
        <f>IF(H562=1,IF(H560=H$2,H560,""),"")</f>
        <v/>
      </c>
      <c r="G561" s="24"/>
      <c r="H561" s="19" t="str">
        <f>IF(E$601="comprobar",COUNTIF(D560:D564,"x"),"")</f>
        <v/>
      </c>
    </row>
    <row r="562" spans="1:8" x14ac:dyDescent="0.25">
      <c r="B562" s="83" t="s">
        <v>15</v>
      </c>
      <c r="C562" s="127" t="s">
        <v>322</v>
      </c>
      <c r="D562" s="38"/>
      <c r="E562" s="79" t="s">
        <v>11</v>
      </c>
      <c r="F562" s="21" t="str">
        <f>IF(H562=-0.33,IF(H560=H$1,H560,""),"")</f>
        <v/>
      </c>
      <c r="G562" s="24"/>
      <c r="H562" s="22">
        <f t="shared" ref="H562" si="45">IF(H561=1,IF(H560=H$2,1,-0.33),0)</f>
        <v>0</v>
      </c>
    </row>
    <row r="563" spans="1:8" x14ac:dyDescent="0.25">
      <c r="B563" s="83" t="s">
        <v>15</v>
      </c>
      <c r="C563" s="120" t="s">
        <v>49</v>
      </c>
      <c r="D563" s="38"/>
      <c r="E563" s="79" t="s">
        <v>12</v>
      </c>
      <c r="F563" s="18"/>
      <c r="G563" s="24"/>
      <c r="H563" s="22"/>
    </row>
    <row r="564" spans="1:8" x14ac:dyDescent="0.25">
      <c r="B564" s="83"/>
      <c r="C564" s="127"/>
      <c r="D564" s="38"/>
      <c r="E564" s="79" t="s">
        <v>13</v>
      </c>
      <c r="F564" s="18"/>
      <c r="G564" s="17"/>
      <c r="H564" s="22"/>
    </row>
    <row r="565" spans="1:8" s="15" customFormat="1" x14ac:dyDescent="0.25">
      <c r="A565" s="4"/>
      <c r="B565" s="122" t="s">
        <v>21</v>
      </c>
      <c r="C565" s="84" t="s">
        <v>288</v>
      </c>
      <c r="D565" s="39"/>
      <c r="E565" s="12"/>
      <c r="F565" s="14"/>
      <c r="G565" s="26"/>
      <c r="H565" s="13"/>
    </row>
    <row r="566" spans="1:8" x14ac:dyDescent="0.25">
      <c r="B566" s="83" t="s">
        <v>15</v>
      </c>
      <c r="C566" s="120" t="s">
        <v>289</v>
      </c>
      <c r="D566" s="38"/>
      <c r="E566" s="79" t="s">
        <v>9</v>
      </c>
      <c r="F566" s="18"/>
      <c r="G566" s="24"/>
      <c r="H566" s="19" t="b">
        <f>IF(D566="x",H$2,H$1)</f>
        <v>0</v>
      </c>
    </row>
    <row r="567" spans="1:8" x14ac:dyDescent="0.25">
      <c r="B567" s="83" t="s">
        <v>15</v>
      </c>
      <c r="C567" s="127" t="s">
        <v>290</v>
      </c>
      <c r="D567" s="38"/>
      <c r="E567" s="79" t="s">
        <v>10</v>
      </c>
      <c r="F567" s="20" t="str">
        <f>IF(H568=1,IF(H566=H$2,H566,""),"")</f>
        <v/>
      </c>
      <c r="G567" s="24"/>
      <c r="H567" s="19" t="str">
        <f>IF(E$601="comprobar",COUNTIF(D566:D570,"x"),"")</f>
        <v/>
      </c>
    </row>
    <row r="568" spans="1:8" x14ac:dyDescent="0.25">
      <c r="B568" s="83" t="s">
        <v>15</v>
      </c>
      <c r="C568" s="127" t="s">
        <v>291</v>
      </c>
      <c r="D568" s="38"/>
      <c r="E568" s="79" t="s">
        <v>11</v>
      </c>
      <c r="F568" s="21" t="str">
        <f>IF(H568=-0.33,IF(H566=H$1,H566,""),"")</f>
        <v/>
      </c>
      <c r="G568" s="24"/>
      <c r="H568" s="22">
        <f t="shared" ref="H568" si="46">IF(H567=1,IF(H566=H$2,1,-0.33),0)</f>
        <v>0</v>
      </c>
    </row>
    <row r="569" spans="1:8" x14ac:dyDescent="0.25">
      <c r="B569" s="83" t="s">
        <v>15</v>
      </c>
      <c r="C569" s="120" t="s">
        <v>49</v>
      </c>
      <c r="D569" s="38"/>
      <c r="E569" s="79" t="s">
        <v>12</v>
      </c>
      <c r="F569" s="18"/>
      <c r="G569" s="24"/>
      <c r="H569" s="22"/>
    </row>
    <row r="570" spans="1:8" x14ac:dyDescent="0.25">
      <c r="B570" s="83"/>
      <c r="C570" s="127"/>
      <c r="D570" s="38"/>
      <c r="E570" s="79" t="s">
        <v>13</v>
      </c>
      <c r="F570" s="18"/>
      <c r="G570" s="17"/>
      <c r="H570" s="22"/>
    </row>
    <row r="571" spans="1:8" s="15" customFormat="1" x14ac:dyDescent="0.25">
      <c r="A571" s="4"/>
      <c r="B571" s="122" t="s">
        <v>22</v>
      </c>
      <c r="C571" s="84" t="s">
        <v>323</v>
      </c>
      <c r="D571" s="39"/>
      <c r="E571" s="12"/>
      <c r="F571" s="14"/>
      <c r="G571" s="26"/>
      <c r="H571" s="13"/>
    </row>
    <row r="572" spans="1:8" x14ac:dyDescent="0.25">
      <c r="B572" s="83" t="s">
        <v>15</v>
      </c>
      <c r="C572" s="120" t="s">
        <v>320</v>
      </c>
      <c r="D572" s="38"/>
      <c r="E572" s="79" t="s">
        <v>9</v>
      </c>
      <c r="F572" s="18"/>
      <c r="G572" s="24"/>
      <c r="H572" s="19" t="b">
        <f>IF(D572="x",H$2,H$1)</f>
        <v>0</v>
      </c>
    </row>
    <row r="573" spans="1:8" x14ac:dyDescent="0.25">
      <c r="B573" s="83" t="s">
        <v>15</v>
      </c>
      <c r="C573" s="127" t="s">
        <v>321</v>
      </c>
      <c r="D573" s="38"/>
      <c r="E573" s="79" t="s">
        <v>10</v>
      </c>
      <c r="F573" s="20" t="str">
        <f>IF(H574=1,IF(H572=H$2,H572,""),"")</f>
        <v/>
      </c>
      <c r="G573" s="24"/>
      <c r="H573" s="19" t="str">
        <f>IF(E$601="comprobar",COUNTIF(D572:D576,"x"),"")</f>
        <v/>
      </c>
    </row>
    <row r="574" spans="1:8" x14ac:dyDescent="0.25">
      <c r="B574" s="83" t="s">
        <v>15</v>
      </c>
      <c r="C574" s="127" t="s">
        <v>322</v>
      </c>
      <c r="D574" s="38"/>
      <c r="E574" s="79" t="s">
        <v>11</v>
      </c>
      <c r="F574" s="21" t="str">
        <f>IF(H574=-0.33,IF(H572=H$1,H572,""),"")</f>
        <v/>
      </c>
      <c r="G574" s="24"/>
      <c r="H574" s="22">
        <f t="shared" ref="H574" si="47">IF(H573=1,IF(H572=H$2,1,-0.33),0)</f>
        <v>0</v>
      </c>
    </row>
    <row r="575" spans="1:8" x14ac:dyDescent="0.25">
      <c r="B575" s="83" t="s">
        <v>15</v>
      </c>
      <c r="C575" s="120" t="s">
        <v>49</v>
      </c>
      <c r="D575" s="38"/>
      <c r="E575" s="79" t="s">
        <v>12</v>
      </c>
      <c r="F575" s="18"/>
      <c r="G575" s="24"/>
      <c r="H575" s="22"/>
    </row>
    <row r="576" spans="1:8" x14ac:dyDescent="0.25">
      <c r="B576" s="42"/>
      <c r="C576" s="127"/>
      <c r="D576" s="38"/>
      <c r="E576" s="79" t="s">
        <v>13</v>
      </c>
      <c r="F576" s="18"/>
      <c r="G576" s="17"/>
      <c r="H576" s="22"/>
    </row>
    <row r="577" spans="1:8" s="15" customFormat="1" x14ac:dyDescent="0.25">
      <c r="A577" s="4"/>
      <c r="B577" s="122" t="s">
        <v>23</v>
      </c>
      <c r="C577" s="84" t="s">
        <v>324</v>
      </c>
      <c r="D577" s="39"/>
      <c r="E577" s="12"/>
      <c r="F577" s="14"/>
      <c r="G577" s="26"/>
      <c r="H577" s="13"/>
    </row>
    <row r="578" spans="1:8" x14ac:dyDescent="0.25">
      <c r="B578" s="83" t="s">
        <v>15</v>
      </c>
      <c r="C578" s="120" t="s">
        <v>325</v>
      </c>
      <c r="D578" s="38"/>
      <c r="E578" s="79" t="s">
        <v>9</v>
      </c>
      <c r="F578" s="18"/>
      <c r="G578" s="24"/>
      <c r="H578" s="19" t="b">
        <f>IF(D580="x",H$2,H$1)</f>
        <v>0</v>
      </c>
    </row>
    <row r="579" spans="1:8" x14ac:dyDescent="0.25">
      <c r="B579" s="83" t="s">
        <v>15</v>
      </c>
      <c r="C579" s="127" t="s">
        <v>326</v>
      </c>
      <c r="D579" s="38"/>
      <c r="E579" s="79" t="s">
        <v>10</v>
      </c>
      <c r="F579" s="20" t="str">
        <f>IF(H580=1,IF(H578=H$2,H578,""),"")</f>
        <v/>
      </c>
      <c r="G579" s="24"/>
      <c r="H579" s="19" t="str">
        <f>IF(E$601="comprobar",COUNTIF(D578:D582,"x"),"")</f>
        <v/>
      </c>
    </row>
    <row r="580" spans="1:8" x14ac:dyDescent="0.25">
      <c r="B580" s="83" t="s">
        <v>15</v>
      </c>
      <c r="C580" s="127" t="s">
        <v>327</v>
      </c>
      <c r="D580" s="38"/>
      <c r="E580" s="79" t="s">
        <v>11</v>
      </c>
      <c r="F580" s="21" t="str">
        <f>IF(H580=-0.33,IF(H578=H$1,H578,""),"")</f>
        <v/>
      </c>
      <c r="G580" s="24"/>
      <c r="H580" s="22">
        <f t="shared" ref="H580" si="48">IF(H579=1,IF(H578=H$2,1,-0.33),0)</f>
        <v>0</v>
      </c>
    </row>
    <row r="581" spans="1:8" x14ac:dyDescent="0.25">
      <c r="B581" s="83" t="s">
        <v>15</v>
      </c>
      <c r="C581" s="120" t="s">
        <v>49</v>
      </c>
      <c r="D581" s="38"/>
      <c r="E581" s="79" t="s">
        <v>12</v>
      </c>
      <c r="F581" s="18"/>
      <c r="G581" s="24"/>
      <c r="H581" s="22"/>
    </row>
    <row r="582" spans="1:8" x14ac:dyDescent="0.25">
      <c r="B582" s="42"/>
      <c r="C582" s="127"/>
      <c r="D582" s="38"/>
      <c r="E582" s="79" t="s">
        <v>13</v>
      </c>
      <c r="F582" s="18"/>
      <c r="G582" s="17"/>
      <c r="H582" s="22"/>
    </row>
    <row r="583" spans="1:8" s="15" customFormat="1" x14ac:dyDescent="0.25">
      <c r="A583" s="4"/>
      <c r="B583" s="122" t="s">
        <v>24</v>
      </c>
      <c r="C583" s="84" t="s">
        <v>328</v>
      </c>
      <c r="D583" s="39"/>
      <c r="E583" s="12"/>
      <c r="F583" s="14"/>
      <c r="G583" s="26"/>
      <c r="H583" s="13"/>
    </row>
    <row r="584" spans="1:8" x14ac:dyDescent="0.25">
      <c r="B584" s="83" t="s">
        <v>15</v>
      </c>
      <c r="C584" s="120" t="s">
        <v>329</v>
      </c>
      <c r="D584" s="38"/>
      <c r="E584" s="79" t="s">
        <v>9</v>
      </c>
      <c r="F584" s="18"/>
      <c r="G584" s="24"/>
      <c r="H584" s="19" t="b">
        <f>IF(D584="x",H$2,H$1)</f>
        <v>0</v>
      </c>
    </row>
    <row r="585" spans="1:8" x14ac:dyDescent="0.25">
      <c r="B585" s="83" t="s">
        <v>15</v>
      </c>
      <c r="C585" s="127" t="s">
        <v>330</v>
      </c>
      <c r="D585" s="38"/>
      <c r="E585" s="79" t="s">
        <v>10</v>
      </c>
      <c r="F585" s="20" t="str">
        <f>IF(H586=1,IF(H584=H$2,H584,""),"")</f>
        <v/>
      </c>
      <c r="G585" s="24"/>
      <c r="H585" s="19" t="str">
        <f>IF(E$601="comprobar",COUNTIF(D584:D588,"x"),"")</f>
        <v/>
      </c>
    </row>
    <row r="586" spans="1:8" x14ac:dyDescent="0.25">
      <c r="B586" s="83" t="s">
        <v>15</v>
      </c>
      <c r="C586" s="127" t="s">
        <v>331</v>
      </c>
      <c r="D586" s="38"/>
      <c r="E586" s="79" t="s">
        <v>11</v>
      </c>
      <c r="F586" s="21" t="str">
        <f>IF(H586=-0.33,IF(H584=H$1,H584,""),"")</f>
        <v/>
      </c>
      <c r="G586" s="24"/>
      <c r="H586" s="22">
        <f t="shared" ref="H586" si="49">IF(H585=1,IF(H584=H$2,1,-0.33),0)</f>
        <v>0</v>
      </c>
    </row>
    <row r="587" spans="1:8" x14ac:dyDescent="0.25">
      <c r="B587" s="83" t="s">
        <v>15</v>
      </c>
      <c r="C587" s="120" t="s">
        <v>332</v>
      </c>
      <c r="D587" s="38"/>
      <c r="E587" s="79" t="s">
        <v>12</v>
      </c>
      <c r="F587" s="18"/>
      <c r="G587" s="24"/>
      <c r="H587" s="22"/>
    </row>
    <row r="588" spans="1:8" x14ac:dyDescent="0.25">
      <c r="B588" s="108"/>
      <c r="C588" s="127"/>
      <c r="D588" s="38"/>
      <c r="E588" s="79" t="s">
        <v>13</v>
      </c>
      <c r="F588" s="18"/>
      <c r="G588" s="17"/>
      <c r="H588" s="22"/>
    </row>
    <row r="589" spans="1:8" x14ac:dyDescent="0.25">
      <c r="B589" s="122" t="s">
        <v>29</v>
      </c>
      <c r="C589" s="84" t="s">
        <v>333</v>
      </c>
      <c r="D589" s="39"/>
      <c r="E589" s="12"/>
      <c r="F589" s="14"/>
      <c r="G589" s="26"/>
      <c r="H589" s="13"/>
    </row>
    <row r="590" spans="1:8" x14ac:dyDescent="0.25">
      <c r="B590" s="83" t="s">
        <v>15</v>
      </c>
      <c r="C590" s="120" t="s">
        <v>334</v>
      </c>
      <c r="D590" s="38"/>
      <c r="E590" s="121" t="s">
        <v>9</v>
      </c>
      <c r="F590" s="18"/>
      <c r="G590" s="24"/>
      <c r="H590" s="19" t="b">
        <f>IF(D593="x",H$2,H$1)</f>
        <v>0</v>
      </c>
    </row>
    <row r="591" spans="1:8" x14ac:dyDescent="0.25">
      <c r="B591" s="83" t="s">
        <v>15</v>
      </c>
      <c r="C591" s="127" t="s">
        <v>335</v>
      </c>
      <c r="D591" s="38"/>
      <c r="E591" s="121" t="s">
        <v>10</v>
      </c>
      <c r="F591" s="20" t="str">
        <f>IF(H592=1,IF(H590=H$2,H590,""),"")</f>
        <v/>
      </c>
      <c r="G591" s="24"/>
      <c r="H591" s="19" t="str">
        <f>IF(E$601="comprobar",COUNTIF(D590:D594,"x"),"")</f>
        <v/>
      </c>
    </row>
    <row r="592" spans="1:8" x14ac:dyDescent="0.25">
      <c r="B592" s="83" t="s">
        <v>15</v>
      </c>
      <c r="C592" s="127" t="s">
        <v>336</v>
      </c>
      <c r="D592" s="38"/>
      <c r="E592" s="121" t="s">
        <v>11</v>
      </c>
      <c r="F592" s="21" t="str">
        <f>IF(H592=-0.33,IF(H590=H$1,H590,""),"")</f>
        <v/>
      </c>
      <c r="G592" s="24"/>
      <c r="H592" s="22">
        <f t="shared" ref="H592" si="50">IF(H591=1,IF(H590=H$2,1,-0.33),0)</f>
        <v>0</v>
      </c>
    </row>
    <row r="593" spans="2:10" x14ac:dyDescent="0.25">
      <c r="B593" s="83" t="s">
        <v>15</v>
      </c>
      <c r="C593" s="120" t="s">
        <v>49</v>
      </c>
      <c r="D593" s="38"/>
      <c r="E593" s="121" t="s">
        <v>12</v>
      </c>
      <c r="F593" s="18"/>
      <c r="G593" s="24"/>
      <c r="H593" s="22"/>
    </row>
    <row r="594" spans="2:10" x14ac:dyDescent="0.25">
      <c r="B594" s="108"/>
      <c r="C594" s="127"/>
      <c r="D594" s="38"/>
      <c r="E594" s="121" t="s">
        <v>13</v>
      </c>
      <c r="F594" s="18"/>
      <c r="G594" s="17"/>
      <c r="H594" s="22"/>
    </row>
    <row r="595" spans="2:10" x14ac:dyDescent="0.25">
      <c r="B595" s="122" t="s">
        <v>27</v>
      </c>
      <c r="C595" s="84" t="s">
        <v>337</v>
      </c>
      <c r="D595" s="39"/>
      <c r="E595" s="12"/>
      <c r="F595" s="14"/>
      <c r="G595" s="26"/>
      <c r="H595" s="13"/>
    </row>
    <row r="596" spans="2:10" x14ac:dyDescent="0.25">
      <c r="B596" s="83" t="s">
        <v>15</v>
      </c>
      <c r="C596" s="120" t="s">
        <v>338</v>
      </c>
      <c r="D596" s="38"/>
      <c r="E596" s="121" t="s">
        <v>9</v>
      </c>
      <c r="F596" s="18"/>
      <c r="G596" s="24"/>
      <c r="H596" s="19" t="b">
        <f>IF(D597="x",H$2,H$1)</f>
        <v>0</v>
      </c>
    </row>
    <row r="597" spans="2:10" x14ac:dyDescent="0.25">
      <c r="B597" s="83" t="s">
        <v>15</v>
      </c>
      <c r="C597" s="127" t="s">
        <v>339</v>
      </c>
      <c r="D597" s="38"/>
      <c r="E597" s="121" t="s">
        <v>10</v>
      </c>
      <c r="F597" s="20" t="str">
        <f>IF(H598=1,IF(H596=H$2,H596,""),"")</f>
        <v/>
      </c>
      <c r="G597" s="24"/>
      <c r="H597" s="19" t="str">
        <f>IF(E$601="comprobar",COUNTIF(D596:D600,"x"),"")</f>
        <v/>
      </c>
    </row>
    <row r="598" spans="2:10" x14ac:dyDescent="0.25">
      <c r="B598" s="83" t="s">
        <v>15</v>
      </c>
      <c r="C598" s="127" t="s">
        <v>340</v>
      </c>
      <c r="D598" s="38"/>
      <c r="E598" s="121" t="s">
        <v>11</v>
      </c>
      <c r="F598" s="21" t="str">
        <f>IF(H598=-0.33,IF(H596=H$1,H596,""),"")</f>
        <v/>
      </c>
      <c r="G598" s="24"/>
      <c r="H598" s="22">
        <f t="shared" ref="H598" si="51">IF(H597=1,IF(H596=H$2,1,-0.33),0)</f>
        <v>0</v>
      </c>
    </row>
    <row r="599" spans="2:10" x14ac:dyDescent="0.25">
      <c r="B599" s="83" t="s">
        <v>15</v>
      </c>
      <c r="C599" s="120" t="s">
        <v>260</v>
      </c>
      <c r="D599" s="38"/>
      <c r="E599" s="121" t="s">
        <v>12</v>
      </c>
      <c r="F599" s="18"/>
      <c r="G599" s="24"/>
      <c r="H599" s="22"/>
    </row>
    <row r="600" spans="2:10" x14ac:dyDescent="0.25">
      <c r="B600" s="108"/>
      <c r="C600" s="127"/>
      <c r="D600" s="38"/>
      <c r="E600" s="121" t="s">
        <v>13</v>
      </c>
      <c r="F600" s="18"/>
      <c r="G600" s="17"/>
      <c r="H600" s="22"/>
    </row>
    <row r="601" spans="2:10" x14ac:dyDescent="0.25">
      <c r="B601" s="108"/>
      <c r="C601" s="16"/>
      <c r="D601" s="48"/>
      <c r="E601" s="54"/>
      <c r="F601" s="18"/>
      <c r="G601" s="17"/>
      <c r="H601" s="22"/>
    </row>
    <row r="602" spans="2:10" x14ac:dyDescent="0.25">
      <c r="B602" s="42"/>
      <c r="C602" s="8"/>
      <c r="D602" s="48"/>
      <c r="E602" s="59"/>
      <c r="F602" s="28" t="s">
        <v>8</v>
      </c>
      <c r="G602" s="17" t="s">
        <v>6</v>
      </c>
      <c r="H602" s="17" t="s">
        <v>7</v>
      </c>
    </row>
    <row r="603" spans="2:10" ht="19.5" x14ac:dyDescent="0.25">
      <c r="B603" s="42"/>
      <c r="C603" s="8"/>
      <c r="D603" s="130"/>
      <c r="E603" s="130"/>
      <c r="F603" s="29" t="str">
        <f>IF(E$601="comprobar",H586+H580+H574+H568+H562+H556+H550+H544+H592+H598,"")</f>
        <v/>
      </c>
      <c r="G603" s="17">
        <f>10/2</f>
        <v>5</v>
      </c>
      <c r="H603" s="17"/>
    </row>
    <row r="604" spans="2:10" ht="16.5" thickBot="1" x14ac:dyDescent="0.3">
      <c r="B604" s="65"/>
      <c r="C604" s="66"/>
      <c r="D604" s="31"/>
      <c r="E604" s="9"/>
      <c r="F604" s="32" t="str">
        <f>IF(F603&gt;G603,G602,H602)</f>
        <v>APROBADO</v>
      </c>
      <c r="G604" s="17"/>
      <c r="H604" s="17"/>
    </row>
    <row r="605" spans="2:10" ht="28.5" x14ac:dyDescent="0.45">
      <c r="B605" s="61" t="s">
        <v>198</v>
      </c>
      <c r="C605" s="124" t="s">
        <v>41</v>
      </c>
      <c r="D605" s="124"/>
      <c r="E605" s="124"/>
      <c r="F605" s="125"/>
    </row>
    <row r="606" spans="2:10" x14ac:dyDescent="0.25">
      <c r="B606" s="119" t="s">
        <v>18</v>
      </c>
      <c r="C606" s="84" t="s">
        <v>194</v>
      </c>
      <c r="D606" s="12"/>
      <c r="E606" s="12"/>
      <c r="F606" s="14"/>
      <c r="G606" s="26"/>
      <c r="H606" s="13"/>
      <c r="I606" s="15"/>
      <c r="J606" s="15"/>
    </row>
    <row r="607" spans="2:10" x14ac:dyDescent="0.25">
      <c r="B607" s="83" t="s">
        <v>15</v>
      </c>
      <c r="C607" s="120" t="s">
        <v>195</v>
      </c>
      <c r="D607" s="38"/>
      <c r="E607" s="123"/>
      <c r="F607" s="18"/>
      <c r="G607" s="24"/>
      <c r="H607" s="19" t="b">
        <f>IF(D607="x",H$2,H$1)</f>
        <v>0</v>
      </c>
    </row>
    <row r="608" spans="2:10" x14ac:dyDescent="0.25">
      <c r="B608" s="83" t="s">
        <v>15</v>
      </c>
      <c r="C608" s="127" t="s">
        <v>196</v>
      </c>
      <c r="D608" s="38"/>
      <c r="E608" s="123" t="s">
        <v>10</v>
      </c>
      <c r="F608" s="20" t="str">
        <f>IF(H609=1,IF(H607=H$2,H607,""),"")</f>
        <v/>
      </c>
      <c r="G608" s="24"/>
      <c r="H608" s="19" t="str">
        <f>IF(E$666="comprobar",COUNTIF(D607:D611,"x"),"")</f>
        <v/>
      </c>
    </row>
    <row r="609" spans="2:10" x14ac:dyDescent="0.25">
      <c r="B609" s="83" t="s">
        <v>15</v>
      </c>
      <c r="C609" s="127" t="s">
        <v>197</v>
      </c>
      <c r="D609" s="38"/>
      <c r="E609" s="123" t="s">
        <v>11</v>
      </c>
      <c r="F609" s="21" t="str">
        <f>IF(H609=-0.33,IF(H607=H$1,H607,""),"")</f>
        <v/>
      </c>
      <c r="G609" s="24"/>
      <c r="H609" s="22">
        <f>IF(H608=1,IF(H607=H$2,1,-0.33),0)</f>
        <v>0</v>
      </c>
    </row>
    <row r="610" spans="2:10" x14ac:dyDescent="0.25">
      <c r="B610" s="83" t="s">
        <v>15</v>
      </c>
      <c r="C610" s="120" t="s">
        <v>49</v>
      </c>
      <c r="D610" s="38"/>
      <c r="E610" s="123" t="s">
        <v>12</v>
      </c>
      <c r="F610" s="18"/>
      <c r="G610" s="24"/>
      <c r="H610" s="22"/>
    </row>
    <row r="611" spans="2:10" x14ac:dyDescent="0.25">
      <c r="B611" s="42"/>
      <c r="C611" s="127"/>
      <c r="D611" s="38"/>
      <c r="E611" s="123" t="s">
        <v>13</v>
      </c>
      <c r="F611" s="18"/>
      <c r="G611" s="17"/>
      <c r="H611" s="22"/>
    </row>
    <row r="612" spans="2:10" x14ac:dyDescent="0.25">
      <c r="B612" s="122" t="s">
        <v>17</v>
      </c>
      <c r="C612" s="84" t="s">
        <v>341</v>
      </c>
      <c r="D612" s="39"/>
      <c r="E612" s="12"/>
      <c r="F612" s="14"/>
      <c r="G612" s="26"/>
      <c r="H612" s="13"/>
      <c r="I612" s="15"/>
      <c r="J612" s="15"/>
    </row>
    <row r="613" spans="2:10" x14ac:dyDescent="0.25">
      <c r="B613" s="83" t="s">
        <v>15</v>
      </c>
      <c r="C613" s="120" t="s">
        <v>342</v>
      </c>
      <c r="D613" s="38"/>
      <c r="E613" s="123" t="s">
        <v>9</v>
      </c>
      <c r="F613" s="18"/>
      <c r="G613" s="24"/>
      <c r="H613" s="19" t="b">
        <f>IF(D615="x",H$2,H$1)</f>
        <v>0</v>
      </c>
    </row>
    <row r="614" spans="2:10" x14ac:dyDescent="0.25">
      <c r="B614" s="83" t="s">
        <v>15</v>
      </c>
      <c r="C614" s="127" t="s">
        <v>343</v>
      </c>
      <c r="D614" s="38"/>
      <c r="E614" s="123" t="s">
        <v>10</v>
      </c>
      <c r="F614" s="20" t="str">
        <f>IF(H615=1,IF(H613=H$2,H613,""),"")</f>
        <v/>
      </c>
      <c r="G614" s="24"/>
      <c r="H614" s="19" t="str">
        <f>IF(E$666="comprobar",COUNTIF(D613:D617,"x"),"")</f>
        <v/>
      </c>
    </row>
    <row r="615" spans="2:10" x14ac:dyDescent="0.25">
      <c r="B615" s="83" t="s">
        <v>15</v>
      </c>
      <c r="C615" s="127" t="s">
        <v>344</v>
      </c>
      <c r="D615" s="38"/>
      <c r="E615" s="123" t="s">
        <v>11</v>
      </c>
      <c r="F615" s="21" t="str">
        <f>IF(H615=-0.33,IF(H613=H$1,H613,""),"")</f>
        <v/>
      </c>
      <c r="G615" s="24"/>
      <c r="H615" s="22">
        <f t="shared" ref="H615" si="52">IF(H614=1,IF(H613=H$2,1,-0.33),0)</f>
        <v>0</v>
      </c>
    </row>
    <row r="616" spans="2:10" x14ac:dyDescent="0.25">
      <c r="B616" s="83" t="s">
        <v>15</v>
      </c>
      <c r="C616" s="120" t="s">
        <v>345</v>
      </c>
      <c r="D616" s="38"/>
      <c r="E616" s="123" t="s">
        <v>12</v>
      </c>
      <c r="F616" s="18"/>
      <c r="G616" s="24"/>
      <c r="H616" s="22"/>
    </row>
    <row r="617" spans="2:10" x14ac:dyDescent="0.25">
      <c r="B617" s="83"/>
      <c r="C617" s="127"/>
      <c r="D617" s="38"/>
      <c r="E617" s="123" t="s">
        <v>13</v>
      </c>
      <c r="F617" s="18"/>
      <c r="G617" s="17"/>
      <c r="H617" s="22"/>
    </row>
    <row r="618" spans="2:10" x14ac:dyDescent="0.25">
      <c r="B618" s="122" t="s">
        <v>19</v>
      </c>
      <c r="C618" s="84" t="s">
        <v>346</v>
      </c>
      <c r="D618" s="39"/>
      <c r="E618" s="12"/>
      <c r="F618" s="14"/>
      <c r="G618" s="26"/>
      <c r="H618" s="13"/>
      <c r="I618" s="15"/>
      <c r="J618" s="15"/>
    </row>
    <row r="619" spans="2:10" x14ac:dyDescent="0.25">
      <c r="B619" s="83" t="s">
        <v>15</v>
      </c>
      <c r="C619" s="120" t="s">
        <v>342</v>
      </c>
      <c r="D619" s="38"/>
      <c r="E619" s="123" t="s">
        <v>9</v>
      </c>
      <c r="F619" s="18"/>
      <c r="G619" s="24"/>
      <c r="H619" s="19" t="b">
        <f>IF(D620="x",H$2,H$1)</f>
        <v>0</v>
      </c>
    </row>
    <row r="620" spans="2:10" x14ac:dyDescent="0.25">
      <c r="B620" s="83" t="s">
        <v>15</v>
      </c>
      <c r="C620" s="127" t="s">
        <v>347</v>
      </c>
      <c r="D620" s="38"/>
      <c r="E620" s="123" t="s">
        <v>10</v>
      </c>
      <c r="F620" s="20" t="str">
        <f>IF(H621=1,IF(H619=H$2,H619,""),"")</f>
        <v/>
      </c>
      <c r="G620" s="24"/>
      <c r="H620" s="19" t="str">
        <f>IF(E$666="comprobar",COUNTIF(D619:D623,"x"),"")</f>
        <v/>
      </c>
    </row>
    <row r="621" spans="2:10" x14ac:dyDescent="0.25">
      <c r="B621" s="83" t="s">
        <v>15</v>
      </c>
      <c r="C621" s="127" t="s">
        <v>348</v>
      </c>
      <c r="D621" s="38"/>
      <c r="E621" s="123" t="s">
        <v>11</v>
      </c>
      <c r="F621" s="21" t="str">
        <f>IF(H621=-0.33,IF(H619=H$1,H619,""),"")</f>
        <v/>
      </c>
      <c r="G621" s="24"/>
      <c r="H621" s="22">
        <f t="shared" ref="H621" si="53">IF(H620=1,IF(H619=H$2,1,-0.33),0)</f>
        <v>0</v>
      </c>
    </row>
    <row r="622" spans="2:10" x14ac:dyDescent="0.25">
      <c r="B622" s="83" t="s">
        <v>15</v>
      </c>
      <c r="C622" s="120" t="s">
        <v>49</v>
      </c>
      <c r="D622" s="38"/>
      <c r="E622" s="123" t="s">
        <v>12</v>
      </c>
      <c r="F622" s="18"/>
      <c r="G622" s="24"/>
      <c r="H622" s="22"/>
    </row>
    <row r="623" spans="2:10" x14ac:dyDescent="0.25">
      <c r="B623" s="83"/>
      <c r="C623" s="127"/>
      <c r="D623" s="38"/>
      <c r="E623" s="123" t="s">
        <v>13</v>
      </c>
      <c r="F623" s="18"/>
      <c r="G623" s="17"/>
      <c r="H623" s="22"/>
    </row>
    <row r="624" spans="2:10" x14ac:dyDescent="0.25">
      <c r="B624" s="122" t="s">
        <v>20</v>
      </c>
      <c r="C624" s="84" t="s">
        <v>349</v>
      </c>
      <c r="D624" s="39"/>
      <c r="E624" s="12"/>
      <c r="F624" s="14"/>
      <c r="G624" s="26"/>
      <c r="H624" s="13"/>
      <c r="I624" s="15"/>
      <c r="J624" s="15"/>
    </row>
    <row r="625" spans="2:10" x14ac:dyDescent="0.25">
      <c r="B625" s="83" t="s">
        <v>15</v>
      </c>
      <c r="C625" s="120" t="s">
        <v>350</v>
      </c>
      <c r="D625" s="38"/>
      <c r="E625" s="123" t="s">
        <v>9</v>
      </c>
      <c r="F625" s="18"/>
      <c r="G625" s="24"/>
      <c r="H625" s="19" t="b">
        <f>IF(D625="x",H$2,H$1)</f>
        <v>0</v>
      </c>
    </row>
    <row r="626" spans="2:10" x14ac:dyDescent="0.25">
      <c r="B626" s="83" t="s">
        <v>15</v>
      </c>
      <c r="C626" s="127" t="s">
        <v>351</v>
      </c>
      <c r="D626" s="38"/>
      <c r="E626" s="123" t="s">
        <v>10</v>
      </c>
      <c r="F626" s="20" t="str">
        <f>IF(H627=1,IF(H625=H$2,H625,""),"")</f>
        <v/>
      </c>
      <c r="G626" s="24"/>
      <c r="H626" s="19" t="str">
        <f>IF(E$666="comprobar",COUNTIF(D625:D629,"x"),"")</f>
        <v/>
      </c>
    </row>
    <row r="627" spans="2:10" x14ac:dyDescent="0.25">
      <c r="B627" s="83" t="s">
        <v>15</v>
      </c>
      <c r="C627" s="127" t="s">
        <v>352</v>
      </c>
      <c r="D627" s="38"/>
      <c r="E627" s="123" t="s">
        <v>11</v>
      </c>
      <c r="F627" s="21" t="str">
        <f>IF(H627=-0.33,IF(H625=H$1,H625,""),"")</f>
        <v/>
      </c>
      <c r="G627" s="24"/>
      <c r="H627" s="22">
        <f t="shared" ref="H627" si="54">IF(H626=1,IF(H625=H$2,1,-0.33),0)</f>
        <v>0</v>
      </c>
    </row>
    <row r="628" spans="2:10" x14ac:dyDescent="0.25">
      <c r="B628" s="83" t="s">
        <v>15</v>
      </c>
      <c r="C628" s="120" t="s">
        <v>49</v>
      </c>
      <c r="D628" s="38"/>
      <c r="E628" s="123" t="s">
        <v>12</v>
      </c>
      <c r="F628" s="18"/>
      <c r="G628" s="24"/>
      <c r="H628" s="22"/>
    </row>
    <row r="629" spans="2:10" x14ac:dyDescent="0.25">
      <c r="B629" s="83"/>
      <c r="C629" s="127"/>
      <c r="D629" s="38"/>
      <c r="E629" s="123" t="s">
        <v>13</v>
      </c>
      <c r="F629" s="18"/>
      <c r="G629" s="17"/>
      <c r="H629" s="22"/>
    </row>
    <row r="630" spans="2:10" x14ac:dyDescent="0.25">
      <c r="B630" s="122" t="s">
        <v>21</v>
      </c>
      <c r="C630" s="84" t="s">
        <v>353</v>
      </c>
      <c r="D630" s="39"/>
      <c r="E630" s="12"/>
      <c r="F630" s="14"/>
      <c r="G630" s="26"/>
      <c r="H630" s="13"/>
      <c r="I630" s="15"/>
      <c r="J630" s="15"/>
    </row>
    <row r="631" spans="2:10" x14ac:dyDescent="0.25">
      <c r="B631" s="83" t="s">
        <v>15</v>
      </c>
      <c r="C631" s="120" t="s">
        <v>354</v>
      </c>
      <c r="D631" s="38"/>
      <c r="E631" s="123" t="s">
        <v>9</v>
      </c>
      <c r="F631" s="18"/>
      <c r="G631" s="24"/>
      <c r="H631" s="19" t="b">
        <f>IF(D632="x",H$2,H$1)</f>
        <v>0</v>
      </c>
    </row>
    <row r="632" spans="2:10" x14ac:dyDescent="0.25">
      <c r="B632" s="83" t="s">
        <v>15</v>
      </c>
      <c r="C632" s="127" t="s">
        <v>355</v>
      </c>
      <c r="D632" s="38"/>
      <c r="E632" s="123" t="s">
        <v>10</v>
      </c>
      <c r="F632" s="20" t="str">
        <f>IF(H633=1,IF(H631=H$2,H631,""),"")</f>
        <v/>
      </c>
      <c r="G632" s="24"/>
      <c r="H632" s="19" t="str">
        <f>IF(E$666="comprobar",COUNTIF(D631:D635,"x"),"")</f>
        <v/>
      </c>
    </row>
    <row r="633" spans="2:10" x14ac:dyDescent="0.25">
      <c r="B633" s="83" t="s">
        <v>15</v>
      </c>
      <c r="C633" s="127" t="s">
        <v>356</v>
      </c>
      <c r="D633" s="38"/>
      <c r="E633" s="123" t="s">
        <v>11</v>
      </c>
      <c r="F633" s="21" t="str">
        <f>IF(H633=-0.33,IF(H631=H$1,H631,""),"")</f>
        <v/>
      </c>
      <c r="G633" s="24"/>
      <c r="H633" s="22">
        <f t="shared" ref="H633" si="55">IF(H632=1,IF(H631=H$2,1,-0.33),0)</f>
        <v>0</v>
      </c>
    </row>
    <row r="634" spans="2:10" x14ac:dyDescent="0.25">
      <c r="B634" s="83" t="s">
        <v>15</v>
      </c>
      <c r="C634" s="120" t="s">
        <v>49</v>
      </c>
      <c r="D634" s="38"/>
      <c r="E634" s="123" t="s">
        <v>12</v>
      </c>
      <c r="F634" s="18"/>
      <c r="G634" s="24"/>
      <c r="H634" s="22"/>
    </row>
    <row r="635" spans="2:10" x14ac:dyDescent="0.25">
      <c r="B635" s="83"/>
      <c r="C635" s="127"/>
      <c r="D635" s="38"/>
      <c r="E635" s="123" t="s">
        <v>13</v>
      </c>
      <c r="F635" s="18"/>
      <c r="G635" s="17"/>
      <c r="H635" s="22"/>
    </row>
    <row r="636" spans="2:10" x14ac:dyDescent="0.25">
      <c r="B636" s="122" t="s">
        <v>22</v>
      </c>
      <c r="C636" s="84" t="s">
        <v>357</v>
      </c>
      <c r="D636" s="39"/>
      <c r="E636" s="12"/>
      <c r="F636" s="14"/>
      <c r="G636" s="26"/>
      <c r="H636" s="13"/>
      <c r="I636" s="15"/>
      <c r="J636" s="15"/>
    </row>
    <row r="637" spans="2:10" x14ac:dyDescent="0.25">
      <c r="B637" s="83" t="s">
        <v>15</v>
      </c>
      <c r="C637" s="120" t="s">
        <v>358</v>
      </c>
      <c r="D637" s="38"/>
      <c r="E637" s="123" t="s">
        <v>9</v>
      </c>
      <c r="F637" s="18"/>
      <c r="G637" s="24"/>
      <c r="H637" s="19" t="b">
        <f>IF(D637="x",H$2,H$1)</f>
        <v>0</v>
      </c>
    </row>
    <row r="638" spans="2:10" x14ac:dyDescent="0.25">
      <c r="B638" s="83" t="s">
        <v>15</v>
      </c>
      <c r="C638" s="127" t="s">
        <v>359</v>
      </c>
      <c r="D638" s="38"/>
      <c r="E638" s="123" t="s">
        <v>10</v>
      </c>
      <c r="F638" s="20" t="str">
        <f>IF(H639=1,IF(H637=H$2,H637,""),"")</f>
        <v/>
      </c>
      <c r="G638" s="24"/>
      <c r="H638" s="19" t="str">
        <f>IF(E$666="comprobar",COUNTIF(D637:D641,"x"),"")</f>
        <v/>
      </c>
    </row>
    <row r="639" spans="2:10" x14ac:dyDescent="0.25">
      <c r="B639" s="83" t="s">
        <v>15</v>
      </c>
      <c r="C639" s="127" t="s">
        <v>360</v>
      </c>
      <c r="D639" s="38"/>
      <c r="E639" s="123" t="s">
        <v>11</v>
      </c>
      <c r="F639" s="21" t="str">
        <f>IF(H639=-0.33,IF(H637=H$1,H637,""),"")</f>
        <v/>
      </c>
      <c r="G639" s="24"/>
      <c r="H639" s="22">
        <f t="shared" ref="H639" si="56">IF(H638=1,IF(H637=H$2,1,-0.33),0)</f>
        <v>0</v>
      </c>
    </row>
    <row r="640" spans="2:10" x14ac:dyDescent="0.25">
      <c r="B640" s="83" t="s">
        <v>15</v>
      </c>
      <c r="C640" s="120" t="s">
        <v>49</v>
      </c>
      <c r="D640" s="38"/>
      <c r="E640" s="123" t="s">
        <v>12</v>
      </c>
      <c r="F640" s="18"/>
      <c r="G640" s="24"/>
      <c r="H640" s="22"/>
    </row>
    <row r="641" spans="2:10" x14ac:dyDescent="0.25">
      <c r="B641" s="42"/>
      <c r="C641" s="127"/>
      <c r="D641" s="38"/>
      <c r="E641" s="123" t="s">
        <v>13</v>
      </c>
      <c r="F641" s="18"/>
      <c r="G641" s="17"/>
      <c r="H641" s="22"/>
    </row>
    <row r="642" spans="2:10" x14ac:dyDescent="0.25">
      <c r="B642" s="122" t="s">
        <v>23</v>
      </c>
      <c r="C642" s="84" t="s">
        <v>361</v>
      </c>
      <c r="D642" s="39"/>
      <c r="E642" s="12"/>
      <c r="F642" s="14"/>
      <c r="G642" s="26"/>
      <c r="H642" s="13"/>
      <c r="I642" s="15"/>
      <c r="J642" s="15"/>
    </row>
    <row r="643" spans="2:10" x14ac:dyDescent="0.25">
      <c r="B643" s="83" t="s">
        <v>15</v>
      </c>
      <c r="C643" s="120" t="s">
        <v>362</v>
      </c>
      <c r="D643" s="38"/>
      <c r="E643" s="123" t="s">
        <v>9</v>
      </c>
      <c r="F643" s="18"/>
      <c r="G643" s="24"/>
      <c r="H643" s="19" t="b">
        <f>IF(D644="x",H$2,H$1)</f>
        <v>0</v>
      </c>
    </row>
    <row r="644" spans="2:10" x14ac:dyDescent="0.25">
      <c r="B644" s="83" t="s">
        <v>15</v>
      </c>
      <c r="C644" s="127" t="s">
        <v>363</v>
      </c>
      <c r="D644" s="38"/>
      <c r="E644" s="123" t="s">
        <v>10</v>
      </c>
      <c r="F644" s="20" t="str">
        <f>IF(H645=1,IF(H643=H$2,H643,""),"")</f>
        <v/>
      </c>
      <c r="G644" s="24"/>
      <c r="H644" s="19" t="str">
        <f>IF(E$666="comprobar",COUNTIF(D643:D647,"x"),"")</f>
        <v/>
      </c>
    </row>
    <row r="645" spans="2:10" x14ac:dyDescent="0.25">
      <c r="B645" s="83" t="s">
        <v>15</v>
      </c>
      <c r="C645" s="127" t="s">
        <v>364</v>
      </c>
      <c r="D645" s="38"/>
      <c r="E645" s="123" t="s">
        <v>11</v>
      </c>
      <c r="F645" s="21" t="str">
        <f>IF(H645=-0.33,IF(H643=H$1,H643,""),"")</f>
        <v/>
      </c>
      <c r="G645" s="24"/>
      <c r="H645" s="22">
        <f t="shared" ref="H645" si="57">IF(H644=1,IF(H643=H$2,1,-0.33),0)</f>
        <v>0</v>
      </c>
    </row>
    <row r="646" spans="2:10" x14ac:dyDescent="0.25">
      <c r="B646" s="83" t="s">
        <v>15</v>
      </c>
      <c r="C646" s="120" t="s">
        <v>49</v>
      </c>
      <c r="D646" s="38"/>
      <c r="E646" s="123" t="s">
        <v>12</v>
      </c>
      <c r="F646" s="18"/>
      <c r="G646" s="24"/>
      <c r="H646" s="22"/>
    </row>
    <row r="647" spans="2:10" x14ac:dyDescent="0.25">
      <c r="B647" s="42"/>
      <c r="C647" s="127"/>
      <c r="D647" s="38"/>
      <c r="E647" s="123" t="s">
        <v>13</v>
      </c>
      <c r="F647" s="18"/>
      <c r="G647" s="17"/>
      <c r="H647" s="22"/>
    </row>
    <row r="648" spans="2:10" x14ac:dyDescent="0.25">
      <c r="B648" s="122" t="s">
        <v>24</v>
      </c>
      <c r="C648" s="84" t="s">
        <v>365</v>
      </c>
      <c r="D648" s="39"/>
      <c r="E648" s="12"/>
      <c r="F648" s="14"/>
      <c r="G648" s="26"/>
      <c r="H648" s="13"/>
      <c r="I648" s="15"/>
      <c r="J648" s="15"/>
    </row>
    <row r="649" spans="2:10" x14ac:dyDescent="0.25">
      <c r="B649" s="83" t="s">
        <v>15</v>
      </c>
      <c r="C649" s="120" t="s">
        <v>366</v>
      </c>
      <c r="D649" s="38"/>
      <c r="E649" s="123" t="s">
        <v>9</v>
      </c>
      <c r="F649" s="18"/>
      <c r="G649" s="24"/>
      <c r="H649" s="19" t="b">
        <f>IF(D649="x",H$2,H$1)</f>
        <v>0</v>
      </c>
    </row>
    <row r="650" spans="2:10" x14ac:dyDescent="0.25">
      <c r="B650" s="83" t="s">
        <v>15</v>
      </c>
      <c r="C650" s="127" t="s">
        <v>367</v>
      </c>
      <c r="D650" s="38"/>
      <c r="E650" s="123" t="s">
        <v>10</v>
      </c>
      <c r="F650" s="20" t="str">
        <f>IF(H651=1,IF(H649=H$2,H649,""),"")</f>
        <v/>
      </c>
      <c r="G650" s="24"/>
      <c r="H650" s="19" t="str">
        <f>IF(E$666="comprobar",COUNTIF(D649:D653,"x"),"")</f>
        <v/>
      </c>
    </row>
    <row r="651" spans="2:10" x14ac:dyDescent="0.25">
      <c r="B651" s="83" t="s">
        <v>15</v>
      </c>
      <c r="C651" s="127" t="s">
        <v>368</v>
      </c>
      <c r="D651" s="38"/>
      <c r="E651" s="123" t="s">
        <v>11</v>
      </c>
      <c r="F651" s="21" t="str">
        <f>IF(H651=-0.33,IF(H649=H$1,H649,""),"")</f>
        <v/>
      </c>
      <c r="G651" s="24"/>
      <c r="H651" s="22">
        <f t="shared" ref="H651" si="58">IF(H650=1,IF(H649=H$2,1,-0.33),0)</f>
        <v>0</v>
      </c>
    </row>
    <row r="652" spans="2:10" x14ac:dyDescent="0.25">
      <c r="B652" s="83" t="s">
        <v>15</v>
      </c>
      <c r="C652" s="120" t="s">
        <v>49</v>
      </c>
      <c r="D652" s="38"/>
      <c r="E652" s="123" t="s">
        <v>12</v>
      </c>
      <c r="F652" s="18"/>
      <c r="G652" s="24"/>
      <c r="H652" s="22"/>
    </row>
    <row r="653" spans="2:10" x14ac:dyDescent="0.25">
      <c r="B653" s="108"/>
      <c r="C653" s="127"/>
      <c r="D653" s="38"/>
      <c r="E653" s="123" t="s">
        <v>13</v>
      </c>
      <c r="F653" s="18"/>
      <c r="G653" s="17"/>
      <c r="H653" s="22"/>
    </row>
    <row r="654" spans="2:10" x14ac:dyDescent="0.25">
      <c r="B654" s="122" t="s">
        <v>29</v>
      </c>
      <c r="C654" s="84" t="s">
        <v>365</v>
      </c>
      <c r="D654" s="39"/>
      <c r="E654" s="12"/>
      <c r="F654" s="14"/>
      <c r="G654" s="26"/>
      <c r="H654" s="13"/>
    </row>
    <row r="655" spans="2:10" x14ac:dyDescent="0.25">
      <c r="B655" s="83" t="s">
        <v>15</v>
      </c>
      <c r="C655" s="120" t="s">
        <v>369</v>
      </c>
      <c r="D655" s="38"/>
      <c r="E655" s="123" t="s">
        <v>9</v>
      </c>
      <c r="F655" s="18"/>
      <c r="G655" s="24"/>
      <c r="H655" s="19" t="b">
        <f>IF(D658="x",H$2,H$1)</f>
        <v>0</v>
      </c>
    </row>
    <row r="656" spans="2:10" x14ac:dyDescent="0.25">
      <c r="B656" s="83" t="s">
        <v>15</v>
      </c>
      <c r="C656" s="127" t="s">
        <v>370</v>
      </c>
      <c r="D656" s="38"/>
      <c r="E656" s="123" t="s">
        <v>10</v>
      </c>
      <c r="F656" s="20" t="str">
        <f>IF(H657=1,IF(H655=H$2,H655,""),"")</f>
        <v/>
      </c>
      <c r="G656" s="24"/>
      <c r="H656" s="19" t="str">
        <f>IF(E$666="comprobar",COUNTIF(D655:D659,"x"),"")</f>
        <v/>
      </c>
    </row>
    <row r="657" spans="2:10" x14ac:dyDescent="0.25">
      <c r="B657" s="83" t="s">
        <v>15</v>
      </c>
      <c r="C657" s="127" t="s">
        <v>371</v>
      </c>
      <c r="D657" s="38"/>
      <c r="E657" s="123" t="s">
        <v>11</v>
      </c>
      <c r="F657" s="21" t="str">
        <f>IF(H657=-0.33,IF(H655=H$1,H655,""),"")</f>
        <v/>
      </c>
      <c r="G657" s="24"/>
      <c r="H657" s="22">
        <f t="shared" ref="H657" si="59">IF(H656=1,IF(H655=H$2,1,-0.33),0)</f>
        <v>0</v>
      </c>
    </row>
    <row r="658" spans="2:10" x14ac:dyDescent="0.25">
      <c r="B658" s="83" t="s">
        <v>15</v>
      </c>
      <c r="C658" s="120" t="s">
        <v>49</v>
      </c>
      <c r="D658" s="38"/>
      <c r="E658" s="123" t="s">
        <v>12</v>
      </c>
      <c r="F658" s="18"/>
      <c r="G658" s="24"/>
      <c r="H658" s="22"/>
    </row>
    <row r="659" spans="2:10" x14ac:dyDescent="0.25">
      <c r="B659" s="108"/>
      <c r="C659" s="127"/>
      <c r="D659" s="38"/>
      <c r="E659" s="123" t="s">
        <v>13</v>
      </c>
      <c r="F659" s="18"/>
      <c r="G659" s="17"/>
      <c r="H659" s="22"/>
    </row>
    <row r="660" spans="2:10" x14ac:dyDescent="0.25">
      <c r="B660" s="122" t="s">
        <v>27</v>
      </c>
      <c r="C660" s="84" t="s">
        <v>365</v>
      </c>
      <c r="D660" s="39"/>
      <c r="E660" s="12"/>
      <c r="F660" s="14"/>
      <c r="G660" s="26"/>
      <c r="H660" s="13"/>
    </row>
    <row r="661" spans="2:10" x14ac:dyDescent="0.25">
      <c r="B661" s="83" t="s">
        <v>15</v>
      </c>
      <c r="C661" s="120" t="s">
        <v>372</v>
      </c>
      <c r="D661" s="38"/>
      <c r="E661" s="123" t="s">
        <v>9</v>
      </c>
      <c r="F661" s="18"/>
      <c r="G661" s="24"/>
      <c r="H661" s="19" t="b">
        <f>IF(D662="x",H$2,H$1)</f>
        <v>0</v>
      </c>
    </row>
    <row r="662" spans="2:10" x14ac:dyDescent="0.25">
      <c r="B662" s="83" t="s">
        <v>15</v>
      </c>
      <c r="C662" s="127" t="s">
        <v>373</v>
      </c>
      <c r="D662" s="38"/>
      <c r="E662" s="123" t="s">
        <v>10</v>
      </c>
      <c r="F662" s="20" t="str">
        <f>IF(H663=1,IF(H661=H$2,H661,""),"")</f>
        <v/>
      </c>
      <c r="G662" s="24"/>
      <c r="H662" s="19" t="str">
        <f>IF(E$666="comprobar",COUNTIF(D661:D665,"x"),"")</f>
        <v/>
      </c>
    </row>
    <row r="663" spans="2:10" x14ac:dyDescent="0.25">
      <c r="B663" s="83" t="s">
        <v>15</v>
      </c>
      <c r="C663" s="127" t="s">
        <v>374</v>
      </c>
      <c r="D663" s="38"/>
      <c r="E663" s="123" t="s">
        <v>11</v>
      </c>
      <c r="F663" s="21" t="str">
        <f>IF(H663=-0.33,IF(H661=H$1,H661,""),"")</f>
        <v/>
      </c>
      <c r="G663" s="24"/>
      <c r="H663" s="22">
        <f t="shared" ref="H663" si="60">IF(H662=1,IF(H661=H$2,1,-0.33),0)</f>
        <v>0</v>
      </c>
    </row>
    <row r="664" spans="2:10" x14ac:dyDescent="0.25">
      <c r="B664" s="83" t="s">
        <v>15</v>
      </c>
      <c r="C664" s="120" t="s">
        <v>260</v>
      </c>
      <c r="D664" s="38"/>
      <c r="E664" s="123" t="s">
        <v>12</v>
      </c>
      <c r="F664" s="18"/>
      <c r="G664" s="24"/>
      <c r="H664" s="22"/>
    </row>
    <row r="665" spans="2:10" x14ac:dyDescent="0.25">
      <c r="B665" s="108"/>
      <c r="C665" s="127"/>
      <c r="D665" s="38"/>
      <c r="E665" s="123" t="s">
        <v>13</v>
      </c>
      <c r="F665" s="18"/>
      <c r="G665" s="17"/>
      <c r="H665" s="22"/>
    </row>
    <row r="666" spans="2:10" x14ac:dyDescent="0.25">
      <c r="B666" s="108"/>
      <c r="C666" s="16"/>
      <c r="D666" s="48"/>
      <c r="E666" s="54"/>
      <c r="F666" s="18"/>
      <c r="G666" s="17"/>
      <c r="H666" s="22"/>
    </row>
    <row r="667" spans="2:10" x14ac:dyDescent="0.25">
      <c r="B667" s="42"/>
      <c r="C667" s="8"/>
      <c r="D667" s="48"/>
      <c r="E667" s="59"/>
      <c r="F667" s="28" t="s">
        <v>8</v>
      </c>
      <c r="G667" s="17" t="s">
        <v>6</v>
      </c>
      <c r="H667" s="17" t="s">
        <v>7</v>
      </c>
    </row>
    <row r="668" spans="2:10" ht="19.5" x14ac:dyDescent="0.25">
      <c r="B668" s="42"/>
      <c r="C668" s="8"/>
      <c r="D668" s="130"/>
      <c r="E668" s="130"/>
      <c r="F668" s="29" t="str">
        <f>IF(E$666="comprobar",H651+H645+H639+H633+H627+H621+H615+H609+H657+H663,"")</f>
        <v/>
      </c>
      <c r="G668" s="17">
        <f>10/2</f>
        <v>5</v>
      </c>
      <c r="H668" s="17"/>
    </row>
    <row r="669" spans="2:10" ht="16.5" thickBot="1" x14ac:dyDescent="0.3">
      <c r="B669" s="65"/>
      <c r="C669" s="66"/>
      <c r="D669" s="31"/>
      <c r="E669" s="9"/>
      <c r="F669" s="32" t="str">
        <f>IF(F668&gt;G668,G667,H667)</f>
        <v>APROBADO</v>
      </c>
      <c r="G669" s="17"/>
      <c r="H669" s="17"/>
    </row>
    <row r="670" spans="2:10" ht="28.5" x14ac:dyDescent="0.45">
      <c r="B670" s="61" t="s">
        <v>198</v>
      </c>
      <c r="C670" s="124" t="s">
        <v>42</v>
      </c>
      <c r="D670" s="124"/>
      <c r="E670" s="124"/>
      <c r="F670" s="125"/>
    </row>
    <row r="671" spans="2:10" x14ac:dyDescent="0.25">
      <c r="B671" s="119" t="s">
        <v>18</v>
      </c>
      <c r="C671" s="84" t="s">
        <v>375</v>
      </c>
      <c r="D671" s="12"/>
      <c r="E671" s="12"/>
      <c r="F671" s="14"/>
      <c r="G671" s="26"/>
      <c r="H671" s="13"/>
      <c r="I671" s="15"/>
      <c r="J671" s="15"/>
    </row>
    <row r="672" spans="2:10" x14ac:dyDescent="0.25">
      <c r="B672" s="83" t="s">
        <v>15</v>
      </c>
      <c r="C672" s="120" t="s">
        <v>376</v>
      </c>
      <c r="D672" s="38"/>
      <c r="E672" s="123"/>
      <c r="F672" s="18"/>
      <c r="G672" s="24"/>
      <c r="H672" s="19" t="b">
        <f>IF(D675="x",H$2,H$1)</f>
        <v>0</v>
      </c>
    </row>
    <row r="673" spans="2:10" x14ac:dyDescent="0.25">
      <c r="B673" s="83" t="s">
        <v>15</v>
      </c>
      <c r="C673" s="127" t="s">
        <v>377</v>
      </c>
      <c r="D673" s="38"/>
      <c r="E673" s="123" t="s">
        <v>10</v>
      </c>
      <c r="F673" s="20" t="str">
        <f>IF(H674=1,IF(H672=H$2,H672,""),"")</f>
        <v/>
      </c>
      <c r="G673" s="24"/>
      <c r="H673" s="19" t="str">
        <f>IF(E$731="comprobar",COUNTIF(D672:D676,"x"),"")</f>
        <v/>
      </c>
    </row>
    <row r="674" spans="2:10" x14ac:dyDescent="0.25">
      <c r="B674" s="83" t="s">
        <v>15</v>
      </c>
      <c r="C674" s="127" t="s">
        <v>378</v>
      </c>
      <c r="D674" s="38"/>
      <c r="E674" s="123" t="s">
        <v>11</v>
      </c>
      <c r="F674" s="21" t="str">
        <f>IF(H674=-0.33,IF(H672=H$1,H672,""),"")</f>
        <v/>
      </c>
      <c r="G674" s="24"/>
      <c r="H674" s="22">
        <f>IF(H673=1,IF(H672=H$2,1,-0.33),0)</f>
        <v>0</v>
      </c>
    </row>
    <row r="675" spans="2:10" x14ac:dyDescent="0.25">
      <c r="B675" s="83" t="s">
        <v>15</v>
      </c>
      <c r="C675" s="120" t="s">
        <v>49</v>
      </c>
      <c r="D675" s="38"/>
      <c r="E675" s="123" t="s">
        <v>12</v>
      </c>
      <c r="F675" s="18"/>
      <c r="G675" s="24"/>
      <c r="H675" s="22"/>
    </row>
    <row r="676" spans="2:10" x14ac:dyDescent="0.25">
      <c r="B676" s="42"/>
      <c r="C676" s="127"/>
      <c r="D676" s="38"/>
      <c r="E676" s="123" t="s">
        <v>13</v>
      </c>
      <c r="F676" s="18"/>
      <c r="G676" s="17"/>
      <c r="H676" s="22"/>
    </row>
    <row r="677" spans="2:10" x14ac:dyDescent="0.25">
      <c r="B677" s="122" t="s">
        <v>17</v>
      </c>
      <c r="C677" s="84" t="s">
        <v>365</v>
      </c>
      <c r="D677" s="39"/>
      <c r="E677" s="12"/>
      <c r="F677" s="14"/>
      <c r="G677" s="26"/>
      <c r="H677" s="13"/>
      <c r="I677" s="15"/>
      <c r="J677" s="15"/>
    </row>
    <row r="678" spans="2:10" x14ac:dyDescent="0.25">
      <c r="B678" s="83" t="s">
        <v>15</v>
      </c>
      <c r="C678" s="120" t="s">
        <v>379</v>
      </c>
      <c r="D678" s="38"/>
      <c r="E678" s="123" t="s">
        <v>9</v>
      </c>
      <c r="F678" s="18"/>
      <c r="G678" s="24"/>
      <c r="H678" s="19" t="b">
        <f>IF(D680="x",H$2,H$1)</f>
        <v>0</v>
      </c>
    </row>
    <row r="679" spans="2:10" x14ac:dyDescent="0.25">
      <c r="B679" s="83" t="s">
        <v>15</v>
      </c>
      <c r="C679" s="127" t="s">
        <v>380</v>
      </c>
      <c r="D679" s="38"/>
      <c r="E679" s="123" t="s">
        <v>10</v>
      </c>
      <c r="F679" s="20" t="str">
        <f>IF(H680=1,IF(H678=H$2,H678,""),"")</f>
        <v/>
      </c>
      <c r="G679" s="24"/>
      <c r="H679" s="19" t="str">
        <f>IF(E$731="comprobar",COUNTIF(D678:D682,"x"),"")</f>
        <v/>
      </c>
    </row>
    <row r="680" spans="2:10" x14ac:dyDescent="0.25">
      <c r="B680" s="83" t="s">
        <v>15</v>
      </c>
      <c r="C680" s="127" t="s">
        <v>381</v>
      </c>
      <c r="D680" s="38"/>
      <c r="E680" s="123" t="s">
        <v>11</v>
      </c>
      <c r="F680" s="21" t="str">
        <f>IF(H680=-0.33,IF(H678=H$1,H678,""),"")</f>
        <v/>
      </c>
      <c r="G680" s="24"/>
      <c r="H680" s="22">
        <f t="shared" ref="H680" si="61">IF(H679=1,IF(H678=H$2,1,-0.33),0)</f>
        <v>0</v>
      </c>
    </row>
    <row r="681" spans="2:10" x14ac:dyDescent="0.25">
      <c r="B681" s="83" t="s">
        <v>15</v>
      </c>
      <c r="C681" s="120" t="s">
        <v>382</v>
      </c>
      <c r="D681" s="38"/>
      <c r="E681" s="123" t="s">
        <v>12</v>
      </c>
      <c r="F681" s="18"/>
      <c r="G681" s="24"/>
      <c r="H681" s="22"/>
    </row>
    <row r="682" spans="2:10" x14ac:dyDescent="0.25">
      <c r="B682" s="83"/>
      <c r="C682" s="127"/>
      <c r="D682" s="38"/>
      <c r="E682" s="123" t="s">
        <v>13</v>
      </c>
      <c r="F682" s="18"/>
      <c r="G682" s="17"/>
      <c r="H682" s="22"/>
    </row>
    <row r="683" spans="2:10" x14ac:dyDescent="0.25">
      <c r="B683" s="122" t="s">
        <v>19</v>
      </c>
      <c r="C683" s="84" t="s">
        <v>383</v>
      </c>
      <c r="D683" s="39"/>
      <c r="E683" s="12"/>
      <c r="F683" s="14"/>
      <c r="G683" s="26"/>
      <c r="H683" s="13"/>
      <c r="I683" s="15"/>
      <c r="J683" s="15"/>
    </row>
    <row r="684" spans="2:10" x14ac:dyDescent="0.25">
      <c r="B684" s="83" t="s">
        <v>15</v>
      </c>
      <c r="C684" s="120" t="s">
        <v>384</v>
      </c>
      <c r="D684" s="38"/>
      <c r="E684" s="123" t="s">
        <v>9</v>
      </c>
      <c r="F684" s="18"/>
      <c r="G684" s="24"/>
      <c r="H684" s="19" t="b">
        <f>IF(D684="x",H$2,H$1)</f>
        <v>0</v>
      </c>
    </row>
    <row r="685" spans="2:10" x14ac:dyDescent="0.25">
      <c r="B685" s="83" t="s">
        <v>15</v>
      </c>
      <c r="C685" s="127" t="s">
        <v>385</v>
      </c>
      <c r="D685" s="38"/>
      <c r="E685" s="123" t="s">
        <v>10</v>
      </c>
      <c r="F685" s="20" t="str">
        <f>IF(H686=1,IF(H684=H$2,H684,""),"")</f>
        <v/>
      </c>
      <c r="G685" s="24"/>
      <c r="H685" s="19" t="str">
        <f>IF(E$731="comprobar",COUNTIF(D684:D688,"x"),"")</f>
        <v/>
      </c>
    </row>
    <row r="686" spans="2:10" x14ac:dyDescent="0.25">
      <c r="B686" s="83" t="s">
        <v>15</v>
      </c>
      <c r="C686" s="127" t="s">
        <v>386</v>
      </c>
      <c r="D686" s="38"/>
      <c r="E686" s="123" t="s">
        <v>11</v>
      </c>
      <c r="F686" s="21" t="str">
        <f>IF(H686=-0.33,IF(H684=H$1,H684,""),"")</f>
        <v/>
      </c>
      <c r="G686" s="24"/>
      <c r="H686" s="22">
        <f t="shared" ref="H686" si="62">IF(H685=1,IF(H684=H$2,1,-0.33),0)</f>
        <v>0</v>
      </c>
    </row>
    <row r="687" spans="2:10" x14ac:dyDescent="0.25">
      <c r="B687" s="83" t="s">
        <v>15</v>
      </c>
      <c r="C687" s="120" t="s">
        <v>49</v>
      </c>
      <c r="D687" s="38"/>
      <c r="E687" s="123" t="s">
        <v>12</v>
      </c>
      <c r="F687" s="18"/>
      <c r="G687" s="24"/>
      <c r="H687" s="22"/>
    </row>
    <row r="688" spans="2:10" x14ac:dyDescent="0.25">
      <c r="B688" s="83"/>
      <c r="C688" s="127"/>
      <c r="D688" s="38"/>
      <c r="E688" s="123" t="s">
        <v>13</v>
      </c>
      <c r="F688" s="18"/>
      <c r="G688" s="17"/>
      <c r="H688" s="22"/>
    </row>
    <row r="689" spans="2:10" x14ac:dyDescent="0.25">
      <c r="B689" s="122" t="s">
        <v>20</v>
      </c>
      <c r="C689" s="84" t="s">
        <v>365</v>
      </c>
      <c r="D689" s="39"/>
      <c r="E689" s="12"/>
      <c r="F689" s="14"/>
      <c r="G689" s="26"/>
      <c r="H689" s="13"/>
      <c r="I689" s="15"/>
      <c r="J689" s="15"/>
    </row>
    <row r="690" spans="2:10" x14ac:dyDescent="0.25">
      <c r="B690" s="83" t="s">
        <v>15</v>
      </c>
      <c r="C690" s="120" t="s">
        <v>387</v>
      </c>
      <c r="D690" s="38"/>
      <c r="E690" s="123" t="s">
        <v>9</v>
      </c>
      <c r="F690" s="18"/>
      <c r="G690" s="24"/>
      <c r="H690" s="19" t="b">
        <f>IF(D693="x",H$2,H$1)</f>
        <v>0</v>
      </c>
    </row>
    <row r="691" spans="2:10" x14ac:dyDescent="0.25">
      <c r="B691" s="83" t="s">
        <v>15</v>
      </c>
      <c r="C691" s="127" t="s">
        <v>388</v>
      </c>
      <c r="D691" s="38"/>
      <c r="E691" s="123" t="s">
        <v>10</v>
      </c>
      <c r="F691" s="20" t="str">
        <f>IF(H692=1,IF(H690=H$2,H690,""),"")</f>
        <v/>
      </c>
      <c r="G691" s="24"/>
      <c r="H691" s="19" t="str">
        <f>IF(E$731="comprobar",COUNTIF(D690:D694,"x"),"")</f>
        <v/>
      </c>
    </row>
    <row r="692" spans="2:10" x14ac:dyDescent="0.25">
      <c r="B692" s="83" t="s">
        <v>15</v>
      </c>
      <c r="C692" s="127" t="s">
        <v>389</v>
      </c>
      <c r="D692" s="38"/>
      <c r="E692" s="123" t="s">
        <v>11</v>
      </c>
      <c r="F692" s="21" t="str">
        <f>IF(H692=-0.33,IF(H690=H$1,H690,""),"")</f>
        <v/>
      </c>
      <c r="G692" s="24"/>
      <c r="H692" s="22">
        <f t="shared" ref="H692" si="63">IF(H691=1,IF(H690=H$2,1,-0.33),0)</f>
        <v>0</v>
      </c>
    </row>
    <row r="693" spans="2:10" x14ac:dyDescent="0.25">
      <c r="B693" s="83" t="s">
        <v>15</v>
      </c>
      <c r="C693" s="120" t="s">
        <v>49</v>
      </c>
      <c r="D693" s="38"/>
      <c r="E693" s="123" t="s">
        <v>12</v>
      </c>
      <c r="F693" s="18"/>
      <c r="G693" s="24"/>
      <c r="H693" s="22"/>
    </row>
    <row r="694" spans="2:10" x14ac:dyDescent="0.25">
      <c r="B694" s="83"/>
      <c r="C694" s="127"/>
      <c r="D694" s="38"/>
      <c r="E694" s="123" t="s">
        <v>13</v>
      </c>
      <c r="F694" s="18"/>
      <c r="G694" s="17"/>
      <c r="H694" s="22"/>
    </row>
    <row r="695" spans="2:10" x14ac:dyDescent="0.25">
      <c r="B695" s="122" t="s">
        <v>21</v>
      </c>
      <c r="C695" s="84" t="s">
        <v>390</v>
      </c>
      <c r="D695" s="39"/>
      <c r="E695" s="12"/>
      <c r="F695" s="14"/>
      <c r="G695" s="26"/>
      <c r="H695" s="13"/>
      <c r="I695" s="15"/>
      <c r="J695" s="15"/>
    </row>
    <row r="696" spans="2:10" x14ac:dyDescent="0.25">
      <c r="B696" s="83" t="s">
        <v>15</v>
      </c>
      <c r="C696" s="120" t="s">
        <v>391</v>
      </c>
      <c r="D696" s="38"/>
      <c r="E696" s="123" t="s">
        <v>9</v>
      </c>
      <c r="F696" s="18"/>
      <c r="G696" s="24"/>
      <c r="H696" s="19" t="b">
        <f>IF(D696="x",H$2,H$1)</f>
        <v>0</v>
      </c>
    </row>
    <row r="697" spans="2:10" x14ac:dyDescent="0.25">
      <c r="B697" s="83" t="s">
        <v>15</v>
      </c>
      <c r="C697" s="127" t="s">
        <v>392</v>
      </c>
      <c r="D697" s="38"/>
      <c r="E697" s="123" t="s">
        <v>10</v>
      </c>
      <c r="F697" s="20" t="str">
        <f>IF(H698=1,IF(H696=H$2,H696,""),"")</f>
        <v/>
      </c>
      <c r="G697" s="24"/>
      <c r="H697" s="19" t="str">
        <f>IF(E$731="comprobar",COUNTIF(D696:D700,"x"),"")</f>
        <v/>
      </c>
    </row>
    <row r="698" spans="2:10" x14ac:dyDescent="0.25">
      <c r="B698" s="83" t="s">
        <v>15</v>
      </c>
      <c r="C698" s="127" t="s">
        <v>393</v>
      </c>
      <c r="D698" s="38"/>
      <c r="E698" s="123" t="s">
        <v>11</v>
      </c>
      <c r="F698" s="21" t="str">
        <f>IF(H698=-0.33,IF(H696=H$1,H696,""),"")</f>
        <v/>
      </c>
      <c r="G698" s="24"/>
      <c r="H698" s="22">
        <f t="shared" ref="H698" si="64">IF(H697=1,IF(H696=H$2,1,-0.33),0)</f>
        <v>0</v>
      </c>
    </row>
    <row r="699" spans="2:10" x14ac:dyDescent="0.25">
      <c r="B699" s="83" t="s">
        <v>15</v>
      </c>
      <c r="C699" s="120" t="s">
        <v>49</v>
      </c>
      <c r="D699" s="38"/>
      <c r="E699" s="123" t="s">
        <v>12</v>
      </c>
      <c r="F699" s="18"/>
      <c r="G699" s="24"/>
      <c r="H699" s="22"/>
    </row>
    <row r="700" spans="2:10" x14ac:dyDescent="0.25">
      <c r="B700" s="83"/>
      <c r="C700" s="127"/>
      <c r="D700" s="38"/>
      <c r="E700" s="123" t="s">
        <v>13</v>
      </c>
      <c r="F700" s="18"/>
      <c r="G700" s="17"/>
      <c r="H700" s="22"/>
    </row>
    <row r="701" spans="2:10" x14ac:dyDescent="0.25">
      <c r="B701" s="122" t="s">
        <v>22</v>
      </c>
      <c r="C701" s="84" t="s">
        <v>394</v>
      </c>
      <c r="D701" s="39"/>
      <c r="E701" s="12"/>
      <c r="F701" s="14"/>
      <c r="G701" s="26"/>
      <c r="H701" s="13"/>
      <c r="I701" s="15"/>
      <c r="J701" s="15"/>
    </row>
    <row r="702" spans="2:10" x14ac:dyDescent="0.25">
      <c r="B702" s="83" t="s">
        <v>15</v>
      </c>
      <c r="C702" s="120" t="s">
        <v>395</v>
      </c>
      <c r="D702" s="38"/>
      <c r="E702" s="123" t="s">
        <v>9</v>
      </c>
      <c r="F702" s="18"/>
      <c r="G702" s="24"/>
      <c r="H702" s="19" t="b">
        <f>IF(D705="x",H$2,H$1)</f>
        <v>0</v>
      </c>
    </row>
    <row r="703" spans="2:10" x14ac:dyDescent="0.25">
      <c r="B703" s="83" t="s">
        <v>15</v>
      </c>
      <c r="C703" s="127" t="s">
        <v>396</v>
      </c>
      <c r="D703" s="38"/>
      <c r="E703" s="123" t="s">
        <v>10</v>
      </c>
      <c r="F703" s="20" t="str">
        <f>IF(H704=1,IF(H702=H$2,H702,""),"")</f>
        <v/>
      </c>
      <c r="G703" s="24"/>
      <c r="H703" s="19" t="str">
        <f>IF(E$731="comprobar",COUNTIF(D702:D706,"x"),"")</f>
        <v/>
      </c>
    </row>
    <row r="704" spans="2:10" x14ac:dyDescent="0.25">
      <c r="B704" s="83" t="s">
        <v>15</v>
      </c>
      <c r="C704" s="127" t="s">
        <v>397</v>
      </c>
      <c r="D704" s="38"/>
      <c r="E704" s="123" t="s">
        <v>11</v>
      </c>
      <c r="F704" s="21" t="str">
        <f>IF(H704=-0.33,IF(H702=H$1,H702,""),"")</f>
        <v/>
      </c>
      <c r="G704" s="24"/>
      <c r="H704" s="22">
        <f t="shared" ref="H704" si="65">IF(H703=1,IF(H702=H$2,1,-0.33),0)</f>
        <v>0</v>
      </c>
    </row>
    <row r="705" spans="2:10" x14ac:dyDescent="0.25">
      <c r="B705" s="83" t="s">
        <v>15</v>
      </c>
      <c r="C705" s="120" t="s">
        <v>49</v>
      </c>
      <c r="D705" s="38"/>
      <c r="E705" s="123" t="s">
        <v>12</v>
      </c>
      <c r="F705" s="18"/>
      <c r="G705" s="24"/>
      <c r="H705" s="22"/>
    </row>
    <row r="706" spans="2:10" x14ac:dyDescent="0.25">
      <c r="B706" s="42"/>
      <c r="C706" s="127"/>
      <c r="D706" s="38"/>
      <c r="E706" s="123" t="s">
        <v>13</v>
      </c>
      <c r="F706" s="18"/>
      <c r="G706" s="17"/>
      <c r="H706" s="22"/>
    </row>
    <row r="707" spans="2:10" x14ac:dyDescent="0.25">
      <c r="B707" s="122" t="s">
        <v>23</v>
      </c>
      <c r="C707" s="84" t="s">
        <v>365</v>
      </c>
      <c r="D707" s="39"/>
      <c r="E707" s="12"/>
      <c r="F707" s="14"/>
      <c r="G707" s="26"/>
      <c r="H707" s="13"/>
      <c r="I707" s="15"/>
      <c r="J707" s="15"/>
    </row>
    <row r="708" spans="2:10" x14ac:dyDescent="0.25">
      <c r="B708" s="83" t="s">
        <v>15</v>
      </c>
      <c r="C708" s="120" t="s">
        <v>398</v>
      </c>
      <c r="D708" s="38"/>
      <c r="E708" s="123" t="s">
        <v>9</v>
      </c>
      <c r="F708" s="18"/>
      <c r="G708" s="24"/>
      <c r="H708" s="19" t="b">
        <f>IF(D710="x",H$2,H$1)</f>
        <v>0</v>
      </c>
    </row>
    <row r="709" spans="2:10" x14ac:dyDescent="0.25">
      <c r="B709" s="83" t="s">
        <v>15</v>
      </c>
      <c r="C709" s="127" t="s">
        <v>399</v>
      </c>
      <c r="D709" s="38"/>
      <c r="E709" s="123" t="s">
        <v>10</v>
      </c>
      <c r="F709" s="20" t="str">
        <f>IF(H710=1,IF(H708=H$2,H708,""),"")</f>
        <v/>
      </c>
      <c r="G709" s="24"/>
      <c r="H709" s="19" t="str">
        <f>IF(E$731="comprobar",COUNTIF(D708:D712,"x"),"")</f>
        <v/>
      </c>
    </row>
    <row r="710" spans="2:10" x14ac:dyDescent="0.25">
      <c r="B710" s="83" t="s">
        <v>15</v>
      </c>
      <c r="C710" s="127" t="s">
        <v>400</v>
      </c>
      <c r="D710" s="38"/>
      <c r="E710" s="123" t="s">
        <v>11</v>
      </c>
      <c r="F710" s="21" t="str">
        <f>IF(H710=-0.33,IF(H708=H$1,H708,""),"")</f>
        <v/>
      </c>
      <c r="G710" s="24"/>
      <c r="H710" s="22">
        <f t="shared" ref="H710" si="66">IF(H709=1,IF(H708=H$2,1,-0.33),0)</f>
        <v>0</v>
      </c>
    </row>
    <row r="711" spans="2:10" x14ac:dyDescent="0.25">
      <c r="B711" s="83" t="s">
        <v>15</v>
      </c>
      <c r="C711" s="120" t="s">
        <v>49</v>
      </c>
      <c r="D711" s="38"/>
      <c r="E711" s="123" t="s">
        <v>12</v>
      </c>
      <c r="F711" s="18"/>
      <c r="G711" s="24"/>
      <c r="H711" s="22"/>
    </row>
    <row r="712" spans="2:10" x14ac:dyDescent="0.25">
      <c r="B712" s="42"/>
      <c r="C712" s="127"/>
      <c r="D712" s="38"/>
      <c r="E712" s="123" t="s">
        <v>13</v>
      </c>
      <c r="F712" s="18"/>
      <c r="G712" s="17"/>
      <c r="H712" s="22"/>
    </row>
    <row r="713" spans="2:10" x14ac:dyDescent="0.25">
      <c r="B713" s="122" t="s">
        <v>24</v>
      </c>
      <c r="C713" s="84" t="s">
        <v>365</v>
      </c>
      <c r="D713" s="39"/>
      <c r="E713" s="12"/>
      <c r="F713" s="14"/>
      <c r="G713" s="26"/>
      <c r="H713" s="13"/>
      <c r="I713" s="15"/>
      <c r="J713" s="15"/>
    </row>
    <row r="714" spans="2:10" x14ac:dyDescent="0.25">
      <c r="B714" s="83" t="s">
        <v>15</v>
      </c>
      <c r="C714" s="120" t="s">
        <v>401</v>
      </c>
      <c r="D714" s="38"/>
      <c r="E714" s="123" t="s">
        <v>9</v>
      </c>
      <c r="F714" s="18"/>
      <c r="G714" s="24"/>
      <c r="H714" s="19" t="b">
        <f>IF(D717="x",H$2,H$1)</f>
        <v>0</v>
      </c>
    </row>
    <row r="715" spans="2:10" x14ac:dyDescent="0.25">
      <c r="B715" s="83" t="s">
        <v>15</v>
      </c>
      <c r="C715" s="127" t="s">
        <v>402</v>
      </c>
      <c r="D715" s="38"/>
      <c r="E715" s="123" t="s">
        <v>10</v>
      </c>
      <c r="F715" s="20" t="str">
        <f>IF(H716=1,IF(H714=H$2,H714,""),"")</f>
        <v/>
      </c>
      <c r="G715" s="24"/>
      <c r="H715" s="19" t="str">
        <f>IF(E$731="comprobar",COUNTIF(D714:D718,"x"),"")</f>
        <v/>
      </c>
    </row>
    <row r="716" spans="2:10" x14ac:dyDescent="0.25">
      <c r="B716" s="83" t="s">
        <v>15</v>
      </c>
      <c r="C716" s="127" t="s">
        <v>403</v>
      </c>
      <c r="D716" s="38"/>
      <c r="E716" s="123" t="s">
        <v>11</v>
      </c>
      <c r="F716" s="21" t="str">
        <f>IF(H716=-0.33,IF(H714=H$1,H714,""),"")</f>
        <v/>
      </c>
      <c r="G716" s="24"/>
      <c r="H716" s="22">
        <f t="shared" ref="H716" si="67">IF(H715=1,IF(H714=H$2,1,-0.33),0)</f>
        <v>0</v>
      </c>
    </row>
    <row r="717" spans="2:10" x14ac:dyDescent="0.25">
      <c r="B717" s="83" t="s">
        <v>15</v>
      </c>
      <c r="C717" s="120" t="s">
        <v>49</v>
      </c>
      <c r="D717" s="38"/>
      <c r="E717" s="123" t="s">
        <v>12</v>
      </c>
      <c r="F717" s="18"/>
      <c r="G717" s="24"/>
      <c r="H717" s="22"/>
    </row>
    <row r="718" spans="2:10" x14ac:dyDescent="0.25">
      <c r="B718" s="108"/>
      <c r="C718" s="127"/>
      <c r="D718" s="38"/>
      <c r="E718" s="123" t="s">
        <v>13</v>
      </c>
      <c r="F718" s="18"/>
      <c r="G718" s="17"/>
      <c r="H718" s="22"/>
    </row>
    <row r="719" spans="2:10" x14ac:dyDescent="0.25">
      <c r="B719" s="122" t="s">
        <v>29</v>
      </c>
      <c r="C719" s="84" t="s">
        <v>365</v>
      </c>
      <c r="D719" s="39"/>
      <c r="E719" s="12"/>
      <c r="F719" s="14"/>
      <c r="G719" s="26"/>
      <c r="H719" s="13"/>
    </row>
    <row r="720" spans="2:10" x14ac:dyDescent="0.25">
      <c r="B720" s="83" t="s">
        <v>15</v>
      </c>
      <c r="C720" s="120" t="s">
        <v>404</v>
      </c>
      <c r="D720" s="38"/>
      <c r="E720" s="123" t="s">
        <v>9</v>
      </c>
      <c r="F720" s="18"/>
      <c r="G720" s="24"/>
      <c r="H720" s="19" t="b">
        <f>IF(D720="x",H$2,H$1)</f>
        <v>0</v>
      </c>
    </row>
    <row r="721" spans="2:10" x14ac:dyDescent="0.25">
      <c r="B721" s="83" t="s">
        <v>15</v>
      </c>
      <c r="C721" s="127" t="s">
        <v>405</v>
      </c>
      <c r="D721" s="38"/>
      <c r="E721" s="123" t="s">
        <v>10</v>
      </c>
      <c r="F721" s="20" t="str">
        <f>IF(H722=1,IF(H720=H$2,H720,""),"")</f>
        <v/>
      </c>
      <c r="G721" s="24"/>
      <c r="H721" s="19" t="str">
        <f>IF(E$731="comprobar",COUNTIF(D720:D724,"x"),"")</f>
        <v/>
      </c>
    </row>
    <row r="722" spans="2:10" x14ac:dyDescent="0.25">
      <c r="B722" s="83" t="s">
        <v>15</v>
      </c>
      <c r="C722" s="127" t="s">
        <v>406</v>
      </c>
      <c r="D722" s="38"/>
      <c r="E722" s="123" t="s">
        <v>11</v>
      </c>
      <c r="F722" s="21" t="str">
        <f>IF(H722=-0.33,IF(H720=H$1,H720,""),"")</f>
        <v/>
      </c>
      <c r="G722" s="24"/>
      <c r="H722" s="22">
        <f t="shared" ref="H722" si="68">IF(H721=1,IF(H720=H$2,1,-0.33),0)</f>
        <v>0</v>
      </c>
    </row>
    <row r="723" spans="2:10" x14ac:dyDescent="0.25">
      <c r="B723" s="83" t="s">
        <v>15</v>
      </c>
      <c r="C723" s="120" t="s">
        <v>49</v>
      </c>
      <c r="D723" s="38"/>
      <c r="E723" s="123" t="s">
        <v>12</v>
      </c>
      <c r="F723" s="18"/>
      <c r="G723" s="24"/>
      <c r="H723" s="22"/>
    </row>
    <row r="724" spans="2:10" x14ac:dyDescent="0.25">
      <c r="B724" s="108"/>
      <c r="C724" s="127"/>
      <c r="D724" s="38"/>
      <c r="E724" s="123" t="s">
        <v>13</v>
      </c>
      <c r="F724" s="18"/>
      <c r="G724" s="17"/>
      <c r="H724" s="22"/>
    </row>
    <row r="725" spans="2:10" x14ac:dyDescent="0.25">
      <c r="B725" s="122" t="s">
        <v>27</v>
      </c>
      <c r="C725" s="84" t="s">
        <v>365</v>
      </c>
      <c r="D725" s="39"/>
      <c r="E725" s="12"/>
      <c r="F725" s="14"/>
      <c r="G725" s="26"/>
      <c r="H725" s="13"/>
    </row>
    <row r="726" spans="2:10" x14ac:dyDescent="0.25">
      <c r="B726" s="83" t="s">
        <v>15</v>
      </c>
      <c r="C726" s="120" t="s">
        <v>407</v>
      </c>
      <c r="D726" s="38"/>
      <c r="E726" s="123" t="s">
        <v>9</v>
      </c>
      <c r="F726" s="18"/>
      <c r="G726" s="24"/>
      <c r="H726" s="19" t="b">
        <f>IF(D727="x",H$2,H$1)</f>
        <v>0</v>
      </c>
    </row>
    <row r="727" spans="2:10" x14ac:dyDescent="0.25">
      <c r="B727" s="83" t="s">
        <v>15</v>
      </c>
      <c r="C727" s="127" t="s">
        <v>408</v>
      </c>
      <c r="D727" s="38"/>
      <c r="E727" s="123" t="s">
        <v>10</v>
      </c>
      <c r="F727" s="20" t="str">
        <f>IF(H728=1,IF(H726=H$2,H726,""),"")</f>
        <v/>
      </c>
      <c r="G727" s="24"/>
      <c r="H727" s="19" t="str">
        <f>IF(E$731="comprobar",COUNTIF(D726:D730,"x"),"")</f>
        <v/>
      </c>
    </row>
    <row r="728" spans="2:10" x14ac:dyDescent="0.25">
      <c r="B728" s="83" t="s">
        <v>15</v>
      </c>
      <c r="C728" s="127" t="s">
        <v>409</v>
      </c>
      <c r="D728" s="38"/>
      <c r="E728" s="123" t="s">
        <v>11</v>
      </c>
      <c r="F728" s="21" t="str">
        <f>IF(H728=-0.33,IF(H726=H$1,H726,""),"")</f>
        <v/>
      </c>
      <c r="G728" s="24"/>
      <c r="H728" s="22">
        <f t="shared" ref="H728" si="69">IF(H727=1,IF(H726=H$2,1,-0.33),0)</f>
        <v>0</v>
      </c>
    </row>
    <row r="729" spans="2:10" x14ac:dyDescent="0.25">
      <c r="B729" s="83" t="s">
        <v>15</v>
      </c>
      <c r="C729" s="120" t="s">
        <v>260</v>
      </c>
      <c r="D729" s="38"/>
      <c r="E729" s="123" t="s">
        <v>12</v>
      </c>
      <c r="F729" s="18"/>
      <c r="G729" s="24"/>
      <c r="H729" s="22"/>
    </row>
    <row r="730" spans="2:10" x14ac:dyDescent="0.25">
      <c r="B730" s="108"/>
      <c r="C730" s="127"/>
      <c r="D730" s="38"/>
      <c r="E730" s="123" t="s">
        <v>13</v>
      </c>
      <c r="F730" s="18"/>
      <c r="G730" s="17"/>
      <c r="H730" s="22"/>
    </row>
    <row r="731" spans="2:10" x14ac:dyDescent="0.25">
      <c r="B731" s="108"/>
      <c r="C731" s="16"/>
      <c r="D731" s="48"/>
      <c r="E731" s="54"/>
      <c r="F731" s="18"/>
      <c r="G731" s="17"/>
      <c r="H731" s="22"/>
    </row>
    <row r="732" spans="2:10" x14ac:dyDescent="0.25">
      <c r="B732" s="42"/>
      <c r="C732" s="8"/>
      <c r="D732" s="48"/>
      <c r="E732" s="59"/>
      <c r="F732" s="28" t="s">
        <v>8</v>
      </c>
      <c r="G732" s="17" t="s">
        <v>6</v>
      </c>
      <c r="H732" s="17" t="s">
        <v>7</v>
      </c>
    </row>
    <row r="733" spans="2:10" ht="19.5" x14ac:dyDescent="0.25">
      <c r="B733" s="42"/>
      <c r="C733" s="8"/>
      <c r="D733" s="130"/>
      <c r="E733" s="130"/>
      <c r="F733" s="29" t="str">
        <f>IF(E$731="comprobar",H716+H710+H704+H698+H692+H686+H680+H674+H722+H728,"")</f>
        <v/>
      </c>
      <c r="G733" s="17">
        <f>10/2</f>
        <v>5</v>
      </c>
      <c r="H733" s="17"/>
    </row>
    <row r="734" spans="2:10" ht="16.5" thickBot="1" x14ac:dyDescent="0.3">
      <c r="B734" s="65"/>
      <c r="C734" s="66"/>
      <c r="D734" s="31"/>
      <c r="E734" s="9"/>
      <c r="F734" s="32" t="str">
        <f>IF(F733&gt;G733,G732,H732)</f>
        <v>APROBADO</v>
      </c>
      <c r="G734" s="17"/>
      <c r="H734" s="17"/>
    </row>
    <row r="735" spans="2:10" ht="28.5" x14ac:dyDescent="0.45">
      <c r="B735" s="61" t="s">
        <v>198</v>
      </c>
      <c r="C735" s="124" t="s">
        <v>43</v>
      </c>
      <c r="D735" s="124"/>
      <c r="E735" s="124"/>
      <c r="F735" s="125"/>
    </row>
    <row r="736" spans="2:10" x14ac:dyDescent="0.25">
      <c r="B736" s="119" t="s">
        <v>18</v>
      </c>
      <c r="C736" s="84" t="s">
        <v>410</v>
      </c>
      <c r="D736" s="12"/>
      <c r="E736" s="12"/>
      <c r="F736" s="14"/>
      <c r="G736" s="26"/>
      <c r="H736" s="13"/>
      <c r="I736" s="15"/>
      <c r="J736" s="15"/>
    </row>
    <row r="737" spans="2:10" x14ac:dyDescent="0.25">
      <c r="B737" s="83" t="s">
        <v>15</v>
      </c>
      <c r="C737" s="120" t="s">
        <v>411</v>
      </c>
      <c r="D737" s="38"/>
      <c r="E737" s="123"/>
      <c r="F737" s="18"/>
      <c r="G737" s="24"/>
      <c r="H737" s="19" t="b">
        <f>IF(D738="x",H$2,H$1)</f>
        <v>0</v>
      </c>
    </row>
    <row r="738" spans="2:10" x14ac:dyDescent="0.25">
      <c r="B738" s="83" t="s">
        <v>15</v>
      </c>
      <c r="C738" s="127" t="s">
        <v>412</v>
      </c>
      <c r="D738" s="38"/>
      <c r="E738" s="123"/>
      <c r="F738" s="20"/>
      <c r="G738" s="24"/>
      <c r="H738" s="19" t="str">
        <f>IF(E$796="comprobar",COUNTIF(D737:D741,"x"),"")</f>
        <v/>
      </c>
    </row>
    <row r="739" spans="2:10" x14ac:dyDescent="0.25">
      <c r="B739" s="83" t="s">
        <v>15</v>
      </c>
      <c r="C739" s="127" t="s">
        <v>413</v>
      </c>
      <c r="D739" s="38"/>
      <c r="E739" s="123"/>
      <c r="F739" s="21"/>
      <c r="G739" s="24"/>
      <c r="H739" s="22">
        <f>IF(H738=1,IF(H737=H$2,1,-0.33),0)</f>
        <v>0</v>
      </c>
    </row>
    <row r="740" spans="2:10" x14ac:dyDescent="0.25">
      <c r="B740" s="83" t="s">
        <v>15</v>
      </c>
      <c r="C740" s="120" t="s">
        <v>49</v>
      </c>
      <c r="D740" s="38"/>
      <c r="E740" s="123"/>
      <c r="F740" s="18"/>
      <c r="G740" s="24"/>
      <c r="H740" s="22"/>
    </row>
    <row r="741" spans="2:10" x14ac:dyDescent="0.25">
      <c r="B741" s="42"/>
      <c r="C741" s="127"/>
      <c r="D741" s="38"/>
      <c r="E741" s="123"/>
      <c r="F741" s="18"/>
      <c r="G741" s="17"/>
      <c r="H741" s="22"/>
    </row>
    <row r="742" spans="2:10" x14ac:dyDescent="0.25">
      <c r="B742" s="122" t="s">
        <v>17</v>
      </c>
      <c r="C742" s="84" t="s">
        <v>414</v>
      </c>
      <c r="D742" s="39"/>
      <c r="E742" s="12"/>
      <c r="F742" s="14"/>
      <c r="G742" s="26"/>
      <c r="H742" s="13"/>
      <c r="I742" s="15"/>
      <c r="J742" s="15"/>
    </row>
    <row r="743" spans="2:10" x14ac:dyDescent="0.25">
      <c r="B743" s="83" t="s">
        <v>15</v>
      </c>
      <c r="C743" s="120" t="s">
        <v>415</v>
      </c>
      <c r="D743" s="38"/>
      <c r="E743" s="123"/>
      <c r="F743" s="18"/>
      <c r="G743" s="24"/>
      <c r="H743" s="19" t="b">
        <f>IF(D746="x",H$2,H$1)</f>
        <v>0</v>
      </c>
    </row>
    <row r="744" spans="2:10" x14ac:dyDescent="0.25">
      <c r="B744" s="83" t="s">
        <v>15</v>
      </c>
      <c r="C744" s="127" t="s">
        <v>416</v>
      </c>
      <c r="D744" s="38"/>
      <c r="E744" s="123"/>
      <c r="F744" s="20"/>
      <c r="G744" s="24"/>
      <c r="H744" s="19" t="str">
        <f>IF(E$796="comprobar",COUNTIF(D743:D747,"x"),"")</f>
        <v/>
      </c>
    </row>
    <row r="745" spans="2:10" x14ac:dyDescent="0.25">
      <c r="B745" s="83" t="s">
        <v>15</v>
      </c>
      <c r="C745" s="127" t="s">
        <v>417</v>
      </c>
      <c r="D745" s="38"/>
      <c r="E745" s="123"/>
      <c r="F745" s="21"/>
      <c r="G745" s="24"/>
      <c r="H745" s="22">
        <f t="shared" ref="H745" si="70">IF(H744=1,IF(H743=H$2,1,-0.33),0)</f>
        <v>0</v>
      </c>
    </row>
    <row r="746" spans="2:10" x14ac:dyDescent="0.25">
      <c r="B746" s="83" t="s">
        <v>15</v>
      </c>
      <c r="C746" s="120" t="s">
        <v>382</v>
      </c>
      <c r="D746" s="38"/>
      <c r="E746" s="123"/>
      <c r="F746" s="18"/>
      <c r="G746" s="24"/>
      <c r="H746" s="22"/>
    </row>
    <row r="747" spans="2:10" x14ac:dyDescent="0.25">
      <c r="B747" s="83"/>
      <c r="C747" s="127"/>
      <c r="D747" s="38"/>
      <c r="E747" s="123"/>
      <c r="F747" s="18"/>
      <c r="G747" s="17"/>
      <c r="H747" s="22"/>
    </row>
    <row r="748" spans="2:10" x14ac:dyDescent="0.25">
      <c r="B748" s="122" t="s">
        <v>19</v>
      </c>
      <c r="C748" s="84" t="s">
        <v>414</v>
      </c>
      <c r="D748" s="39"/>
      <c r="E748" s="12"/>
      <c r="F748" s="14"/>
      <c r="G748" s="26"/>
      <c r="H748" s="13"/>
      <c r="I748" s="15"/>
      <c r="J748" s="15"/>
    </row>
    <row r="749" spans="2:10" x14ac:dyDescent="0.25">
      <c r="B749" s="83" t="s">
        <v>15</v>
      </c>
      <c r="C749" s="120" t="s">
        <v>418</v>
      </c>
      <c r="D749" s="38"/>
      <c r="E749" s="123"/>
      <c r="F749" s="18"/>
      <c r="G749" s="24"/>
      <c r="H749" s="19" t="b">
        <f>IF(D752="x",H$2,H$1)</f>
        <v>0</v>
      </c>
    </row>
    <row r="750" spans="2:10" x14ac:dyDescent="0.25">
      <c r="B750" s="83" t="s">
        <v>15</v>
      </c>
      <c r="C750" s="127" t="s">
        <v>419</v>
      </c>
      <c r="D750" s="38"/>
      <c r="E750" s="123"/>
      <c r="F750" s="20"/>
      <c r="G750" s="24"/>
      <c r="H750" s="19" t="str">
        <f>IF(E$796="comprobar",COUNTIF(D749:D753,"x"),"")</f>
        <v/>
      </c>
    </row>
    <row r="751" spans="2:10" x14ac:dyDescent="0.25">
      <c r="B751" s="83" t="s">
        <v>15</v>
      </c>
      <c r="C751" s="127" t="s">
        <v>420</v>
      </c>
      <c r="D751" s="38"/>
      <c r="E751" s="123"/>
      <c r="F751" s="21"/>
      <c r="G751" s="24"/>
      <c r="H751" s="22">
        <f t="shared" ref="H751" si="71">IF(H750=1,IF(H749=H$2,1,-0.33),0)</f>
        <v>0</v>
      </c>
    </row>
    <row r="752" spans="2:10" x14ac:dyDescent="0.25">
      <c r="B752" s="83" t="s">
        <v>15</v>
      </c>
      <c r="C752" s="120" t="s">
        <v>382</v>
      </c>
      <c r="D752" s="38"/>
      <c r="E752" s="123"/>
      <c r="F752" s="18"/>
      <c r="G752" s="24"/>
      <c r="H752" s="22"/>
    </row>
    <row r="753" spans="2:10" x14ac:dyDescent="0.25">
      <c r="B753" s="83"/>
      <c r="C753" s="127"/>
      <c r="D753" s="38"/>
      <c r="E753" s="123"/>
      <c r="F753" s="18"/>
      <c r="G753" s="17"/>
      <c r="H753" s="22"/>
    </row>
    <row r="754" spans="2:10" x14ac:dyDescent="0.25">
      <c r="B754" s="122" t="s">
        <v>20</v>
      </c>
      <c r="C754" s="84" t="s">
        <v>421</v>
      </c>
      <c r="D754" s="39"/>
      <c r="E754" s="12"/>
      <c r="F754" s="14"/>
      <c r="G754" s="26"/>
      <c r="H754" s="13"/>
      <c r="I754" s="15"/>
      <c r="J754" s="15"/>
    </row>
    <row r="755" spans="2:10" x14ac:dyDescent="0.25">
      <c r="B755" s="83" t="s">
        <v>15</v>
      </c>
      <c r="C755" s="120" t="s">
        <v>422</v>
      </c>
      <c r="D755" s="38"/>
      <c r="E755" s="123"/>
      <c r="F755" s="18"/>
      <c r="G755" s="24"/>
      <c r="H755" s="19" t="b">
        <f>IF(D756="x",H$2,H$1)</f>
        <v>0</v>
      </c>
    </row>
    <row r="756" spans="2:10" x14ac:dyDescent="0.25">
      <c r="B756" s="83" t="s">
        <v>15</v>
      </c>
      <c r="C756" s="127" t="s">
        <v>423</v>
      </c>
      <c r="D756" s="38"/>
      <c r="E756" s="123"/>
      <c r="F756" s="20"/>
      <c r="G756" s="24"/>
      <c r="H756" s="19" t="str">
        <f>IF(E$796="comprobar",COUNTIF(D755:D759,"x"),"")</f>
        <v/>
      </c>
    </row>
    <row r="757" spans="2:10" x14ac:dyDescent="0.25">
      <c r="B757" s="83" t="s">
        <v>15</v>
      </c>
      <c r="C757" s="127" t="s">
        <v>424</v>
      </c>
      <c r="D757" s="38"/>
      <c r="E757" s="123"/>
      <c r="F757" s="21"/>
      <c r="G757" s="24"/>
      <c r="H757" s="22">
        <f t="shared" ref="H757" si="72">IF(H756=1,IF(H755=H$2,1,-0.33),0)</f>
        <v>0</v>
      </c>
    </row>
    <row r="758" spans="2:10" x14ac:dyDescent="0.25">
      <c r="B758" s="83" t="s">
        <v>15</v>
      </c>
      <c r="C758" s="120" t="s">
        <v>49</v>
      </c>
      <c r="D758" s="38"/>
      <c r="E758" s="123"/>
      <c r="F758" s="18"/>
      <c r="G758" s="24"/>
      <c r="H758" s="22"/>
    </row>
    <row r="759" spans="2:10" ht="16.5" thickBot="1" x14ac:dyDescent="0.3">
      <c r="B759" s="83"/>
      <c r="C759" s="127"/>
      <c r="D759" s="135"/>
      <c r="E759" s="123"/>
      <c r="F759" s="18"/>
      <c r="G759" s="17"/>
      <c r="H759" s="22"/>
    </row>
    <row r="760" spans="2:10" ht="16.5" thickTop="1" x14ac:dyDescent="0.25">
      <c r="B760" s="122" t="s">
        <v>21</v>
      </c>
      <c r="C760" s="84" t="s">
        <v>425</v>
      </c>
      <c r="D760" s="143"/>
      <c r="E760" s="144"/>
      <c r="F760" s="145"/>
      <c r="G760" s="26"/>
      <c r="H760" s="13"/>
      <c r="I760" s="15"/>
      <c r="J760" s="15"/>
    </row>
    <row r="761" spans="2:10" x14ac:dyDescent="0.25">
      <c r="B761" s="83" t="s">
        <v>15</v>
      </c>
      <c r="C761" s="133" t="s">
        <v>426</v>
      </c>
      <c r="D761" s="136"/>
      <c r="E761" s="128"/>
      <c r="F761" s="137"/>
      <c r="G761" s="24"/>
      <c r="H761" s="19" t="b">
        <f>IF(D762="x",H$2,H$1)</f>
        <v>0</v>
      </c>
    </row>
    <row r="762" spans="2:10" x14ac:dyDescent="0.25">
      <c r="B762" s="83" t="s">
        <v>15</v>
      </c>
      <c r="C762" s="134" t="s">
        <v>427</v>
      </c>
      <c r="D762" s="136"/>
      <c r="E762" s="128"/>
      <c r="F762" s="138"/>
      <c r="G762" s="24"/>
      <c r="H762" s="19" t="str">
        <f>IF(E$796="comprobar",COUNTIF(D761:D765,"x"),"")</f>
        <v/>
      </c>
    </row>
    <row r="763" spans="2:10" x14ac:dyDescent="0.25">
      <c r="B763" s="83" t="s">
        <v>15</v>
      </c>
      <c r="C763" s="134" t="s">
        <v>428</v>
      </c>
      <c r="D763" s="136"/>
      <c r="E763" s="128"/>
      <c r="F763" s="139"/>
      <c r="G763" s="24"/>
      <c r="H763" s="22">
        <f t="shared" ref="H763" si="73">IF(H762=1,IF(H761=H$2,1,-0.33),0)</f>
        <v>0</v>
      </c>
    </row>
    <row r="764" spans="2:10" x14ac:dyDescent="0.25">
      <c r="B764" s="83" t="s">
        <v>15</v>
      </c>
      <c r="C764" s="133" t="s">
        <v>49</v>
      </c>
      <c r="D764" s="136"/>
      <c r="E764" s="128"/>
      <c r="F764" s="137"/>
      <c r="G764" s="24"/>
      <c r="H764" s="22"/>
    </row>
    <row r="765" spans="2:10" ht="16.5" thickBot="1" x14ac:dyDescent="0.3">
      <c r="B765" s="83"/>
      <c r="C765" s="134"/>
      <c r="D765" s="140"/>
      <c r="E765" s="141"/>
      <c r="F765" s="142"/>
      <c r="G765" s="17"/>
      <c r="H765" s="22"/>
    </row>
    <row r="766" spans="2:10" ht="16.5" thickTop="1" x14ac:dyDescent="0.25">
      <c r="B766" s="122" t="s">
        <v>22</v>
      </c>
      <c r="C766" s="84" t="s">
        <v>425</v>
      </c>
      <c r="D766" s="39"/>
      <c r="E766" s="12"/>
      <c r="F766" s="14"/>
      <c r="G766" s="26"/>
      <c r="H766" s="13"/>
      <c r="I766" s="15"/>
      <c r="J766" s="15"/>
    </row>
    <row r="767" spans="2:10" x14ac:dyDescent="0.25">
      <c r="B767" s="83" t="s">
        <v>15</v>
      </c>
      <c r="C767" s="120" t="s">
        <v>429</v>
      </c>
      <c r="D767" s="38"/>
      <c r="E767" s="123"/>
      <c r="F767" s="18"/>
      <c r="G767" s="24"/>
      <c r="H767" s="19" t="b">
        <f>IF(D768="x",H$2,H$1)</f>
        <v>0</v>
      </c>
    </row>
    <row r="768" spans="2:10" x14ac:dyDescent="0.25">
      <c r="B768" s="83" t="s">
        <v>15</v>
      </c>
      <c r="C768" s="127" t="s">
        <v>430</v>
      </c>
      <c r="D768" s="38"/>
      <c r="E768" s="123"/>
      <c r="F768" s="20"/>
      <c r="G768" s="24"/>
      <c r="H768" s="19" t="str">
        <f>IF(E$796="comprobar",COUNTIF(D767:D771,"x"),"")</f>
        <v/>
      </c>
    </row>
    <row r="769" spans="2:10" x14ac:dyDescent="0.25">
      <c r="B769" s="83" t="s">
        <v>15</v>
      </c>
      <c r="C769" s="127" t="s">
        <v>431</v>
      </c>
      <c r="D769" s="38"/>
      <c r="E769" s="123"/>
      <c r="F769" s="21"/>
      <c r="G769" s="24"/>
      <c r="H769" s="22">
        <f t="shared" ref="H769" si="74">IF(H768=1,IF(H767=H$2,1,-0.33),0)</f>
        <v>0</v>
      </c>
    </row>
    <row r="770" spans="2:10" x14ac:dyDescent="0.25">
      <c r="B770" s="83" t="s">
        <v>15</v>
      </c>
      <c r="C770" s="120" t="s">
        <v>49</v>
      </c>
      <c r="D770" s="38"/>
      <c r="E770" s="123"/>
      <c r="F770" s="18"/>
      <c r="G770" s="24"/>
      <c r="H770" s="22"/>
    </row>
    <row r="771" spans="2:10" x14ac:dyDescent="0.25">
      <c r="B771" s="42"/>
      <c r="C771" s="127"/>
      <c r="D771" s="38"/>
      <c r="E771" s="123"/>
      <c r="F771" s="18"/>
      <c r="G771" s="17"/>
      <c r="H771" s="22"/>
    </row>
    <row r="772" spans="2:10" x14ac:dyDescent="0.25">
      <c r="B772" s="122" t="s">
        <v>23</v>
      </c>
      <c r="C772" s="84" t="s">
        <v>432</v>
      </c>
      <c r="D772" s="39"/>
      <c r="E772" s="12"/>
      <c r="F772" s="14"/>
      <c r="G772" s="26"/>
      <c r="H772" s="13"/>
      <c r="I772" s="15"/>
      <c r="J772" s="15"/>
    </row>
    <row r="773" spans="2:10" x14ac:dyDescent="0.25">
      <c r="B773" s="83" t="s">
        <v>15</v>
      </c>
      <c r="C773" s="120" t="s">
        <v>433</v>
      </c>
      <c r="D773" s="38"/>
      <c r="E773" s="123"/>
      <c r="F773" s="18"/>
      <c r="G773" s="24"/>
      <c r="H773" s="19" t="b">
        <f>IF(D775="x",H$2,H$1)</f>
        <v>0</v>
      </c>
    </row>
    <row r="774" spans="2:10" x14ac:dyDescent="0.25">
      <c r="B774" s="83" t="s">
        <v>15</v>
      </c>
      <c r="C774" s="127" t="s">
        <v>429</v>
      </c>
      <c r="D774" s="38"/>
      <c r="E774" s="123"/>
      <c r="F774" s="20"/>
      <c r="G774" s="24"/>
      <c r="H774" s="19" t="str">
        <f>IF(E$796="comprobar",COUNTIF(D773:D777,"x"),"")</f>
        <v/>
      </c>
    </row>
    <row r="775" spans="2:10" x14ac:dyDescent="0.25">
      <c r="B775" s="83" t="s">
        <v>15</v>
      </c>
      <c r="C775" s="127" t="s">
        <v>434</v>
      </c>
      <c r="D775" s="38"/>
      <c r="E775" s="123"/>
      <c r="F775" s="21"/>
      <c r="G775" s="24"/>
      <c r="H775" s="22">
        <f t="shared" ref="H775" si="75">IF(H774=1,IF(H773=H$2,1,-0.33),0)</f>
        <v>0</v>
      </c>
    </row>
    <row r="776" spans="2:10" x14ac:dyDescent="0.25">
      <c r="B776" s="83" t="s">
        <v>15</v>
      </c>
      <c r="C776" s="120" t="s">
        <v>49</v>
      </c>
      <c r="D776" s="38"/>
      <c r="E776" s="123"/>
      <c r="F776" s="18"/>
      <c r="G776" s="24"/>
      <c r="H776" s="22"/>
    </row>
    <row r="777" spans="2:10" x14ac:dyDescent="0.25">
      <c r="B777" s="42"/>
      <c r="C777" s="127"/>
      <c r="D777" s="38"/>
      <c r="E777" s="123"/>
      <c r="F777" s="18"/>
      <c r="G777" s="17"/>
      <c r="H777" s="22"/>
    </row>
    <row r="778" spans="2:10" x14ac:dyDescent="0.25">
      <c r="B778" s="122" t="s">
        <v>24</v>
      </c>
      <c r="C778" s="84" t="s">
        <v>432</v>
      </c>
      <c r="D778" s="39"/>
      <c r="E778" s="12"/>
      <c r="F778" s="14"/>
      <c r="G778" s="26"/>
      <c r="H778" s="13"/>
      <c r="I778" s="15"/>
      <c r="J778" s="15"/>
    </row>
    <row r="779" spans="2:10" x14ac:dyDescent="0.25">
      <c r="B779" s="83" t="s">
        <v>15</v>
      </c>
      <c r="C779" s="120" t="s">
        <v>430</v>
      </c>
      <c r="D779" s="38"/>
      <c r="E779" s="123"/>
      <c r="F779" s="18"/>
      <c r="G779" s="24"/>
      <c r="H779" s="19" t="b">
        <f>IF(D782="x",H$2,H$1)</f>
        <v>0</v>
      </c>
    </row>
    <row r="780" spans="2:10" x14ac:dyDescent="0.25">
      <c r="B780" s="83" t="s">
        <v>15</v>
      </c>
      <c r="C780" s="127" t="s">
        <v>435</v>
      </c>
      <c r="D780" s="38"/>
      <c r="E780" s="123"/>
      <c r="F780" s="20"/>
      <c r="G780" s="24"/>
      <c r="H780" s="19" t="str">
        <f>IF(E$796="comprobar",COUNTIF(D779:D783,"x"),"")</f>
        <v/>
      </c>
    </row>
    <row r="781" spans="2:10" x14ac:dyDescent="0.25">
      <c r="B781" s="83" t="s">
        <v>15</v>
      </c>
      <c r="C781" s="127" t="s">
        <v>436</v>
      </c>
      <c r="D781" s="38"/>
      <c r="E781" s="123"/>
      <c r="F781" s="21"/>
      <c r="G781" s="24"/>
      <c r="H781" s="22">
        <f t="shared" ref="H781" si="76">IF(H780=1,IF(H779=H$2,1,-0.33),0)</f>
        <v>0</v>
      </c>
    </row>
    <row r="782" spans="2:10" x14ac:dyDescent="0.25">
      <c r="B782" s="83" t="s">
        <v>15</v>
      </c>
      <c r="C782" s="120" t="s">
        <v>437</v>
      </c>
      <c r="D782" s="38"/>
      <c r="E782" s="123"/>
      <c r="F782" s="18"/>
      <c r="G782" s="24"/>
      <c r="H782" s="22"/>
    </row>
    <row r="783" spans="2:10" x14ac:dyDescent="0.25">
      <c r="B783" s="108"/>
      <c r="C783" s="127"/>
      <c r="D783" s="38"/>
      <c r="E783" s="123"/>
      <c r="F783" s="18"/>
      <c r="G783" s="17"/>
      <c r="H783" s="22"/>
    </row>
    <row r="784" spans="2:10" x14ac:dyDescent="0.25">
      <c r="B784" s="122" t="s">
        <v>29</v>
      </c>
      <c r="C784" s="84" t="s">
        <v>438</v>
      </c>
      <c r="D784" s="39"/>
      <c r="E784" s="12"/>
      <c r="F784" s="14"/>
      <c r="G784" s="26"/>
      <c r="H784" s="13"/>
    </row>
    <row r="785" spans="2:8" x14ac:dyDescent="0.25">
      <c r="B785" s="83" t="s">
        <v>15</v>
      </c>
      <c r="C785" s="120" t="s">
        <v>430</v>
      </c>
      <c r="D785" s="38"/>
      <c r="E785" s="123"/>
      <c r="F785" s="18"/>
      <c r="G785" s="24"/>
      <c r="H785" s="19" t="b">
        <f>IF(D788="x",H$2,H$1)</f>
        <v>0</v>
      </c>
    </row>
    <row r="786" spans="2:8" x14ac:dyDescent="0.25">
      <c r="B786" s="83" t="s">
        <v>15</v>
      </c>
      <c r="C786" s="127" t="s">
        <v>439</v>
      </c>
      <c r="D786" s="38"/>
      <c r="E786" s="123"/>
      <c r="F786" s="20"/>
      <c r="G786" s="24"/>
      <c r="H786" s="19" t="str">
        <f>IF(E$796="comprobar",COUNTIF(D785:D789,"x"),"")</f>
        <v/>
      </c>
    </row>
    <row r="787" spans="2:8" x14ac:dyDescent="0.25">
      <c r="B787" s="83" t="s">
        <v>15</v>
      </c>
      <c r="C787" s="127" t="s">
        <v>440</v>
      </c>
      <c r="D787" s="38"/>
      <c r="E787" s="123"/>
      <c r="F787" s="21"/>
      <c r="G787" s="24"/>
      <c r="H787" s="22">
        <f t="shared" ref="H787" si="77">IF(H786=1,IF(H785=H$2,1,-0.33),0)</f>
        <v>0</v>
      </c>
    </row>
    <row r="788" spans="2:8" x14ac:dyDescent="0.25">
      <c r="B788" s="83" t="s">
        <v>15</v>
      </c>
      <c r="C788" s="120" t="s">
        <v>437</v>
      </c>
      <c r="D788" s="38"/>
      <c r="E788" s="123"/>
      <c r="F788" s="18"/>
      <c r="G788" s="24"/>
      <c r="H788" s="22"/>
    </row>
    <row r="789" spans="2:8" x14ac:dyDescent="0.25">
      <c r="B789" s="108"/>
      <c r="C789" s="127"/>
      <c r="D789" s="38"/>
      <c r="E789" s="123"/>
      <c r="F789" s="18"/>
      <c r="G789" s="17"/>
      <c r="H789" s="22"/>
    </row>
    <row r="790" spans="2:8" x14ac:dyDescent="0.25">
      <c r="B790" s="122" t="s">
        <v>27</v>
      </c>
      <c r="C790" s="84" t="s">
        <v>441</v>
      </c>
      <c r="D790" s="39"/>
      <c r="E790" s="12"/>
      <c r="F790" s="14"/>
      <c r="G790" s="26"/>
      <c r="H790" s="13"/>
    </row>
    <row r="791" spans="2:8" x14ac:dyDescent="0.25">
      <c r="B791" s="83" t="s">
        <v>15</v>
      </c>
      <c r="C791" s="120" t="s">
        <v>442</v>
      </c>
      <c r="D791" s="38"/>
      <c r="E791" s="123"/>
      <c r="F791" s="18"/>
      <c r="G791" s="24"/>
      <c r="H791" s="19" t="b">
        <f>IF(D792="x",H$2,H$1)</f>
        <v>0</v>
      </c>
    </row>
    <row r="792" spans="2:8" x14ac:dyDescent="0.25">
      <c r="B792" s="83" t="s">
        <v>15</v>
      </c>
      <c r="C792" s="127" t="s">
        <v>443</v>
      </c>
      <c r="D792" s="38"/>
      <c r="E792" s="123"/>
      <c r="F792" s="20"/>
      <c r="G792" s="24"/>
      <c r="H792" s="19" t="str">
        <f>IF(E$796="comprobar",COUNTIF(D791:D795,"x"),"")</f>
        <v/>
      </c>
    </row>
    <row r="793" spans="2:8" x14ac:dyDescent="0.25">
      <c r="B793" s="83" t="s">
        <v>15</v>
      </c>
      <c r="C793" s="127" t="s">
        <v>444</v>
      </c>
      <c r="D793" s="38"/>
      <c r="E793" s="123"/>
      <c r="F793" s="21"/>
      <c r="G793" s="24"/>
      <c r="H793" s="22">
        <f t="shared" ref="H793" si="78">IF(H792=1,IF(H791=H$2,1,-0.33),0)</f>
        <v>0</v>
      </c>
    </row>
    <row r="794" spans="2:8" x14ac:dyDescent="0.25">
      <c r="B794" s="83" t="s">
        <v>15</v>
      </c>
      <c r="C794" s="120" t="s">
        <v>260</v>
      </c>
      <c r="D794" s="38"/>
      <c r="E794" s="123"/>
      <c r="F794" s="18"/>
      <c r="G794" s="24"/>
      <c r="H794" s="22"/>
    </row>
    <row r="795" spans="2:8" x14ac:dyDescent="0.25">
      <c r="B795" s="108"/>
      <c r="C795" s="127"/>
      <c r="D795" s="38"/>
      <c r="E795" s="123"/>
      <c r="F795" s="18"/>
      <c r="G795" s="17"/>
      <c r="H795" s="22"/>
    </row>
    <row r="796" spans="2:8" x14ac:dyDescent="0.25">
      <c r="B796" s="108"/>
      <c r="C796" s="16"/>
      <c r="D796" s="48"/>
      <c r="E796" s="54"/>
      <c r="F796" s="18"/>
      <c r="G796" s="17"/>
      <c r="H796" s="22"/>
    </row>
    <row r="797" spans="2:8" x14ac:dyDescent="0.25">
      <c r="B797" s="42"/>
      <c r="C797" s="8"/>
      <c r="D797" s="48"/>
      <c r="E797" s="59"/>
      <c r="F797" s="28" t="s">
        <v>8</v>
      </c>
      <c r="G797" s="17" t="s">
        <v>6</v>
      </c>
      <c r="H797" s="17" t="s">
        <v>7</v>
      </c>
    </row>
    <row r="798" spans="2:8" ht="19.5" x14ac:dyDescent="0.25">
      <c r="B798" s="42"/>
      <c r="C798" s="8"/>
      <c r="D798" s="130"/>
      <c r="E798" s="130"/>
      <c r="F798" s="29" t="str">
        <f>IF(E$796="comprobar",H781+H775+H769+H763+H757+H751+H745+H739+H787+H793,"")</f>
        <v/>
      </c>
      <c r="G798" s="17">
        <f>10/2</f>
        <v>5</v>
      </c>
      <c r="H798" s="17"/>
    </row>
    <row r="799" spans="2:8" ht="16.5" thickBot="1" x14ac:dyDescent="0.3">
      <c r="B799" s="65"/>
      <c r="C799" s="66"/>
      <c r="D799" s="31"/>
      <c r="E799" s="9"/>
      <c r="F799" s="32" t="str">
        <f>IF(F798&gt;G798,G797,H797)</f>
        <v>APROBADO</v>
      </c>
      <c r="G799" s="17"/>
      <c r="H799" s="17"/>
    </row>
  </sheetData>
  <mergeCells count="8">
    <mergeCell ref="D733:E733"/>
    <mergeCell ref="D798:E798"/>
    <mergeCell ref="D603:E603"/>
    <mergeCell ref="D81:E81"/>
    <mergeCell ref="C6:F6"/>
    <mergeCell ref="C83:F83"/>
    <mergeCell ref="D668:E668"/>
    <mergeCell ref="D760:F760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79</xdr:row>
                    <xdr:rowOff>152400</xdr:rowOff>
                  </from>
                  <to>
                    <xdr:col>2</xdr:col>
                    <xdr:colOff>9915525</xdr:colOff>
                    <xdr:row>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157</xdr:row>
                    <xdr:rowOff>28575</xdr:rowOff>
                  </from>
                  <to>
                    <xdr:col>2</xdr:col>
                    <xdr:colOff>9858375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235</xdr:row>
                    <xdr:rowOff>9525</xdr:rowOff>
                  </from>
                  <to>
                    <xdr:col>2</xdr:col>
                    <xdr:colOff>9763125</xdr:colOff>
                    <xdr:row>236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299</xdr:row>
                    <xdr:rowOff>190500</xdr:rowOff>
                  </from>
                  <to>
                    <xdr:col>2</xdr:col>
                    <xdr:colOff>9801225</xdr:colOff>
                    <xdr:row>301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380</xdr:row>
                    <xdr:rowOff>47625</xdr:rowOff>
                  </from>
                  <to>
                    <xdr:col>2</xdr:col>
                    <xdr:colOff>9991725</xdr:colOff>
                    <xdr:row>381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460</xdr:row>
                    <xdr:rowOff>0</xdr:rowOff>
                  </from>
                  <to>
                    <xdr:col>2</xdr:col>
                    <xdr:colOff>9820275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536</xdr:row>
                    <xdr:rowOff>190500</xdr:rowOff>
                  </from>
                  <to>
                    <xdr:col>2</xdr:col>
                    <xdr:colOff>9791700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536</xdr:row>
                    <xdr:rowOff>200025</xdr:rowOff>
                  </from>
                  <to>
                    <xdr:col>2</xdr:col>
                    <xdr:colOff>9096375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460</xdr:row>
                    <xdr:rowOff>9525</xdr:rowOff>
                  </from>
                  <to>
                    <xdr:col>2</xdr:col>
                    <xdr:colOff>9096375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380</xdr:row>
                    <xdr:rowOff>66675</xdr:rowOff>
                  </from>
                  <to>
                    <xdr:col>2</xdr:col>
                    <xdr:colOff>9296400</xdr:colOff>
                    <xdr:row>381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299</xdr:row>
                    <xdr:rowOff>190500</xdr:rowOff>
                  </from>
                  <to>
                    <xdr:col>2</xdr:col>
                    <xdr:colOff>9096375</xdr:colOff>
                    <xdr:row>301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235</xdr:row>
                    <xdr:rowOff>28575</xdr:rowOff>
                  </from>
                  <to>
                    <xdr:col>2</xdr:col>
                    <xdr:colOff>9096375</xdr:colOff>
                    <xdr:row>235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157</xdr:row>
                    <xdr:rowOff>38100</xdr:rowOff>
                  </from>
                  <to>
                    <xdr:col>2</xdr:col>
                    <xdr:colOff>9096375</xdr:colOff>
                    <xdr:row>158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79</xdr:row>
                    <xdr:rowOff>180975</xdr:rowOff>
                  </from>
                  <to>
                    <xdr:col>2</xdr:col>
                    <xdr:colOff>9096375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601</xdr:row>
                    <xdr:rowOff>76200</xdr:rowOff>
                  </from>
                  <to>
                    <xdr:col>2</xdr:col>
                    <xdr:colOff>10563225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601</xdr:row>
                    <xdr:rowOff>76200</xdr:rowOff>
                  </from>
                  <to>
                    <xdr:col>2</xdr:col>
                    <xdr:colOff>9877425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666</xdr:row>
                    <xdr:rowOff>76200</xdr:rowOff>
                  </from>
                  <to>
                    <xdr:col>2</xdr:col>
                    <xdr:colOff>10563225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666</xdr:row>
                    <xdr:rowOff>76200</xdr:rowOff>
                  </from>
                  <to>
                    <xdr:col>2</xdr:col>
                    <xdr:colOff>9877425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731</xdr:row>
                    <xdr:rowOff>76200</xdr:rowOff>
                  </from>
                  <to>
                    <xdr:col>2</xdr:col>
                    <xdr:colOff>10563225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731</xdr:row>
                    <xdr:rowOff>76200</xdr:rowOff>
                  </from>
                  <to>
                    <xdr:col>2</xdr:col>
                    <xdr:colOff>9877425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796</xdr:row>
                    <xdr:rowOff>76200</xdr:rowOff>
                  </from>
                  <to>
                    <xdr:col>2</xdr:col>
                    <xdr:colOff>10563225</xdr:colOff>
                    <xdr:row>797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796</xdr:row>
                    <xdr:rowOff>76200</xdr:rowOff>
                  </from>
                  <to>
                    <xdr:col>2</xdr:col>
                    <xdr:colOff>9877425</xdr:colOff>
                    <xdr:row>797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iaw</vt:lpstr>
      <vt:lpstr>iaw!Área_de_impresión</vt:lpstr>
      <vt:lpstr>iaw!OLE_LINK2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2018-05-17T20:12:34Z</dcterms:modified>
  <cp:category/>
  <cp:contentStatus/>
</cp:coreProperties>
</file>