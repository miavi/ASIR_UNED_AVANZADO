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816902F3-3445-4FA0-93E3-78AAE60FABD9}" xr6:coauthVersionLast="31" xr6:coauthVersionMax="31" xr10:uidLastSave="{00000000-0000-0000-0000-000000000000}"/>
  <bookViews>
    <workbookView xWindow="0" yWindow="465" windowWidth="3375" windowHeight="3750" tabRatio="500" xr2:uid="{00000000-000D-0000-FFFF-FFFF00000000}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708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702" i="6"/>
  <c r="H690" i="6"/>
  <c r="H727" i="6"/>
  <c r="H728" i="6" s="1"/>
  <c r="F727" i="6" s="1"/>
  <c r="H721" i="6"/>
  <c r="H722" i="6" s="1"/>
  <c r="F722" i="6" s="1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716" i="6"/>
  <c r="F715" i="6" s="1"/>
  <c r="H710" i="6"/>
  <c r="F709" i="6" s="1"/>
  <c r="H704" i="6"/>
  <c r="F703" i="6" s="1"/>
  <c r="H698" i="6"/>
  <c r="F698" i="6" s="1"/>
  <c r="H674" i="6"/>
  <c r="F674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98" i="6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20" i="6" s="1"/>
  <c r="F420" i="6" s="1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F81" i="6" l="1"/>
  <c r="F82" i="6" s="1"/>
  <c r="H692" i="6"/>
  <c r="F691" i="6" s="1"/>
  <c r="H775" i="6"/>
  <c r="F798" i="6" s="1"/>
  <c r="F799" i="6" s="1"/>
  <c r="F733" i="6"/>
  <c r="F734" i="6" s="1"/>
  <c r="F721" i="6"/>
  <c r="H639" i="6"/>
  <c r="F638" i="6" s="1"/>
  <c r="H426" i="6"/>
  <c r="F426" i="6" s="1"/>
  <c r="H310" i="6"/>
  <c r="F309" i="6" s="1"/>
  <c r="H317" i="6"/>
  <c r="F316" i="6" s="1"/>
  <c r="F538" i="6"/>
  <c r="F539" i="6" s="1"/>
  <c r="F461" i="6"/>
  <c r="F462" i="6" s="1"/>
  <c r="F310" i="6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425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419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692" i="6" l="1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<sst xmlns="http://schemas.openxmlformats.org/spreadsheetml/2006/main" count="1835" uniqueCount="449">
  <si>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</si>
  <si>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</si>
  <si>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</si>
  <si>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</si>
  <si>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</si>
  <si>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</si>
  <si>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</si>
  <si>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</si>
  <si>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</si>
  <si>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</si>
  <si>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</si>
  <si>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</si>
  <si>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</si>
  <si>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</si>
  <si>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</si>
  <si>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</si>
  <si>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</si>
  <si>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</si>
  <si>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</si>
  <si>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</si>
  <si>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</si>
  <si>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</si>
  <si>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</si>
  <si>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</si>
  <si>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</si>
  <si>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</si>
  <si>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</si>
  <si>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</si>
  <si>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</si>
  <si>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</si>
  <si>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</si>
  <si>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</si>
  <si>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</si>
  <si>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</si>
  <si>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</si>
  <si>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</si>
  <si>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</si>
  <si>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</si>
  <si>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</si>
  <si>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</si>
  <si>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</si>
  <si>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</si>
  <si>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</si>
  <si>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</si>
  <si>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</si>
  <si>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</si>
  <si>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</si>
  <si>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</si>
  <si>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</si>
  <si>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</si>
  <si>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</si>
  <si>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</si>
  <si>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</si>
  <si>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</si>
  <si>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</si>
  <si>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</si>
  <si>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</si>
  <si>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</si>
  <si>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</si>
  <si>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</si>
  <si>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</si>
  <si>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</si>
  <si>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</si>
  <si>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</si>
  <si>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</si>
  <si>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</si>
  <si>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</si>
  <si>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</si>
  <si>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</si>
  <si>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</si>
  <si>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</si>
  <si>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</si>
  <si>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</si>
  <si>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</si>
  <si>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</si>
  <si>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</si>
  <si>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</si>
  <si>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</si>
  <si>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</si>
  <si>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</si>
  <si>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</si>
  <si>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</si>
  <si>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</si>
  <si>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</si>
  <si>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</si>
  <si>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</si>
  <si>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</si>
  <si>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</si>
  <si>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</si>
  <si>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</si>
  <si>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</si>
  <si>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</si>
  <si>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</si>
  <si>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</si>
  <si>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</si>
  <si>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</si>
  <si>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</si>
  <si>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</si>
  <si>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</si>
  <si>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</si>
  <si>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</si>
  <si>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</si>
  <si>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</si>
  <si>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</si>
  <si>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</si>
  <si>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</si>
  <si>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</si>
  <si>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</si>
  <si>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</si>
  <si>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</si>
  <si>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</si>
  <si>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</si>
  <si>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</si>
  <si>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</si>
  <si>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</si>
  <si>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</si>
  <si>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</si>
  <si>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</si>
  <si>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</si>
  <si>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</si>
  <si>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</si>
  <si>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</si>
  <si>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</si>
  <si>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</si>
  <si>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</si>
  <si>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</si>
  <si>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</si>
  <si>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</si>
  <si>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</si>
  <si>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</si>
  <si>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</si>
  <si>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</si>
  <si>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</si>
  <si>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</si>
  <si>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</si>
  <si>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</si>
  <si>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</si>
  <si>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</si>
  <si>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</si>
  <si>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</si>
  <si>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</si>
  <si>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</si>
  <si>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</si>
  <si>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</si>
  <si>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</si>
  <si>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</si>
  <si>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</si>
  <si>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</si>
  <si>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</si>
  <si>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</si>
  <si>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</si>
  <si>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</si>
  <si>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</si>
  <si>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</si>
  <si>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</si>
  <si>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</si>
  <si>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</si>
  <si>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</si>
  <si>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</si>
  <si>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</si>
  <si>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</si>
  <si>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</si>
  <si>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</si>
  <si>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</si>
  <si>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</si>
  <si>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</si>
  <si>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</si>
  <si>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</si>
  <si>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</si>
  <si>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</si>
  <si>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</si>
  <si>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</si>
  <si>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</si>
  <si>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</si>
  <si>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</si>
  <si>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La siguiente función:
function f ($num){
   if($num&lt;2) return 1;
   return $num*f($num-1);
}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</si>
  <si>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</si>
  <si>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</si>
  <si>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</si>
  <si>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</si>
  <si>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</si>
  <si>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</si>
  <si>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</si>
  <si>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</si>
  <si>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</si>
  <si>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</si>
  <si>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</si>
  <si>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</si>
  <si>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</si>
  <si>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</si>
  <si>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</si>
  <si>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El siguiente código ¿qué muestra por pantalla?:
&lt;?php
function f ($num){
if($num&lt;2) return 1;
return $num*f($num-1);
}
echo f(4);
?&gt;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</si>
  <si>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</si>
  <si>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</si>
  <si>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</si>
  <si>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</si>
  <si>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</si>
  <si>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</si>
  <si>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</si>
  <si>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</si>
  <si>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</si>
  <si>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</si>
  <si>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</si>
  <si>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</si>
  <si>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</si>
  <si>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</si>
  <si>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</si>
  <si>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</si>
  <si>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</si>
  <si>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</si>
  <si>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</si>
  <si>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</si>
  <si>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</si>
  <si>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</si>
  <si>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</si>
  <si>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</si>
  <si>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</si>
  <si>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</si>
  <si>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</si>
  <si>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</si>
  <si>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</si>
  <si>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</si>
  <si>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</si>
  <si>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</si>
  <si>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</si>
  <si>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</si>
  <si>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</si>
  <si>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</si>
  <si>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</si>
  <si>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</si>
  <si>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</si>
  <si>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</si>
  <si>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</si>
  <si>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</si>
  <si>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</si>
  <si>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</si>
  <si>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</si>
  <si>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</si>
  <si>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</si>
  <si>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</si>
  <si>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</si>
  <si>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</si>
  <si>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</si>
  <si>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</si>
  <si>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</si>
  <si>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</si>
  <si>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</si>
  <si>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</si>
  <si>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</si>
  <si>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</si>
  <si>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</si>
  <si>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</si>
  <si>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</si>
  <si>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</si>
  <si>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</si>
  <si>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</si>
  <si>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Si la función mysqli_query o el método query ejecuta correctamente una instrucción SQL “CREATE TABLE”:</t>
  </si>
  <si>
    <t>Devuelve el valor true.</t>
  </si>
  <si>
    <t>Devuelve el valor false.</t>
  </si>
  <si>
    <t>Devuelve un valor de tipo entero.</t>
  </si>
  <si>
    <t>Las opciones a, b y c son falsas.</t>
  </si>
  <si>
    <t>Si la función mysqli_query o el método query ejecuta correctamente una instrucción SQL “INSERT INTO”:</t>
  </si>
  <si>
    <t>Si la función mysqli_query o el método query ejecuta correctamente una instrucción SQL “SELECT”: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</si>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</sst>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2" borderId="19" xfId="0" applyFill="1" applyBorder="1" applyAlignment="1" applyProtection="1">
      <alignment vertical="center"/>
      <protection hidden="1"/>
    </xf>
    <xf numFmtId="0" fontId="0" fillId="3" borderId="19" xfId="0" applyFill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5" xfId="0" applyFont="1" applyFill="1" applyBorder="1" applyAlignment="1" applyProtection="1">
      <alignment horizontal="center" vertical="center"/>
      <protection locked="0"/>
    </xf>
    <xf numFmtId="0" fontId="20" fillId="9" borderId="16" xfId="0" applyFont="1" applyFill="1" applyBorder="1" applyAlignment="1" applyProtection="1">
      <alignment horizontal="center" vertical="center"/>
      <protection locked="0"/>
    </xf>
    <xf numFmtId="0" fontId="20" fillId="9" borderId="17" xfId="0" applyFont="1" applyFill="1" applyBorder="1" applyAlignment="1" applyProtection="1">
      <alignment horizontal="center" vertical="center"/>
      <protection locked="0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799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199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445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446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447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40"/>
      <c r="E81" s="140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198</v>
      </c>
      <c r="C83" s="141" t="s">
        <v>34</v>
      </c>
      <c r="D83" s="141"/>
      <c r="E83" s="141"/>
      <c r="F83" s="142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84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198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9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9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24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198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24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24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24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24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24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175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176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177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178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24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179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180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181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182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24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183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184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185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186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24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187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188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189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190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24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191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192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193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24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198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200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201</v>
      </c>
      <c r="D309" s="101"/>
      <c r="E309" s="104" t="s">
        <v>9</v>
      </c>
      <c r="F309" s="103" t="str">
        <f>IF(H310=1,IF(H308=H$2,H308,""),"")</f>
        <v/>
      </c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202</v>
      </c>
      <c r="D310" s="101"/>
      <c r="E310" s="104" t="s">
        <v>10</v>
      </c>
      <c r="F310" s="105" t="str">
        <f>IF(H310=-0.33,IF(H308=H$1,H308,""),"")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203</v>
      </c>
      <c r="D311" s="101"/>
      <c r="E311" s="104" t="s">
        <v>11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24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200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204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205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206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24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200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207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208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209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24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210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211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212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213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24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214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211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212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213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24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215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216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217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218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24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0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219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220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177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221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24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222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223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224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225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24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226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227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228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229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24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230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231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232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233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24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234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235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232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233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24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236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220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177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221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24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198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237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238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239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240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24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448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241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242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243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24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0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244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245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246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7" t="s">
        <v>247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24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248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249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250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7" t="s">
        <v>251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24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252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247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253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7" t="s">
        <v>254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24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255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247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253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7" t="s">
        <v>254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24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256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257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258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7" t="s">
        <v>259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24" t="s">
        <v>260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261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257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258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7" t="s">
        <v>259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24" t="s">
        <v>260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262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257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258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7" t="s">
        <v>263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24" t="s">
        <v>260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264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265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266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267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24" t="s">
        <v>260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268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269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266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267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24" t="s">
        <v>260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270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271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272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273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24" t="s">
        <v>274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198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275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276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277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240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278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279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280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281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24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282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283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284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285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24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286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287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284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285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24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288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289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290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291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24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292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289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290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291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24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293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289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290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291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24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294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295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296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297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24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298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299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300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301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24" t="s">
        <v>302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303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289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290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291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24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304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289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290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291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305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289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290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291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198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306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307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308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309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310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311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312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313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314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315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316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317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318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319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320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321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322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288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289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290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291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323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320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321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322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324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325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326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327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328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329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330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331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332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333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334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335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336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337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338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339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340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260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40"/>
      <c r="E603" s="140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198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194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195</v>
      </c>
      <c r="D607" s="38"/>
      <c r="E607" s="123"/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196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197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341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342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343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344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345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346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342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347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348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349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350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351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352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353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354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355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356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357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358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359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360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361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362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363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364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365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366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367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368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365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369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370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371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365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372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373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374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260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40"/>
      <c r="E668" s="140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198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375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376</v>
      </c>
      <c r="D672" s="38"/>
      <c r="E672" s="123"/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377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378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365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379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380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381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382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383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384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385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386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365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387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388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389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390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391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392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393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394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395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396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397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365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398</v>
      </c>
      <c r="D708" s="38"/>
      <c r="E708" s="123" t="s">
        <v>9</v>
      </c>
      <c r="F708" s="18"/>
      <c r="G708" s="24"/>
      <c r="H708" s="19" t="b">
        <f>IF(D710="x",H$2,H$1)</f>
        <v>0</v>
      </c>
    </row>
    <row r="709" spans="2:10" x14ac:dyDescent="0.25">
      <c r="B709" s="83" t="s">
        <v>15</v>
      </c>
      <c r="C709" s="127" t="s">
        <v>399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400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365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401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402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403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365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404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405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406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365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407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408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409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260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40"/>
      <c r="E733" s="140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198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410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411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412</v>
      </c>
      <c r="D738" s="38"/>
      <c r="E738" s="123"/>
      <c r="F738" s="20"/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413</v>
      </c>
      <c r="D739" s="38"/>
      <c r="E739" s="123"/>
      <c r="F739" s="21"/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414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415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416</v>
      </c>
      <c r="D744" s="38"/>
      <c r="E744" s="123"/>
      <c r="F744" s="20"/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417</v>
      </c>
      <c r="D745" s="38"/>
      <c r="E745" s="123"/>
      <c r="F745" s="21"/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382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414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418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419</v>
      </c>
      <c r="D750" s="38"/>
      <c r="E750" s="123"/>
      <c r="F750" s="20"/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420</v>
      </c>
      <c r="D751" s="38"/>
      <c r="E751" s="123"/>
      <c r="F751" s="21"/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382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421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422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423</v>
      </c>
      <c r="D756" s="38"/>
      <c r="E756" s="123"/>
      <c r="F756" s="20"/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424</v>
      </c>
      <c r="D757" s="38"/>
      <c r="E757" s="123"/>
      <c r="F757" s="21"/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2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425</v>
      </c>
      <c r="D760" s="143"/>
      <c r="E760" s="144"/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30" t="s">
        <v>426</v>
      </c>
      <c r="D761" s="133"/>
      <c r="E761" s="128"/>
      <c r="F761" s="134"/>
      <c r="G761" s="24"/>
      <c r="H761" s="19" t="b">
        <f>IF(D762="x",H$2,H$1)</f>
        <v>0</v>
      </c>
    </row>
    <row r="762" spans="2:10" x14ac:dyDescent="0.25">
      <c r="B762" s="83" t="s">
        <v>15</v>
      </c>
      <c r="C762" s="131" t="s">
        <v>427</v>
      </c>
      <c r="D762" s="133"/>
      <c r="E762" s="128"/>
      <c r="F762" s="135"/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1" t="s">
        <v>428</v>
      </c>
      <c r="D763" s="133"/>
      <c r="E763" s="128"/>
      <c r="F763" s="136"/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30" t="s">
        <v>49</v>
      </c>
      <c r="D764" s="133"/>
      <c r="E764" s="128"/>
      <c r="F764" s="134"/>
      <c r="G764" s="24"/>
      <c r="H764" s="22"/>
    </row>
    <row r="765" spans="2:10" ht="16.5" thickBot="1" x14ac:dyDescent="0.3">
      <c r="B765" s="83"/>
      <c r="C765" s="131"/>
      <c r="D765" s="137"/>
      <c r="E765" s="138"/>
      <c r="F765" s="139"/>
      <c r="G765" s="17"/>
      <c r="H765" s="22"/>
    </row>
    <row r="766" spans="2:10" ht="16.5" thickTop="1" x14ac:dyDescent="0.25">
      <c r="B766" s="122" t="s">
        <v>22</v>
      </c>
      <c r="C766" s="84" t="s">
        <v>425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429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430</v>
      </c>
      <c r="D768" s="38"/>
      <c r="E768" s="123"/>
      <c r="F768" s="20"/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431</v>
      </c>
      <c r="D769" s="38"/>
      <c r="E769" s="123"/>
      <c r="F769" s="21"/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432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433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429</v>
      </c>
      <c r="D774" s="38"/>
      <c r="E774" s="123"/>
      <c r="F774" s="20"/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434</v>
      </c>
      <c r="D775" s="38"/>
      <c r="E775" s="123"/>
      <c r="F775" s="21"/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432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430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435</v>
      </c>
      <c r="D780" s="38"/>
      <c r="E780" s="123"/>
      <c r="F780" s="20"/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436</v>
      </c>
      <c r="D781" s="38"/>
      <c r="E781" s="123"/>
      <c r="F781" s="21"/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437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438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430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439</v>
      </c>
      <c r="D786" s="38"/>
      <c r="E786" s="123"/>
      <c r="F786" s="20"/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440</v>
      </c>
      <c r="D787" s="38"/>
      <c r="E787" s="123"/>
      <c r="F787" s="21"/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437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441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442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443</v>
      </c>
      <c r="D792" s="38"/>
      <c r="E792" s="123"/>
      <c r="F792" s="20"/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444</v>
      </c>
      <c r="D793" s="38"/>
      <c r="E793" s="123"/>
      <c r="F793" s="21"/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260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40"/>
      <c r="E798" s="140"/>
      <c r="F798" s="29" t="str">
        <f>IF(E$796="comprobar",H781+H775+H769+H763+H757+H751+H745+H739+H787+H793,"")</f>
        <v/>
      </c>
      <c r="G798" s="17">
        <f>10/2</f>
        <v>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6UZrsiZGrd4ZObdHI5NYW9x1UH8LSipVZ5fkQuCOa5yRknDsrVhJvGID+c45izLAhOhBHYJmNU2d/3LwkbgcUA==" saltValue="kKdOvDY1lprv7EQPhm9tnA==" spinCount="100000" sheet="1" objects="1" scenarios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D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2018-05-19T10:37:01Z</dcterms:modified>
  <cp:category/>
  <cp:contentStatus/>
</cp:coreProperties>
</file>