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ASIR_UNED_AVANZADO\"/>
    </mc:Choice>
  </mc:AlternateContent>
  <bookViews>
    <workbookView xWindow="0" yWindow="0" windowWidth="21570" windowHeight="7485" tabRatio="500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102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251" i="7" l="1"/>
  <c r="H245" i="7"/>
  <c r="H239" i="7"/>
  <c r="H233" i="7"/>
  <c r="H192" i="7"/>
  <c r="H180" i="7"/>
  <c r="H109" i="7"/>
  <c r="G134" i="7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392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15" i="7"/>
  <c r="H209" i="7"/>
  <c r="H203" i="7"/>
  <c r="G199" i="7" l="1"/>
  <c r="H193" i="7"/>
  <c r="H187" i="7"/>
  <c r="H188" i="7" s="1"/>
  <c r="H186" i="7"/>
  <c r="H181" i="7"/>
  <c r="H182" i="7" s="1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H116" i="7"/>
  <c r="H117" i="7" s="1"/>
  <c r="F117" i="7" s="1"/>
  <c r="H115" i="7"/>
  <c r="H110" i="7"/>
  <c r="H111" i="7" s="1"/>
  <c r="H104" i="7"/>
  <c r="H103" i="7"/>
  <c r="H98" i="7"/>
  <c r="H99" i="7" s="1"/>
  <c r="F99" i="7" s="1"/>
  <c r="H97" i="7"/>
  <c r="H92" i="7"/>
  <c r="H93" i="7" s="1"/>
  <c r="H91" i="7"/>
  <c r="H86" i="7"/>
  <c r="H85" i="7"/>
  <c r="H80" i="7"/>
  <c r="H81" i="7" s="1"/>
  <c r="H79" i="7"/>
  <c r="H74" i="7"/>
  <c r="H75" i="7" s="1"/>
  <c r="F75" i="7" s="1"/>
  <c r="H73" i="7"/>
  <c r="G69" i="7"/>
  <c r="H63" i="7"/>
  <c r="H62" i="7"/>
  <c r="H57" i="7"/>
  <c r="H56" i="7"/>
  <c r="H51" i="7"/>
  <c r="H50" i="7"/>
  <c r="H45" i="7"/>
  <c r="H44" i="7"/>
  <c r="H39" i="7"/>
  <c r="H40" i="7" s="1"/>
  <c r="F40" i="7" s="1"/>
  <c r="H38" i="7"/>
  <c r="H33" i="7"/>
  <c r="H32" i="7"/>
  <c r="H27" i="7"/>
  <c r="H26" i="7"/>
  <c r="H21" i="7"/>
  <c r="H20" i="7"/>
  <c r="H15" i="7"/>
  <c r="H14" i="7"/>
  <c r="H9" i="7"/>
  <c r="H10" i="7" s="1"/>
  <c r="F10" i="7" s="1"/>
  <c r="H8" i="7"/>
  <c r="H105" i="7" l="1"/>
  <c r="F104" i="7" s="1"/>
  <c r="H87" i="7"/>
  <c r="H64" i="7"/>
  <c r="F64" i="7" s="1"/>
  <c r="H58" i="7"/>
  <c r="F58" i="7" s="1"/>
  <c r="H52" i="7"/>
  <c r="F51" i="7" s="1"/>
  <c r="H46" i="7"/>
  <c r="F46" i="7" s="1"/>
  <c r="H34" i="7"/>
  <c r="F34" i="7" s="1"/>
  <c r="H28" i="7"/>
  <c r="F28" i="7" s="1"/>
  <c r="H22" i="7"/>
  <c r="F21" i="7" s="1"/>
  <c r="H16" i="7"/>
  <c r="F16" i="7" s="1"/>
  <c r="F93" i="7"/>
  <c r="F92" i="7"/>
  <c r="F116" i="7"/>
  <c r="H146" i="7"/>
  <c r="F146" i="7" s="1"/>
  <c r="H170" i="7"/>
  <c r="F170" i="7" s="1"/>
  <c r="H194" i="7"/>
  <c r="F193" i="7" s="1"/>
  <c r="H140" i="7"/>
  <c r="F140" i="7" s="1"/>
  <c r="F9" i="7"/>
  <c r="F52" i="7"/>
  <c r="F164" i="7"/>
  <c r="F163" i="7"/>
  <c r="F87" i="7"/>
  <c r="F169" i="7"/>
  <c r="F110" i="7"/>
  <c r="F111" i="7"/>
  <c r="F175" i="7"/>
  <c r="F176" i="7"/>
  <c r="F27" i="7"/>
  <c r="F105" i="7"/>
  <c r="F157" i="7"/>
  <c r="F158" i="7"/>
  <c r="F181" i="7"/>
  <c r="F182" i="7"/>
  <c r="F151" i="7"/>
  <c r="F152" i="7"/>
  <c r="F188" i="7"/>
  <c r="F187" i="7"/>
  <c r="F22" i="7"/>
  <c r="F80" i="7"/>
  <c r="F81" i="7"/>
  <c r="F39" i="7"/>
  <c r="F74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8" i="7"/>
  <c r="H519" i="7" s="1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35" i="7" s="1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147" i="7" l="1"/>
  <c r="F134" i="7"/>
  <c r="F135" i="7" s="1"/>
  <c r="F86" i="7"/>
  <c r="F45" i="7"/>
  <c r="F57" i="7"/>
  <c r="F63" i="7"/>
  <c r="F33" i="7"/>
  <c r="F15" i="7"/>
  <c r="F69" i="7"/>
  <c r="F70" i="7" s="1"/>
  <c r="F464" i="7"/>
  <c r="F465" i="7" s="1"/>
  <c r="F199" i="7"/>
  <c r="F200" i="7" s="1"/>
  <c r="F264" i="7"/>
  <c r="F265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<sst xmlns="http://schemas.openxmlformats.org/spreadsheetml/2006/main" count="2674" uniqueCount="715">
  <si>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</si>
  <si>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</si>
  <si>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</si>
  <si>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</si>
  <si>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</si>
  <si>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</si>
  <si>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</si>
  <si>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</si>
  <si>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</si>
  <si>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</si>
  <si>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</si>
  <si>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</si>
  <si>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</si>
  <si>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</si>
  <si>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</si>
  <si>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</si>
  <si>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</si>
  <si>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</si>
  <si>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</si>
  <si>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</si>
  <si>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</si>
  <si>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</si>
  <si>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</si>
  <si>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</si>
  <si>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</si>
  <si>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</si>
  <si>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</si>
  <si>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</si>
  <si>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</si>
  <si>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</si>
  <si>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</si>
  <si>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</si>
  <si>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</si>
  <si>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</si>
  <si>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</si>
  <si>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</si>
  <si>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</si>
  <si>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</si>
  <si>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</si>
  <si>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</si>
  <si>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</si>
  <si>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</si>
  <si>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</si>
  <si>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</si>
  <si>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</si>
  <si>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</si>
  <si>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</si>
  <si>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</si>
  <si>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</si>
  <si>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</si>
  <si>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</si>
  <si>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</si>
  <si>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</si>
  <si>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</si>
  <si>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</si>
  <si>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</si>
  <si>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</si>
  <si>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</si>
  <si>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</si>
  <si>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</si>
  <si>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</si>
  <si>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</si>
  <si>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</si>
  <si>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</si>
  <si>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</si>
  <si>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</si>
  <si>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</si>
  <si>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</si>
  <si>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</si>
  <si>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</si>
  <si>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</si>
  <si>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</si>
  <si>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</si>
  <si>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</si>
  <si>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</si>
  <si>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</si>
  <si>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</si>
  <si>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</si>
  <si>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</si>
  <si>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</si>
  <si>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</si>
  <si>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</si>
  <si>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</si>
  <si>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</si>
  <si>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</si>
  <si>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</si>
  <si>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</si>
  <si>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</si>
  <si>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</si>
  <si>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</si>
  <si>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</si>
  <si>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</si>
  <si>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</si>
  <si>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</si>
  <si>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</si>
  <si>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</si>
  <si>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</si>
  <si>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</si>
  <si>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</si>
  <si>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</si>
  <si>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</si>
  <si>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</si>
  <si>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</si>
  <si>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</si>
  <si>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</si>
  <si>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</si>
  <si>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</si>
  <si>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</si>
  <si>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</si>
  <si>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</si>
  <si>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</si>
  <si>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</si>
  <si>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</si>
  <si>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</si>
  <si>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</si>
  <si>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</si>
  <si>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</si>
  <si>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</si>
  <si>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</si>
  <si>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</si>
  <si>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</si>
  <si>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</si>
  <si>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</si>
  <si>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</si>
  <si>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</si>
  <si>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</si>
  <si>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</si>
  <si>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</si>
  <si>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</si>
  <si>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</si>
  <si>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</si>
  <si>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</si>
  <si>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</si>
  <si>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</si>
  <si>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</si>
  <si>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</si>
  <si>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</si>
  <si>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</si>
  <si>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</si>
  <si>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</si>
  <si>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</si>
  <si>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</si>
  <si>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</si>
  <si>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</si>
  <si>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</si>
  <si>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</si>
  <si>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</si>
  <si>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</si>
  <si>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</si>
  <si>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</si>
  <si>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</si>
  <si>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</si>
  <si>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</si>
  <si>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</si>
  <si>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</si>
  <si>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</si>
  <si>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</si>
  <si>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</si>
  <si>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</si>
  <si>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</si>
  <si>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</si>
  <si>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</si>
  <si>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</si>
  <si>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</si>
  <si>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</si>
  <si>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</si>
  <si>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</si>
  <si>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</si>
  <si>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</si>
  <si>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</si>
  <si>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</si>
  <si>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</si>
  <si>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</si>
  <si>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</si>
  <si>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</si>
  <si>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</si>
  <si>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</si>
  <si>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</si>
  <si>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</si>
  <si>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</si>
  <si>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</si>
  <si>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</si>
  <si>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</si>
  <si>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</si>
  <si>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</si>
  <si>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</si>
  <si>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</si>
  <si>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</si>
  <si>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</si>
  <si>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</si>
  <si>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</si>
  <si>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</si>
  <si>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</si>
  <si>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</si>
  <si>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</si>
  <si>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</si>
  <si>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</si>
  <si>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</si>
  <si>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</si>
  <si>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</si>
  <si>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</si>
  <si>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</si>
  <si>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</si>
  <si>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</si>
  <si>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</si>
  <si>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</si>
  <si>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</si>
  <si>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</si>
  <si>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</si>
  <si>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</si>
  <si>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</si>
  <si>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</si>
  <si>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</si>
  <si>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</si>
  <si>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</si>
  <si>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</si>
  <si>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</si>
  <si>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</si>
  <si>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</si>
  <si>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</si>
  <si>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</si>
  <si>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</si>
  <si>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</si>
  <si>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</si>
  <si>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</si>
  <si>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</si>
  <si>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</si>
  <si>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</si>
  <si>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</si>
  <si>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</si>
  <si>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</si>
  <si>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</si>
  <si>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</si>
  <si>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</si>
  <si>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</si>
  <si>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</si>
  <si>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</si>
  <si>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</si>
  <si>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</si>
  <si>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</si>
  <si>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</si>
  <si>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</si>
  <si>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</si>
  <si>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</si>
  <si>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</si>
  <si>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</si>
  <si>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</si>
  <si>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</si>
  <si>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</si>
  <si>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</si>
  <si>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</si>
  <si>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</si>
  <si>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</si>
  <si>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</si>
  <si>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</si>
  <si>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</si>
  <si>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</si>
  <si>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</si>
  <si>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</si>
  <si>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</si>
  <si>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</si>
  <si>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</si>
  <si>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</si>
  <si>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</si>
  <si>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</si>
  <si>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</si>
  <si>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</si>
  <si>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</si>
  <si>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</si>
  <si>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</si>
  <si>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</si>
  <si>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</si>
  <si>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</si>
  <si>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</si>
  <si>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</si>
  <si>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</si>
  <si>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</si>
  <si>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</si>
  <si>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</si>
  <si>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</si>
  <si>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</si>
  <si>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</si>
  <si>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</si>
  <si>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</si>
  <si>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</si>
  <si>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</si>
  <si>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</si>
  <si>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</si>
  <si>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</si>
  <si>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</si>
  <si>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</si>
  <si>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</si>
  <si>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</si>
  <si>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</si>
  <si>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</si>
  <si>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</si>
  <si>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</si>
  <si>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</si>
  <si>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</si>
  <si>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</si>
  <si>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</si>
  <si>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</si>
  <si>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</si>
  <si>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</si>
  <si>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</si>
  <si>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</si>
  <si>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</si>
  <si>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</si>
  <si>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</si>
  <si>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</si>
  <si>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</si>
  <si>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</si>
  <si>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</si>
  <si>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</si>
  <si>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</si>
  <si>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</si>
  <si>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</si>
  <si>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</si>
  <si>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</si>
  <si>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</si>
  <si>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</si>
  <si>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</si>
  <si>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</si>
  <si>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</si>
  <si>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</si>
  <si>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</si>
  <si>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</si>
  <si>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</si>
  <si>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</si>
  <si>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</si>
  <si>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</si>
  <si>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</si>
  <si>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</si>
  <si>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</si>
  <si>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</si>
  <si>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</si>
  <si>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</si>
  <si>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</si>
  <si>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</si>
  <si>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</si>
  <si>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</si>
  <si>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</si>
  <si>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</si>
  <si>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</si>
  <si>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</si>
  <si>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</si>
  <si>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</si>
  <si>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</si>
  <si>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</si>
  <si>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</si>
  <si>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</si>
  <si>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</si>
  <si>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</si>
  <si>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</si>
  <si>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</si>
  <si>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</si>
  <si>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</si>
  <si>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</si>
  <si>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</si>
  <si>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</si>
  <si>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</si>
  <si>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</si>
  <si>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</si>
  <si>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</si>
  <si>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</si>
  <si>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</si>
  <si>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</si>
  <si>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</si>
  <si>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</si>
  <si>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</si>
  <si>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</si>
  <si>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</si>
  <si>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</si>
  <si>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</si>
  <si>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</si>
  <si>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</si>
  <si>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</si>
  <si>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</si>
  <si>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</si>
  <si>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</si>
  <si>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</si>
  <si>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</si>
  <si>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</si>
  <si>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</si>
  <si>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</si>
  <si>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</si>
  <si>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</si>
  <si>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</si>
  <si>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</si>
  <si>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</si>
  <si>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</si>
  <si>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</si>
  <si>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</si>
  <si>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</si>
  <si>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</si>
  <si>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</si>
  <si>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</si>
  <si>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</si>
  <si>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</si>
  <si>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</si>
  <si>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</si>
  <si>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</si>
  <si>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</si>
  <si>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</si>
  <si>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</si>
  <si>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</si>
  <si>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</si>
  <si>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</si>
  <si>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</si>
  <si>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</si>
  <si>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</si>
  <si>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</si>
  <si>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</si>
  <si>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</si>
  <si>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</si>
  <si>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</si>
  <si>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</si>
  <si>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</si>
  <si>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</si>
  <si>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</si>
  <si>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</si>
  <si>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</si>
  <si>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</si>
  <si>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</si>
  <si>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</si>
  <si>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</si>
  <si>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</si>
  <si>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</si>
  <si>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</si>
  <si>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</si>
  <si>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</si>
  <si>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</si>
  <si>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</si>
  <si>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</si>
  <si>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</si>
  <si>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</si>
  <si>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</si>
  <si>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</si>
  <si>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</si>
  <si>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</si>
  <si>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</si>
  <si>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</si>
  <si>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</si>
  <si>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</si>
  <si>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</si>
  <si>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</si>
  <si>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</si>
  <si>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</si>
  <si>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</si>
  <si>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</si>
  <si>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</si>
  <si>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</si>
  <si>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</si>
  <si>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</si>
  <si>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</si>
  <si>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</si>
  <si>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</si>
  <si>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</si>
  <si>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</si>
  <si>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</si>
  <si>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</si>
  <si>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</si>
  <si>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</si>
  <si>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</si>
  <si>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</si>
  <si>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</si>
  <si>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</si>
  <si>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</si>
  <si>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</si>
  <si>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</si>
  <si>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</si>
  <si>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</si>
  <si>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</si>
  <si>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</si>
  <si>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</si>
  <si>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</si>
  <si>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</si>
  <si>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</si>
  <si>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</si>
  <si>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</si>
  <si>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</si>
  <si>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</si>
  <si>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</si>
  <si>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</si>
  <si>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</si>
  <si>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</si>
  <si>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</si>
  <si>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</si>
  <si>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</si>
  <si>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</si>
  <si>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</si>
  <si>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</si>
  <si>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</si>
  <si>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</si>
  <si>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</si>
  <si>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</si>
  <si>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</si>
  <si>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</si>
  <si>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</si>
  <si>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</si>
  <si>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</si>
  <si>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</si>
  <si>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</si>
  <si>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</si>
  <si>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</si>
  <si>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</si>
  <si>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</si>
  <si>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</si>
  <si>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</si>
  <si>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</si>
  <si>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</si>
  <si>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</si>
  <si>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</si>
  <si>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</si>
  <si>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</si>
  <si>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</si>
  <si>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</si>
  <si>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</si>
  <si>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</si>
  <si>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</si>
  <si>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</si>
  <si>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</si>
  <si>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</si>
  <si>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</si>
  <si>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</si>
  <si>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</si>
  <si>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</si>
  <si>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</si>
  <si>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</si>
  <si>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</si>
  <si>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</si>
  <si>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</si>
  <si>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</si>
  <si>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</si>
  <si>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</si>
  <si>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</si>
  <si>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</si>
  <si>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</si>
  <si>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</si>
  <si>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</si>
  <si>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</si>
  <si>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</si>
  <si>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</si>
  <si>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</si>
  <si>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</si>
  <si>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</si>
  <si>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</si>
  <si>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</si>
  <si>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</si>
  <si>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</si>
  <si>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</si>
  <si>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</si>
  <si>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</si>
  <si>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</si>
  <si>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</si>
  <si>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</si>
  <si>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</si>
  <si>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</si>
  <si>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</si>
  <si>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</si>
  <si>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</si>
  <si>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</si>
  <si>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</si>
  <si>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</si>
  <si>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</si>
  <si>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</si>
  <si>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</si>
  <si>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</si>
  <si>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</si>
  <si>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</si>
  <si>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</si>
  <si>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</si>
  <si>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</si>
  <si>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</si>
  <si>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</si>
  <si>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</si>
  <si>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</si>
  <si>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</si>
  <si>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</si>
  <si>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</si>
  <si>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</si>
  <si>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</si>
  <si>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</si>
  <si>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</si>
  <si>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</si>
  <si>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</si>
  <si>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</si>
  <si>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</si>
  <si>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</si>
  <si>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</si>
  <si>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</si>
  <si>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</si>
  <si>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</si>
  <si>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</si>
  <si>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</si>
  <si>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</si>
  <si>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</si>
  <si>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</si>
  <si>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</si>
  <si>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</si>
  <si>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</si>
  <si>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</si>
  <si>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</si>
  <si>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</si>
  <si>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</si>
  <si>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</si>
  <si>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</si>
  <si>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</si>
  <si>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</si>
  <si>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</si>
  <si>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</si>
  <si>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</si>
  <si>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</si>
  <si>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</si>
  <si>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</si>
  <si>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</si>
  <si>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</si>
  <si>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</si>
  <si>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</si>
  <si>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</si>
  <si>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</si>
  <si>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</si>
  <si>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</si>
  <si>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</si>
  <si>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</si>
  <si>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</si>
  <si>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</si>
  <si>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</si>
  <si>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</si>
  <si>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</si>
  <si>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</si>
  <si>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</si>
  <si>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</si>
  <si>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</si>
  <si>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</si>
  <si>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</si>
  <si>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</si>
  <si>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</si>
  <si>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</si>
  <si>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</si>
  <si>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</si>
  <si>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</si>
  <si>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</si>
  <si>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</si>
  <si>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</si>
  <si>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</si>
  <si>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</si>
  <si>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</si>
  <si>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</si>
  <si>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</si>
  <si>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</si>
  <si>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</si>
  <si>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</si>
  <si>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</si>
  <si>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</si>
  <si>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</si>
  <si>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</si>
  <si>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</si>
  <si>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</si>
  <si>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</si>
  <si>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</si>
  <si>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</si>
  <si>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</si>
  <si>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</si>
  <si>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</si>
  <si>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</si>
  <si>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</si>
  <si>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</si>
  <si>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</si>
  <si>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</si>
  <si>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</si>
  <si>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</si>
  <si>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</si>
  <si>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</si>
  <si>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</si>
  <si>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</si>
  <si>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</si>
  <si>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</si>
  <si>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</si>
  <si>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</si>
  <si>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</si>
  <si>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</si>
  <si>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</si>
  <si>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</si>
  <si>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</si>
  <si>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</si>
  <si>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</si>
  <si>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</si>
  <si>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</si>
  <si>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</si>
  <si>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</si>
  <si>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</si>
  <si>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</si>
  <si>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</si>
  <si>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</si>
  <si>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</si>
  <si>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</si>
  <si>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</si>
  <si>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</si>
  <si>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</si>
  <si>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</si>
  <si>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</si>
  <si>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</si>
  <si>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</si>
  <si>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</si>
  <si>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</si>
  <si>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</si>
  <si>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</si>
  <si>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</si>
  <si>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GBD</t>
  </si>
  <si>
    <t>¿En qué directorio se almacenan los comandos de MySQL (mysql, mysqldump, mysqladmin, ...?</t>
  </si>
  <si>
    <t>Un protocolo de la capa 3 de el modelo tcp/ip.</t>
  </si>
  <si>
    <t>Direcciones desde el cual los clientes NO se han conectado al servidor MySQL</t>
  </si>
  <si>
    <t xml:space="preserve">Equipos que pueden acceder a cierta base de datos.
</t>
  </si>
  <si>
    <t>Direcciones desde el cual los clientes se han conectado al servidor MySQL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</si>
</sst>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0" xfId="0" applyAlignment="1">
      <alignment horizontal="left" vertical="top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/>
    <cellStyle name="Normal 3" xfId="292"/>
    <cellStyle name="Normal 4" xfId="294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N1125"/>
  <sheetViews>
    <sheetView showGridLines="0" tabSelected="1" zoomScale="115" zoomScaleNormal="11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6" t="s">
        <v>31</v>
      </c>
      <c r="C6" s="140" t="s">
        <v>0</v>
      </c>
      <c r="D6" s="140"/>
      <c r="E6" s="140"/>
      <c r="F6" s="141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4" t="s">
        <v>17</v>
      </c>
      <c r="C7" s="76" t="s">
        <v>40</v>
      </c>
      <c r="D7" s="136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5" t="s">
        <v>15</v>
      </c>
      <c r="C8" s="116" t="s">
        <v>41</v>
      </c>
      <c r="D8" s="137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5" t="s">
        <v>15</v>
      </c>
      <c r="C9" s="116" t="s">
        <v>42</v>
      </c>
      <c r="D9" s="137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5" t="s">
        <v>15</v>
      </c>
      <c r="C10" s="116" t="s">
        <v>43</v>
      </c>
      <c r="D10" s="1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5" t="s">
        <v>15</v>
      </c>
      <c r="C11" s="116" t="s">
        <v>44</v>
      </c>
      <c r="D11" s="137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5"/>
      <c r="C12" s="24"/>
      <c r="D12" s="137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4" t="s">
        <v>16</v>
      </c>
      <c r="C13" s="76" t="s">
        <v>45</v>
      </c>
      <c r="D13" s="136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5" t="s">
        <v>15</v>
      </c>
      <c r="C14" s="116" t="s">
        <v>46</v>
      </c>
      <c r="D14" s="1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5" t="s">
        <v>15</v>
      </c>
      <c r="C15" s="116" t="s">
        <v>47</v>
      </c>
      <c r="D15" s="1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5" t="s">
        <v>15</v>
      </c>
      <c r="C16" s="116" t="s">
        <v>48</v>
      </c>
      <c r="D16" s="1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5" t="s">
        <v>15</v>
      </c>
      <c r="C17" s="116" t="s">
        <v>49</v>
      </c>
      <c r="D17" s="137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5"/>
      <c r="C18" s="24"/>
      <c r="D18" s="137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4" t="s">
        <v>18</v>
      </c>
      <c r="C19" s="76" t="s">
        <v>50</v>
      </c>
      <c r="D19" s="136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5" t="s">
        <v>15</v>
      </c>
      <c r="C20" s="116" t="s">
        <v>51</v>
      </c>
      <c r="D20" s="137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5" t="s">
        <v>15</v>
      </c>
      <c r="C21" s="116" t="s">
        <v>52</v>
      </c>
      <c r="D21" s="137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5" t="s">
        <v>15</v>
      </c>
      <c r="C22" s="116" t="s">
        <v>53</v>
      </c>
      <c r="D22" s="1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5" t="s">
        <v>15</v>
      </c>
      <c r="C23" s="116" t="s">
        <v>54</v>
      </c>
      <c r="D23" s="137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5"/>
      <c r="C24" s="24"/>
      <c r="D24" s="137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4" t="s">
        <v>19</v>
      </c>
      <c r="C25" s="76" t="s">
        <v>55</v>
      </c>
      <c r="D25" s="136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5" t="s">
        <v>15</v>
      </c>
      <c r="C26" s="116" t="s">
        <v>56</v>
      </c>
      <c r="D26" s="137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5" t="s">
        <v>15</v>
      </c>
      <c r="C27" s="116" t="s">
        <v>57</v>
      </c>
      <c r="D27" s="137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5" t="s">
        <v>15</v>
      </c>
      <c r="C28" s="116" t="s">
        <v>58</v>
      </c>
      <c r="D28" s="1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5" t="s">
        <v>15</v>
      </c>
      <c r="C29" s="116" t="s">
        <v>59</v>
      </c>
      <c r="D29" s="1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5"/>
      <c r="C30" s="24"/>
      <c r="D30" s="137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4" t="s">
        <v>20</v>
      </c>
      <c r="C31" s="76" t="s">
        <v>60</v>
      </c>
      <c r="D31" s="136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5" t="s">
        <v>15</v>
      </c>
      <c r="C32" s="116" t="s">
        <v>61</v>
      </c>
      <c r="D32" s="137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5" t="s">
        <v>15</v>
      </c>
      <c r="C33" s="116" t="s">
        <v>62</v>
      </c>
      <c r="D33" s="137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5" t="s">
        <v>15</v>
      </c>
      <c r="C34" s="116" t="s">
        <v>63</v>
      </c>
      <c r="D34" s="1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5" t="s">
        <v>15</v>
      </c>
      <c r="C35" s="116" t="s">
        <v>64</v>
      </c>
      <c r="D35" s="1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5"/>
      <c r="C36" s="24"/>
      <c r="D36" s="137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4" t="s">
        <v>21</v>
      </c>
      <c r="C37" s="76" t="s">
        <v>65</v>
      </c>
      <c r="D37" s="136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5" t="s">
        <v>15</v>
      </c>
      <c r="C38" s="116" t="s">
        <v>66</v>
      </c>
      <c r="D38" s="137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5" t="s">
        <v>15</v>
      </c>
      <c r="C39" s="116" t="s">
        <v>67</v>
      </c>
      <c r="D39" s="1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5" t="s">
        <v>15</v>
      </c>
      <c r="C40" s="116" t="s">
        <v>68</v>
      </c>
      <c r="D40" s="137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5" t="s">
        <v>15</v>
      </c>
      <c r="C41" s="116" t="s">
        <v>57</v>
      </c>
      <c r="D41" s="1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5"/>
      <c r="C42" s="24"/>
      <c r="D42" s="137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4" t="s">
        <v>22</v>
      </c>
      <c r="C43" s="76" t="s">
        <v>69</v>
      </c>
      <c r="D43" s="136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5" t="s">
        <v>15</v>
      </c>
      <c r="C44" s="116" t="s">
        <v>70</v>
      </c>
      <c r="D44" s="137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5" t="s">
        <v>15</v>
      </c>
      <c r="C45" s="116" t="s">
        <v>71</v>
      </c>
      <c r="D45" s="137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5" t="s">
        <v>15</v>
      </c>
      <c r="C46" s="116" t="s">
        <v>72</v>
      </c>
      <c r="D46" s="1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5" t="s">
        <v>15</v>
      </c>
      <c r="C47" s="116" t="s">
        <v>73</v>
      </c>
      <c r="D47" s="137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5"/>
      <c r="C48" s="24"/>
      <c r="D48" s="137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4" t="s">
        <v>23</v>
      </c>
      <c r="C49" s="76" t="s">
        <v>74</v>
      </c>
      <c r="D49" s="136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5" t="s">
        <v>15</v>
      </c>
      <c r="C50" s="116" t="s">
        <v>75</v>
      </c>
      <c r="D50" s="137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5" t="s">
        <v>15</v>
      </c>
      <c r="C51" s="116" t="s">
        <v>76</v>
      </c>
      <c r="D51" s="1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5" t="s">
        <v>15</v>
      </c>
      <c r="C52" s="116" t="s">
        <v>77</v>
      </c>
      <c r="D52" s="137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5" t="s">
        <v>15</v>
      </c>
      <c r="C53" s="116" t="s">
        <v>78</v>
      </c>
      <c r="D53" s="137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5"/>
      <c r="C54" s="24"/>
      <c r="D54" s="137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4" t="s">
        <v>27</v>
      </c>
      <c r="C55" s="76" t="s">
        <v>79</v>
      </c>
      <c r="D55" s="136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5" t="s">
        <v>15</v>
      </c>
      <c r="C56" s="116" t="s">
        <v>80</v>
      </c>
      <c r="D56" s="1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5" t="s">
        <v>15</v>
      </c>
      <c r="C57" s="116" t="s">
        <v>81</v>
      </c>
      <c r="D57" s="1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5" t="s">
        <v>15</v>
      </c>
      <c r="C58" s="116" t="s">
        <v>82</v>
      </c>
      <c r="D58" s="137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5" t="s">
        <v>15</v>
      </c>
      <c r="C59" s="116" t="s">
        <v>83</v>
      </c>
      <c r="D59" s="137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5"/>
      <c r="C60" s="24"/>
      <c r="D60" s="137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4" t="s">
        <v>25</v>
      </c>
      <c r="C61" s="76" t="s">
        <v>84</v>
      </c>
      <c r="D61" s="136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5" t="s">
        <v>15</v>
      </c>
      <c r="C62" s="116" t="s">
        <v>85</v>
      </c>
      <c r="D62" s="137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5" t="s">
        <v>15</v>
      </c>
      <c r="C63" s="116" t="s">
        <v>86</v>
      </c>
      <c r="D63" s="1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5" t="s">
        <v>15</v>
      </c>
      <c r="C64" s="116" t="s">
        <v>87</v>
      </c>
      <c r="D64" s="1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5" t="s">
        <v>15</v>
      </c>
      <c r="C65" s="116" t="s">
        <v>88</v>
      </c>
      <c r="D65" s="1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5"/>
      <c r="C66" s="24"/>
      <c r="D66" s="137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7"/>
      <c r="D69" s="139"/>
      <c r="E69" s="139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59" t="s">
        <v>31</v>
      </c>
      <c r="C71" s="140" t="s">
        <v>34</v>
      </c>
      <c r="D71" s="140"/>
      <c r="E71" s="140"/>
      <c r="F71" s="141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4" t="s">
        <v>17</v>
      </c>
      <c r="C72" s="79" t="s">
        <v>89</v>
      </c>
      <c r="D72" s="136"/>
      <c r="E72" s="52"/>
      <c r="F72" s="27"/>
      <c r="G72" s="13"/>
      <c r="H72" s="13"/>
    </row>
    <row r="73" spans="1:40" x14ac:dyDescent="0.25">
      <c r="B73" s="75" t="s">
        <v>15</v>
      </c>
      <c r="C73" s="61" t="s">
        <v>90</v>
      </c>
      <c r="D73" s="137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5" t="s">
        <v>15</v>
      </c>
      <c r="C74" s="117" t="s">
        <v>91</v>
      </c>
      <c r="D74" s="1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5" t="s">
        <v>15</v>
      </c>
      <c r="C75" s="118" t="s">
        <v>92</v>
      </c>
      <c r="D75" s="1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5" t="s">
        <v>15</v>
      </c>
      <c r="C76" s="78" t="s">
        <v>93</v>
      </c>
      <c r="D76" s="1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2"/>
      <c r="C77" s="63"/>
      <c r="D77" s="137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4" t="s">
        <v>16</v>
      </c>
      <c r="C78" s="79" t="s">
        <v>94</v>
      </c>
      <c r="D78" s="136"/>
      <c r="E78" s="52"/>
      <c r="F78" s="27"/>
      <c r="G78" s="13"/>
      <c r="H78" s="13"/>
    </row>
    <row r="79" spans="1:40" x14ac:dyDescent="0.25">
      <c r="B79" s="75" t="s">
        <v>15</v>
      </c>
      <c r="C79" s="61" t="s">
        <v>95</v>
      </c>
      <c r="D79" s="1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5" t="s">
        <v>15</v>
      </c>
      <c r="C80" s="117" t="s">
        <v>96</v>
      </c>
      <c r="D80" s="137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5" t="s">
        <v>15</v>
      </c>
      <c r="C81" s="118" t="s">
        <v>97</v>
      </c>
      <c r="D81" s="137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5" t="s">
        <v>15</v>
      </c>
      <c r="C82" s="78" t="s">
        <v>98</v>
      </c>
      <c r="D82" s="137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2"/>
      <c r="C83" s="63"/>
      <c r="D83" s="137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4"/>
      <c r="B84" s="74" t="s">
        <v>18</v>
      </c>
      <c r="C84" s="79" t="s">
        <v>99</v>
      </c>
      <c r="D84" s="136"/>
      <c r="E84" s="56"/>
      <c r="F84" s="50"/>
      <c r="G84" s="47"/>
      <c r="H84" s="47"/>
    </row>
    <row r="85" spans="1:40" x14ac:dyDescent="0.25">
      <c r="B85" s="75" t="s">
        <v>15</v>
      </c>
      <c r="C85" s="61" t="s">
        <v>100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5" t="s">
        <v>15</v>
      </c>
      <c r="C86" s="117" t="s">
        <v>101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5" t="s">
        <v>15</v>
      </c>
      <c r="C87" s="118" t="s">
        <v>102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5" t="s">
        <v>15</v>
      </c>
      <c r="C88" s="78" t="s">
        <v>103</v>
      </c>
      <c r="D88" s="1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2"/>
      <c r="C89" s="63"/>
      <c r="D89" s="137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4" t="s">
        <v>19</v>
      </c>
      <c r="C90" s="79" t="s">
        <v>104</v>
      </c>
      <c r="D90" s="136"/>
      <c r="E90" s="52"/>
      <c r="F90" s="27"/>
      <c r="G90" s="13"/>
      <c r="H90" s="13"/>
    </row>
    <row r="91" spans="1:40" x14ac:dyDescent="0.25">
      <c r="B91" s="75" t="s">
        <v>15</v>
      </c>
      <c r="C91" s="61" t="s">
        <v>105</v>
      </c>
      <c r="D91" s="1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5" t="s">
        <v>15</v>
      </c>
      <c r="C92" s="117" t="s">
        <v>106</v>
      </c>
      <c r="D92" s="137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5" t="s">
        <v>15</v>
      </c>
      <c r="C93" s="118" t="s">
        <v>107</v>
      </c>
      <c r="D93" s="1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5" t="s">
        <v>15</v>
      </c>
      <c r="C94" s="78" t="s">
        <v>108</v>
      </c>
      <c r="D94" s="1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2"/>
      <c r="C95" s="63"/>
      <c r="D95" s="137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4" t="s">
        <v>20</v>
      </c>
      <c r="C96" s="79" t="s">
        <v>109</v>
      </c>
      <c r="D96" s="136"/>
      <c r="E96" s="52"/>
      <c r="F96" s="27"/>
      <c r="G96" s="13"/>
      <c r="H96" s="13"/>
    </row>
    <row r="97" spans="1:40" x14ac:dyDescent="0.25">
      <c r="B97" s="75" t="s">
        <v>15</v>
      </c>
      <c r="C97" s="61" t="s">
        <v>110</v>
      </c>
      <c r="D97" s="137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5" t="s">
        <v>15</v>
      </c>
      <c r="C98" s="117" t="s">
        <v>111</v>
      </c>
      <c r="D98" s="1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5" t="s">
        <v>15</v>
      </c>
      <c r="C99" s="118" t="s">
        <v>112</v>
      </c>
      <c r="D99" s="137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5" t="s">
        <v>15</v>
      </c>
      <c r="C100" s="78" t="s">
        <v>113</v>
      </c>
      <c r="D100" s="1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2"/>
      <c r="C101" s="63"/>
      <c r="D101" s="137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4" t="s">
        <v>21</v>
      </c>
      <c r="C102" s="79" t="s">
        <v>114</v>
      </c>
      <c r="D102" s="136"/>
      <c r="E102" s="52"/>
      <c r="F102" s="27"/>
      <c r="G102" s="13"/>
      <c r="H102" s="13"/>
    </row>
    <row r="103" spans="1:40" x14ac:dyDescent="0.25">
      <c r="B103" s="75" t="s">
        <v>15</v>
      </c>
      <c r="C103" s="61" t="s">
        <v>115</v>
      </c>
      <c r="D103" s="1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5" t="s">
        <v>15</v>
      </c>
      <c r="C104" s="117" t="s">
        <v>116</v>
      </c>
      <c r="D104" s="137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5" t="s">
        <v>15</v>
      </c>
      <c r="C105" s="118" t="s">
        <v>117</v>
      </c>
      <c r="D105" s="137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5" t="s">
        <v>15</v>
      </c>
      <c r="C106" s="78" t="s">
        <v>118</v>
      </c>
      <c r="D106" s="137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2"/>
      <c r="C107" s="63"/>
      <c r="D107" s="137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4" t="s">
        <v>22</v>
      </c>
      <c r="C108" s="79" t="s">
        <v>710</v>
      </c>
      <c r="D108" s="136"/>
      <c r="E108" s="52"/>
      <c r="F108" s="27"/>
      <c r="G108" s="13"/>
      <c r="H108" s="13"/>
    </row>
    <row r="109" spans="1:40" x14ac:dyDescent="0.25">
      <c r="B109" s="75" t="s">
        <v>15</v>
      </c>
      <c r="C109" s="61" t="s">
        <v>119</v>
      </c>
      <c r="D109" s="138"/>
      <c r="E109" s="1"/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5" t="s">
        <v>15</v>
      </c>
      <c r="C110" s="117" t="s">
        <v>120</v>
      </c>
      <c r="D110" s="1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5" t="s">
        <v>15</v>
      </c>
      <c r="C111" s="118" t="s">
        <v>121</v>
      </c>
      <c r="D111" s="1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5" t="s">
        <v>15</v>
      </c>
      <c r="C112" s="78" t="s">
        <v>122</v>
      </c>
      <c r="D112" s="1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3"/>
      <c r="D113" s="137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4" t="s">
        <v>23</v>
      </c>
      <c r="C114" s="79" t="s">
        <v>123</v>
      </c>
      <c r="D114" s="136"/>
      <c r="E114" s="52"/>
      <c r="F114" s="27"/>
      <c r="G114" s="13"/>
      <c r="H114" s="13"/>
    </row>
    <row r="115" spans="1:40" x14ac:dyDescent="0.25">
      <c r="B115" s="75" t="s">
        <v>15</v>
      </c>
      <c r="C115" s="61" t="s">
        <v>124</v>
      </c>
      <c r="D115" s="137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5" t="s">
        <v>15</v>
      </c>
      <c r="C116" s="117" t="s">
        <v>125</v>
      </c>
      <c r="D116" s="137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5" t="s">
        <v>15</v>
      </c>
      <c r="C117" s="118" t="s">
        <v>126</v>
      </c>
      <c r="D117" s="137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5" t="s">
        <v>15</v>
      </c>
      <c r="C118" s="78" t="s">
        <v>127</v>
      </c>
      <c r="D118" s="1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2"/>
      <c r="C119" s="63"/>
      <c r="D119" s="137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ht="0.75" customHeight="1" x14ac:dyDescent="0.25">
      <c r="A120" s="4"/>
      <c r="B120" s="127"/>
      <c r="C120" s="79"/>
      <c r="D120" s="39"/>
      <c r="E120" s="52"/>
      <c r="F120" s="27"/>
      <c r="G120" s="13"/>
      <c r="H120" s="13"/>
    </row>
    <row r="121" spans="1:40" ht="3" hidden="1" customHeight="1" x14ac:dyDescent="0.25">
      <c r="B121" s="75"/>
      <c r="C121" s="61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hidden="1" x14ac:dyDescent="0.25">
      <c r="B122" s="75"/>
      <c r="C122" s="117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ht="12.75" hidden="1" customHeight="1" x14ac:dyDescent="0.25">
      <c r="B123" s="75"/>
      <c r="C123" s="118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hidden="1" x14ac:dyDescent="0.25">
      <c r="B124" s="75"/>
      <c r="C124" s="78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hidden="1" x14ac:dyDescent="0.25">
      <c r="B125" s="62"/>
      <c r="C125" s="63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hidden="1" x14ac:dyDescent="0.25">
      <c r="A126" s="4"/>
      <c r="B126" s="127"/>
      <c r="C126" s="79"/>
      <c r="D126" s="39"/>
      <c r="E126" s="52"/>
      <c r="F126" s="27"/>
      <c r="G126" s="26"/>
      <c r="H126" s="13"/>
    </row>
    <row r="127" spans="1:40" hidden="1" x14ac:dyDescent="0.25">
      <c r="B127" s="75"/>
      <c r="C127" s="116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hidden="1" x14ac:dyDescent="0.25">
      <c r="B128" s="75"/>
      <c r="C128" s="78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ht="15" hidden="1" customHeight="1" x14ac:dyDescent="0.25">
      <c r="B129" s="75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t="16.5" hidden="1" customHeight="1" x14ac:dyDescent="0.25">
      <c r="B130" s="75"/>
      <c r="C130" s="78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hidden="1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6"/>
      <c r="E134" s="51"/>
      <c r="F134" s="29" t="str">
        <f>IF(E132="comprobar",H117+H111+H105+H99+H93+H87+H81+H75,"")</f>
        <v/>
      </c>
      <c r="G134" s="17">
        <f>8/2</f>
        <v>4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59" t="s">
        <v>709</v>
      </c>
      <c r="C136" s="140" t="s">
        <v>35</v>
      </c>
      <c r="D136" s="140"/>
      <c r="E136" s="140"/>
      <c r="F136" s="141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4"/>
      <c r="B137" s="74" t="s">
        <v>17</v>
      </c>
      <c r="C137" s="119" t="s">
        <v>128</v>
      </c>
      <c r="D137" s="136"/>
      <c r="E137" s="47"/>
      <c r="F137" s="67"/>
      <c r="G137" s="47"/>
      <c r="H137" s="47"/>
    </row>
    <row r="138" spans="1:40" x14ac:dyDescent="0.25">
      <c r="B138" s="75" t="s">
        <v>15</v>
      </c>
      <c r="C138" s="116" t="s">
        <v>129</v>
      </c>
      <c r="D138" s="137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5" t="s">
        <v>15</v>
      </c>
      <c r="C139" s="78" t="s">
        <v>130</v>
      </c>
      <c r="D139" s="137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5" t="s">
        <v>15</v>
      </c>
      <c r="C140" t="s">
        <v>131</v>
      </c>
      <c r="D140" s="137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5" t="s">
        <v>15</v>
      </c>
      <c r="C141" s="78" t="s">
        <v>132</v>
      </c>
      <c r="D141" s="1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2"/>
      <c r="C142" s="78"/>
      <c r="D142" s="137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3"/>
      <c r="C143" s="78"/>
      <c r="D143" s="137"/>
      <c r="E143" s="53"/>
      <c r="F143" s="25"/>
      <c r="G143" s="17"/>
      <c r="H143" s="17"/>
    </row>
    <row r="144" spans="1:40" x14ac:dyDescent="0.25">
      <c r="B144" s="74" t="s">
        <v>16</v>
      </c>
      <c r="C144" s="119" t="s">
        <v>133</v>
      </c>
      <c r="D144" s="136"/>
      <c r="E144" s="136"/>
      <c r="F144" s="136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5" t="s">
        <v>15</v>
      </c>
      <c r="C145" s="78" t="s">
        <v>134</v>
      </c>
      <c r="D145" s="137"/>
      <c r="E145" s="53" t="s">
        <v>9</v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5" t="s">
        <v>15</v>
      </c>
      <c r="C146" t="s">
        <v>135</v>
      </c>
      <c r="D146" s="138"/>
      <c r="E146" s="53" t="s">
        <v>10</v>
      </c>
      <c r="F146" s="20" t="str">
        <f>IF(H146=1,IF(H144=H$2,H144,""),"")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5" t="s">
        <v>15</v>
      </c>
      <c r="C147" s="78" t="s">
        <v>136</v>
      </c>
      <c r="D147" s="137"/>
      <c r="E147" s="53" t="s">
        <v>11</v>
      </c>
      <c r="F147" s="21" t="str">
        <f>IF(H146=-0.33,IF(H144=H$1,H144,""),"")</f>
        <v/>
      </c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5" t="s">
        <v>15</v>
      </c>
      <c r="C148" s="63" t="s">
        <v>137</v>
      </c>
      <c r="D148" s="137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4"/>
      <c r="B149" s="74" t="s">
        <v>18</v>
      </c>
      <c r="C149" s="119" t="s">
        <v>138</v>
      </c>
      <c r="D149" s="136"/>
      <c r="E149" s="52"/>
      <c r="F149" s="27"/>
      <c r="G149" s="13"/>
      <c r="H149" s="13"/>
    </row>
    <row r="150" spans="1:40" x14ac:dyDescent="0.25">
      <c r="B150" s="75" t="s">
        <v>15</v>
      </c>
      <c r="C150" s="116" t="s">
        <v>139</v>
      </c>
      <c r="D150" s="137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5" t="s">
        <v>15</v>
      </c>
      <c r="C151" s="78" t="s">
        <v>140</v>
      </c>
      <c r="D151" s="1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5" t="s">
        <v>15</v>
      </c>
      <c r="C152" t="s">
        <v>141</v>
      </c>
      <c r="D152" s="137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5" t="s">
        <v>15</v>
      </c>
      <c r="C153" s="78" t="s">
        <v>142</v>
      </c>
      <c r="D153" s="137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2"/>
      <c r="C154" s="63"/>
      <c r="D154" s="137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4" t="s">
        <v>19</v>
      </c>
      <c r="C155" s="119" t="s">
        <v>143</v>
      </c>
      <c r="D155" s="136"/>
      <c r="E155" s="52"/>
      <c r="F155" s="27"/>
      <c r="G155" s="13"/>
      <c r="H155" s="13"/>
    </row>
    <row r="156" spans="1:40" x14ac:dyDescent="0.25">
      <c r="B156" s="75" t="s">
        <v>15</v>
      </c>
      <c r="C156" s="116" t="s">
        <v>144</v>
      </c>
      <c r="D156" s="138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5" t="s">
        <v>15</v>
      </c>
      <c r="C157" s="78" t="s">
        <v>145</v>
      </c>
      <c r="D157" s="137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5" t="s">
        <v>15</v>
      </c>
      <c r="C158" t="s">
        <v>146</v>
      </c>
      <c r="D158" s="137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5" t="s">
        <v>15</v>
      </c>
      <c r="C159" s="78" t="s">
        <v>147</v>
      </c>
      <c r="D159" s="137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2"/>
      <c r="C160" s="63"/>
      <c r="D160" s="137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7" t="s">
        <v>20</v>
      </c>
      <c r="C161" s="119" t="s">
        <v>148</v>
      </c>
      <c r="D161" s="136"/>
      <c r="E161" s="52"/>
      <c r="F161" s="27"/>
      <c r="G161" s="13"/>
      <c r="H161" s="13"/>
    </row>
    <row r="162" spans="1:40" x14ac:dyDescent="0.25">
      <c r="B162" s="75" t="s">
        <v>15</v>
      </c>
      <c r="C162" s="116" t="s">
        <v>711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5" t="s">
        <v>15</v>
      </c>
      <c r="C163" s="78" t="s">
        <v>149</v>
      </c>
      <c r="D163" s="137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5" t="s">
        <v>15</v>
      </c>
      <c r="C164" t="s">
        <v>150</v>
      </c>
      <c r="D164" s="138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5" t="s">
        <v>15</v>
      </c>
      <c r="C165" s="78" t="s">
        <v>151</v>
      </c>
      <c r="D165" s="1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2"/>
      <c r="C166" s="63"/>
      <c r="D166" s="137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 x14ac:dyDescent="0.25">
      <c r="A167" s="4"/>
      <c r="B167" s="127" t="s">
        <v>21</v>
      </c>
      <c r="C167" s="142" t="s">
        <v>152</v>
      </c>
      <c r="D167" s="136"/>
      <c r="E167" s="52"/>
      <c r="F167" s="27"/>
      <c r="G167" s="13"/>
      <c r="H167" s="13"/>
    </row>
    <row r="168" spans="1:40" x14ac:dyDescent="0.25">
      <c r="B168" s="75" t="s">
        <v>15</v>
      </c>
      <c r="C168" s="116" t="s">
        <v>153</v>
      </c>
      <c r="D168" s="138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5" t="s">
        <v>15</v>
      </c>
      <c r="C169" s="78" t="s">
        <v>154</v>
      </c>
      <c r="D169" s="137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5" t="s">
        <v>15</v>
      </c>
      <c r="C170" t="s">
        <v>155</v>
      </c>
      <c r="D170" s="137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5" t="s">
        <v>15</v>
      </c>
      <c r="C171" s="78" t="s">
        <v>156</v>
      </c>
      <c r="D171" s="137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2"/>
      <c r="C172" s="63"/>
      <c r="D172" s="137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7" t="s">
        <v>22</v>
      </c>
      <c r="C173" s="119" t="s">
        <v>157</v>
      </c>
      <c r="D173" s="136"/>
      <c r="E173" s="52"/>
      <c r="F173" s="27"/>
      <c r="G173" s="13"/>
      <c r="H173" s="13"/>
    </row>
    <row r="174" spans="1:40" s="34" customFormat="1" x14ac:dyDescent="0.25">
      <c r="A174" s="4"/>
      <c r="B174" s="75" t="s">
        <v>15</v>
      </c>
      <c r="C174" s="116" t="s">
        <v>158</v>
      </c>
      <c r="D174" s="138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5" t="s">
        <v>15</v>
      </c>
      <c r="C175" s="78" t="s">
        <v>159</v>
      </c>
      <c r="D175" s="1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5" t="s">
        <v>15</v>
      </c>
      <c r="C176" t="s">
        <v>160</v>
      </c>
      <c r="D176" s="138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5" t="s">
        <v>15</v>
      </c>
      <c r="C177" s="78" t="s">
        <v>161</v>
      </c>
      <c r="D177" s="1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2"/>
      <c r="C178" s="63"/>
      <c r="D178" s="137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7" t="s">
        <v>23</v>
      </c>
      <c r="C179" s="119" t="s">
        <v>162</v>
      </c>
      <c r="D179" s="136"/>
      <c r="E179" s="52"/>
      <c r="F179" s="27"/>
      <c r="G179" s="13"/>
      <c r="H179" s="13"/>
    </row>
    <row r="180" spans="1:40" x14ac:dyDescent="0.25">
      <c r="B180" s="75" t="s">
        <v>15</v>
      </c>
      <c r="C180" s="116" t="s">
        <v>163</v>
      </c>
      <c r="D180" s="137"/>
      <c r="E180" s="53" t="s">
        <v>9</v>
      </c>
      <c r="F180" s="25"/>
      <c r="G180" s="17"/>
      <c r="H180" s="19" t="b">
        <f>IF(D183="x",H$2,H$1)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5" t="s">
        <v>15</v>
      </c>
      <c r="C181" s="78" t="s">
        <v>712</v>
      </c>
      <c r="D181" s="137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5" t="s">
        <v>15</v>
      </c>
      <c r="C182" s="143" t="s">
        <v>713</v>
      </c>
      <c r="D182" s="137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5" t="s">
        <v>15</v>
      </c>
      <c r="C183" s="78" t="s">
        <v>714</v>
      </c>
      <c r="D183" s="1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2"/>
      <c r="C184" s="63"/>
      <c r="D184" s="137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7" t="s">
        <v>24</v>
      </c>
      <c r="C185" s="119" t="s">
        <v>164</v>
      </c>
      <c r="D185" s="136"/>
      <c r="E185" s="52"/>
      <c r="F185" s="27"/>
      <c r="G185" s="13"/>
      <c r="H185" s="13"/>
    </row>
    <row r="186" spans="1:40" x14ac:dyDescent="0.25">
      <c r="B186" s="75" t="s">
        <v>15</v>
      </c>
      <c r="C186" s="116" t="s">
        <v>57</v>
      </c>
      <c r="D186" s="137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5" t="s">
        <v>15</v>
      </c>
      <c r="C187" s="78" t="s">
        <v>165</v>
      </c>
      <c r="D187" s="137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5" t="s">
        <v>15</v>
      </c>
      <c r="C188" t="s">
        <v>166</v>
      </c>
      <c r="D188" s="138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5" t="s">
        <v>15</v>
      </c>
      <c r="C189" s="78" t="s">
        <v>167</v>
      </c>
      <c r="D189" s="137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2"/>
      <c r="C190" s="63"/>
      <c r="D190" s="137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7" t="s">
        <v>25</v>
      </c>
      <c r="C191" s="119" t="s">
        <v>168</v>
      </c>
      <c r="D191" s="136"/>
      <c r="E191" s="52"/>
      <c r="F191" s="27"/>
      <c r="G191" s="26"/>
      <c r="H191" s="13"/>
    </row>
    <row r="192" spans="1:40" x14ac:dyDescent="0.25">
      <c r="B192" s="75" t="s">
        <v>15</v>
      </c>
      <c r="C192" s="116" t="s">
        <v>169</v>
      </c>
      <c r="D192" s="137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5" t="s">
        <v>15</v>
      </c>
      <c r="C193" s="78" t="s">
        <v>170</v>
      </c>
      <c r="D193" s="1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5" t="s">
        <v>15</v>
      </c>
      <c r="C194" t="s">
        <v>171</v>
      </c>
      <c r="D194" s="137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5" t="s">
        <v>15</v>
      </c>
      <c r="C195" s="78" t="s">
        <v>172</v>
      </c>
      <c r="D195" s="137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3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6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59" t="s">
        <v>31</v>
      </c>
      <c r="C201" s="124" t="s">
        <v>36</v>
      </c>
      <c r="D201" s="124"/>
      <c r="E201" s="124"/>
      <c r="F201" s="125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5" t="s">
        <v>17</v>
      </c>
      <c r="C202" s="119" t="s">
        <v>173</v>
      </c>
      <c r="D202" s="136"/>
      <c r="E202" s="52"/>
      <c r="F202" s="27"/>
      <c r="G202" s="13"/>
      <c r="H202" s="13"/>
    </row>
    <row r="203" spans="1:40" x14ac:dyDescent="0.25">
      <c r="B203" s="75" t="s">
        <v>15</v>
      </c>
      <c r="C203" s="116" t="s">
        <v>174</v>
      </c>
      <c r="D203" s="138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5" t="s">
        <v>15</v>
      </c>
      <c r="C204" s="78" t="s">
        <v>175</v>
      </c>
      <c r="D204" s="1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5" t="s">
        <v>15</v>
      </c>
      <c r="C205" t="s">
        <v>176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5" t="s">
        <v>15</v>
      </c>
      <c r="C206" s="78" t="s">
        <v>177</v>
      </c>
      <c r="D206" s="137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2"/>
      <c r="C207" s="63"/>
      <c r="D207" s="137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5" t="s">
        <v>26</v>
      </c>
      <c r="C208" s="119" t="s">
        <v>178</v>
      </c>
      <c r="D208" s="136"/>
      <c r="E208" s="52"/>
      <c r="F208" s="27"/>
      <c r="G208" s="13"/>
      <c r="H208" s="13"/>
    </row>
    <row r="209" spans="1:40" x14ac:dyDescent="0.25">
      <c r="B209" s="75" t="s">
        <v>15</v>
      </c>
      <c r="C209" s="116" t="s">
        <v>179</v>
      </c>
      <c r="D209" s="1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5" t="s">
        <v>15</v>
      </c>
      <c r="C210" s="78" t="s">
        <v>180</v>
      </c>
      <c r="D210" s="1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5" t="s">
        <v>15</v>
      </c>
      <c r="C211" t="s">
        <v>181</v>
      </c>
      <c r="D211" s="138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5" t="s">
        <v>15</v>
      </c>
      <c r="C212" s="78" t="s">
        <v>182</v>
      </c>
      <c r="D212" s="1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2"/>
      <c r="C213" s="63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5" t="s">
        <v>18</v>
      </c>
      <c r="C214" s="119" t="s">
        <v>183</v>
      </c>
      <c r="D214" s="136"/>
      <c r="E214" s="52"/>
      <c r="F214" s="27"/>
      <c r="G214" s="13"/>
      <c r="H214" s="13"/>
    </row>
    <row r="215" spans="1:40" x14ac:dyDescent="0.25">
      <c r="B215" s="75" t="s">
        <v>15</v>
      </c>
      <c r="C215" s="116" t="s">
        <v>184</v>
      </c>
      <c r="D215" s="138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5" t="s">
        <v>15</v>
      </c>
      <c r="C216" s="78" t="s">
        <v>185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5" t="s">
        <v>15</v>
      </c>
      <c r="C217" t="s">
        <v>186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5" t="s">
        <v>15</v>
      </c>
      <c r="C218" s="78" t="s">
        <v>187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2"/>
      <c r="C219" s="63"/>
      <c r="D219" s="137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5" t="s">
        <v>19</v>
      </c>
      <c r="C220" s="119" t="s">
        <v>188</v>
      </c>
      <c r="D220" s="136"/>
      <c r="E220" s="52"/>
      <c r="F220" s="27"/>
      <c r="G220" s="13"/>
      <c r="H220" s="13"/>
    </row>
    <row r="221" spans="1:40" x14ac:dyDescent="0.25">
      <c r="B221" s="75" t="s">
        <v>15</v>
      </c>
      <c r="C221" s="116" t="s">
        <v>189</v>
      </c>
      <c r="D221" s="138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5" t="s">
        <v>15</v>
      </c>
      <c r="C222" s="78" t="s">
        <v>190</v>
      </c>
      <c r="D222" s="137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5" t="s">
        <v>15</v>
      </c>
      <c r="C223" t="s">
        <v>191</v>
      </c>
      <c r="D223" s="137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5" t="s">
        <v>15</v>
      </c>
      <c r="C224" s="78" t="s">
        <v>192</v>
      </c>
      <c r="D224" s="1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2"/>
      <c r="C225" s="63"/>
      <c r="D225" s="137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5" t="s">
        <v>20</v>
      </c>
      <c r="C226" s="119" t="s">
        <v>193</v>
      </c>
      <c r="D226" s="136"/>
      <c r="E226" s="52"/>
      <c r="F226" s="27"/>
      <c r="G226" s="13"/>
      <c r="H226" s="13"/>
    </row>
    <row r="227" spans="1:40" x14ac:dyDescent="0.25">
      <c r="B227" s="75" t="s">
        <v>15</v>
      </c>
      <c r="C227" s="116" t="s">
        <v>194</v>
      </c>
      <c r="D227" s="137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5" t="s">
        <v>15</v>
      </c>
      <c r="C228" s="78" t="s">
        <v>195</v>
      </c>
      <c r="D228" s="1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5" t="s">
        <v>15</v>
      </c>
      <c r="C229" t="s">
        <v>196</v>
      </c>
      <c r="D229" s="137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5" t="s">
        <v>15</v>
      </c>
      <c r="C230" s="78" t="s">
        <v>197</v>
      </c>
      <c r="D230" s="137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2"/>
      <c r="C231" s="63"/>
      <c r="D231" s="137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5" t="s">
        <v>21</v>
      </c>
      <c r="C232" s="119" t="s">
        <v>198</v>
      </c>
      <c r="D232" s="136"/>
      <c r="E232" s="52"/>
      <c r="F232" s="27"/>
      <c r="G232" s="13"/>
      <c r="H232" s="13"/>
    </row>
    <row r="233" spans="1:40" x14ac:dyDescent="0.25">
      <c r="B233" s="75" t="s">
        <v>15</v>
      </c>
      <c r="C233" s="116" t="s">
        <v>199</v>
      </c>
      <c r="D233" s="1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5" t="s">
        <v>15</v>
      </c>
      <c r="C234" s="78" t="s">
        <v>200</v>
      </c>
      <c r="D234" s="1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5" t="s">
        <v>15</v>
      </c>
      <c r="C235" t="s">
        <v>201</v>
      </c>
      <c r="D235" s="138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5" t="s">
        <v>15</v>
      </c>
      <c r="C236" s="78" t="s">
        <v>202</v>
      </c>
      <c r="D236" s="1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2"/>
      <c r="C237" s="63"/>
      <c r="D237" s="137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5" t="s">
        <v>22</v>
      </c>
      <c r="C238" s="119" t="s">
        <v>203</v>
      </c>
      <c r="D238" s="136"/>
      <c r="E238" s="52"/>
      <c r="F238" s="27"/>
      <c r="G238" s="13"/>
      <c r="H238" s="13"/>
    </row>
    <row r="239" spans="1:40" x14ac:dyDescent="0.25">
      <c r="B239" s="75" t="s">
        <v>15</v>
      </c>
      <c r="C239" s="116" t="s">
        <v>204</v>
      </c>
      <c r="D239" s="137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5" t="s">
        <v>15</v>
      </c>
      <c r="C240" s="78" t="s">
        <v>205</v>
      </c>
      <c r="D240" s="137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5" t="s">
        <v>15</v>
      </c>
      <c r="C241" t="s">
        <v>206</v>
      </c>
      <c r="D241" s="138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5" t="s">
        <v>15</v>
      </c>
      <c r="C242" s="78" t="s">
        <v>207</v>
      </c>
      <c r="D242" s="1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2"/>
      <c r="C243" s="63"/>
      <c r="D243" s="137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5" t="s">
        <v>23</v>
      </c>
      <c r="C244" s="119" t="s">
        <v>208</v>
      </c>
      <c r="D244" s="136"/>
      <c r="E244" s="52"/>
      <c r="F244" s="27"/>
      <c r="G244" s="13"/>
      <c r="H244" s="13"/>
    </row>
    <row r="245" spans="1:40" x14ac:dyDescent="0.25">
      <c r="B245" s="75" t="s">
        <v>15</v>
      </c>
      <c r="C245" s="116" t="s">
        <v>209</v>
      </c>
      <c r="D245" s="138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5" t="s">
        <v>15</v>
      </c>
      <c r="C246" s="78" t="s">
        <v>210</v>
      </c>
      <c r="D246" s="1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5" t="s">
        <v>15</v>
      </c>
      <c r="C247" t="s">
        <v>211</v>
      </c>
      <c r="D247" s="138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5" t="s">
        <v>15</v>
      </c>
      <c r="C248" s="78" t="s">
        <v>212</v>
      </c>
      <c r="D248" s="1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2"/>
      <c r="C249" s="63"/>
      <c r="D249" s="137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5" t="s">
        <v>27</v>
      </c>
      <c r="C250" s="119" t="s">
        <v>213</v>
      </c>
      <c r="D250" s="136"/>
      <c r="E250" s="52"/>
      <c r="F250" s="27"/>
      <c r="G250" s="13"/>
      <c r="H250" s="13"/>
    </row>
    <row r="251" spans="1:40" x14ac:dyDescent="0.25">
      <c r="B251" s="75" t="s">
        <v>15</v>
      </c>
      <c r="C251" s="116" t="s">
        <v>214</v>
      </c>
      <c r="D251" s="137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5" t="s">
        <v>15</v>
      </c>
      <c r="C252" s="78" t="s">
        <v>215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5" t="s">
        <v>15</v>
      </c>
      <c r="C253" t="s">
        <v>216</v>
      </c>
      <c r="D253" s="138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5" t="s">
        <v>15</v>
      </c>
      <c r="C254" s="78" t="s">
        <v>217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2"/>
      <c r="C255" s="63"/>
      <c r="D255" s="137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 x14ac:dyDescent="0.25">
      <c r="A256" s="4"/>
      <c r="B256" s="115" t="s">
        <v>25</v>
      </c>
      <c r="C256" s="142" t="s">
        <v>218</v>
      </c>
      <c r="D256" s="136"/>
      <c r="E256" s="52"/>
      <c r="F256" s="27"/>
      <c r="G256" s="26"/>
      <c r="H256" s="13"/>
    </row>
    <row r="257" spans="1:40" x14ac:dyDescent="0.25">
      <c r="B257" s="75" t="s">
        <v>15</v>
      </c>
      <c r="C257" s="116" t="s">
        <v>219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5" t="s">
        <v>15</v>
      </c>
      <c r="C258" s="78" t="s">
        <v>220</v>
      </c>
      <c r="D258" s="1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5" t="s">
        <v>15</v>
      </c>
      <c r="C259" t="s">
        <v>221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5" t="s">
        <v>15</v>
      </c>
      <c r="C260" s="78" t="s">
        <v>222</v>
      </c>
      <c r="D260" s="137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2"/>
      <c r="C261" s="63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3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4"/>
      <c r="C266" s="81"/>
      <c r="D266" s="82"/>
      <c r="E266" s="82"/>
      <c r="F266" s="82"/>
    </row>
    <row r="267" spans="1:40" s="4" customFormat="1" ht="16.5" hidden="1" thickBot="1" x14ac:dyDescent="0.3">
      <c r="B267" s="17"/>
      <c r="C267" s="17"/>
      <c r="D267" s="48"/>
      <c r="E267" s="53"/>
      <c r="F267" s="85"/>
      <c r="G267" s="17"/>
      <c r="H267" s="17"/>
    </row>
    <row r="268" spans="1:40" s="4" customFormat="1" ht="16.5" hidden="1" thickBot="1" x14ac:dyDescent="0.3">
      <c r="B268" s="86"/>
      <c r="C268" s="16"/>
      <c r="D268" s="48"/>
      <c r="E268" s="53"/>
      <c r="F268" s="85"/>
      <c r="G268" s="17"/>
      <c r="H268" s="83"/>
    </row>
    <row r="269" spans="1:40" s="69" customFormat="1" ht="14.1" hidden="1" customHeight="1" thickBot="1" x14ac:dyDescent="0.3">
      <c r="B269" s="87"/>
      <c r="C269" s="87"/>
      <c r="D269" s="88"/>
      <c r="E269" s="89"/>
      <c r="F269" s="90"/>
      <c r="G269" s="68"/>
      <c r="H269" s="83"/>
    </row>
    <row r="270" spans="1:40" s="15" customFormat="1" ht="29.1" customHeight="1" x14ac:dyDescent="0.45">
      <c r="A270" s="4"/>
      <c r="B270" s="59" t="s">
        <v>31</v>
      </c>
      <c r="C270" s="124" t="s">
        <v>37</v>
      </c>
      <c r="D270" s="60"/>
      <c r="E270" s="60"/>
      <c r="F270" s="80"/>
      <c r="G270" s="17"/>
      <c r="H270" s="92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5" t="s">
        <v>17</v>
      </c>
      <c r="C271" s="119" t="s">
        <v>223</v>
      </c>
      <c r="D271" s="136"/>
      <c r="E271" s="52"/>
      <c r="F271" s="27"/>
      <c r="G271" s="17"/>
      <c r="H271" s="83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5" t="s">
        <v>15</v>
      </c>
      <c r="C272" s="116" t="s">
        <v>224</v>
      </c>
      <c r="D272" s="137"/>
      <c r="E272" s="97" t="s">
        <v>9</v>
      </c>
      <c r="F272" s="96" t="str">
        <f>IF(H273=1,IF(H271=H$2,H271,""),"")</f>
        <v/>
      </c>
      <c r="G272" s="17"/>
      <c r="H272" s="83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5" t="s">
        <v>15</v>
      </c>
      <c r="C273" s="78" t="s">
        <v>225</v>
      </c>
      <c r="D273" s="137"/>
      <c r="E273" s="97" t="s">
        <v>10</v>
      </c>
      <c r="F273" s="98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5" t="s">
        <v>15</v>
      </c>
      <c r="C274" t="s">
        <v>226</v>
      </c>
      <c r="D274" s="137"/>
      <c r="E274" s="97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5" t="s">
        <v>15</v>
      </c>
      <c r="C275" s="78" t="s">
        <v>227</v>
      </c>
      <c r="D275" s="137"/>
      <c r="E275" s="97" t="s">
        <v>12</v>
      </c>
      <c r="F275" s="99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5"/>
      <c r="C276" s="63"/>
      <c r="D276" s="137"/>
      <c r="E276" s="97" t="s">
        <v>13</v>
      </c>
      <c r="F276" s="99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5" t="s">
        <v>16</v>
      </c>
      <c r="C277" s="119" t="s">
        <v>228</v>
      </c>
      <c r="D277" s="136"/>
      <c r="E277" s="52"/>
      <c r="F277" s="27"/>
      <c r="G277" s="13"/>
      <c r="H277" s="13"/>
    </row>
    <row r="278" spans="1:40" x14ac:dyDescent="0.25">
      <c r="B278" s="75" t="s">
        <v>15</v>
      </c>
      <c r="C278" s="116" t="s">
        <v>229</v>
      </c>
      <c r="D278" s="137"/>
      <c r="E278" s="97" t="s">
        <v>9</v>
      </c>
      <c r="F278" s="25"/>
      <c r="G278" s="17"/>
      <c r="H278" s="83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5" t="s">
        <v>15</v>
      </c>
      <c r="C279" s="78" t="s">
        <v>230</v>
      </c>
      <c r="D279" s="137"/>
      <c r="E279" s="97" t="s">
        <v>10</v>
      </c>
      <c r="F279" s="96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5" t="s">
        <v>15</v>
      </c>
      <c r="C280" t="s">
        <v>231</v>
      </c>
      <c r="D280" s="137"/>
      <c r="E280" s="97" t="s">
        <v>11</v>
      </c>
      <c r="F280" s="98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5" t="s">
        <v>15</v>
      </c>
      <c r="C281" s="78" t="s">
        <v>232</v>
      </c>
      <c r="D281" s="137"/>
      <c r="E281" s="97" t="s">
        <v>12</v>
      </c>
      <c r="F281" s="25"/>
      <c r="G281" s="17"/>
      <c r="H281" s="92"/>
    </row>
    <row r="282" spans="1:40" s="4" customFormat="1" x14ac:dyDescent="0.25">
      <c r="B282" s="75"/>
      <c r="C282" s="63"/>
      <c r="D282" s="137"/>
      <c r="E282" s="97" t="s">
        <v>13</v>
      </c>
      <c r="F282" s="25"/>
      <c r="G282" s="17"/>
      <c r="H282" s="92"/>
    </row>
    <row r="283" spans="1:40" s="15" customFormat="1" x14ac:dyDescent="0.25">
      <c r="A283" s="4"/>
      <c r="B283" s="115" t="s">
        <v>18</v>
      </c>
      <c r="C283" s="119" t="s">
        <v>233</v>
      </c>
      <c r="D283" s="136"/>
      <c r="E283" s="52"/>
      <c r="F283" s="27"/>
      <c r="G283" s="13"/>
      <c r="H283" s="13"/>
    </row>
    <row r="284" spans="1:40" x14ac:dyDescent="0.25">
      <c r="B284" s="75" t="s">
        <v>15</v>
      </c>
      <c r="C284" s="116" t="s">
        <v>234</v>
      </c>
      <c r="D284" s="137"/>
      <c r="E284" s="97" t="s">
        <v>9</v>
      </c>
      <c r="F284" s="25"/>
      <c r="G284" s="17"/>
      <c r="H284" s="83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5" t="s">
        <v>15</v>
      </c>
      <c r="C285" s="78" t="s">
        <v>235</v>
      </c>
      <c r="D285" s="137"/>
      <c r="E285" s="97" t="s">
        <v>10</v>
      </c>
      <c r="F285" s="96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5" t="s">
        <v>15</v>
      </c>
      <c r="C286" t="s">
        <v>236</v>
      </c>
      <c r="D286" s="137"/>
      <c r="E286" s="97" t="s">
        <v>11</v>
      </c>
      <c r="F286" s="98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5" t="s">
        <v>15</v>
      </c>
      <c r="C287" s="78" t="s">
        <v>237</v>
      </c>
      <c r="D287" s="137"/>
      <c r="E287" s="97" t="s">
        <v>12</v>
      </c>
      <c r="F287" s="25"/>
      <c r="G287" s="17"/>
      <c r="H287" s="92"/>
    </row>
    <row r="288" spans="1:40" s="4" customFormat="1" x14ac:dyDescent="0.25">
      <c r="B288" s="75"/>
      <c r="C288" s="63"/>
      <c r="D288" s="137"/>
      <c r="E288" s="97" t="s">
        <v>13</v>
      </c>
      <c r="F288" s="25"/>
      <c r="G288" s="17"/>
      <c r="H288" s="92"/>
    </row>
    <row r="289" spans="1:40" s="15" customFormat="1" x14ac:dyDescent="0.25">
      <c r="A289" s="4"/>
      <c r="B289" s="115" t="s">
        <v>19</v>
      </c>
      <c r="C289" s="119" t="s">
        <v>238</v>
      </c>
      <c r="D289" s="136"/>
      <c r="E289" s="52"/>
      <c r="F289" s="27"/>
      <c r="G289" s="13"/>
      <c r="H289" s="13"/>
    </row>
    <row r="290" spans="1:40" x14ac:dyDescent="0.25">
      <c r="B290" s="75" t="s">
        <v>15</v>
      </c>
      <c r="C290" s="116" t="s">
        <v>239</v>
      </c>
      <c r="D290" s="137"/>
      <c r="E290" s="97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5" t="s">
        <v>15</v>
      </c>
      <c r="C291" s="78" t="s">
        <v>240</v>
      </c>
      <c r="D291" s="137"/>
      <c r="E291" s="97" t="s">
        <v>10</v>
      </c>
      <c r="F291" s="96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5" t="s">
        <v>15</v>
      </c>
      <c r="C292" t="s">
        <v>241</v>
      </c>
      <c r="D292" s="137"/>
      <c r="E292" s="97" t="s">
        <v>11</v>
      </c>
      <c r="F292" s="98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5" t="s">
        <v>15</v>
      </c>
      <c r="C293" s="78" t="s">
        <v>242</v>
      </c>
      <c r="D293" s="137"/>
      <c r="E293" s="97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5"/>
      <c r="C294" s="63"/>
      <c r="D294" s="137"/>
      <c r="E294" s="97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5" t="s">
        <v>20</v>
      </c>
      <c r="C295" s="119" t="s">
        <v>243</v>
      </c>
      <c r="D295" s="136"/>
      <c r="E295" s="95"/>
      <c r="F295" s="27"/>
      <c r="G295" s="13"/>
      <c r="H295" s="13"/>
    </row>
    <row r="296" spans="1:40" x14ac:dyDescent="0.25">
      <c r="B296" s="75" t="s">
        <v>15</v>
      </c>
      <c r="C296" s="116" t="s">
        <v>57</v>
      </c>
      <c r="D296" s="137"/>
      <c r="E296" s="97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5" t="s">
        <v>15</v>
      </c>
      <c r="C297" s="78" t="s">
        <v>244</v>
      </c>
      <c r="D297" s="137"/>
      <c r="E297" s="97" t="s">
        <v>10</v>
      </c>
      <c r="F297" s="96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5" t="s">
        <v>15</v>
      </c>
      <c r="C298" t="s">
        <v>245</v>
      </c>
      <c r="D298" s="137"/>
      <c r="E298" s="97" t="s">
        <v>11</v>
      </c>
      <c r="F298" s="98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5" t="s">
        <v>15</v>
      </c>
      <c r="C299" s="78" t="s">
        <v>246</v>
      </c>
      <c r="D299" s="137"/>
      <c r="E299" s="97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3"/>
      <c r="C300" s="63"/>
      <c r="D300" s="137"/>
      <c r="E300" s="97" t="s">
        <v>13</v>
      </c>
      <c r="F300" s="99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5" t="s">
        <v>21</v>
      </c>
      <c r="C301" s="119" t="s">
        <v>247</v>
      </c>
      <c r="D301" s="136"/>
      <c r="E301" s="95"/>
      <c r="F301" s="27"/>
      <c r="G301" s="13"/>
      <c r="H301" s="13"/>
    </row>
    <row r="302" spans="1:40" x14ac:dyDescent="0.25">
      <c r="B302" s="75" t="s">
        <v>15</v>
      </c>
      <c r="C302" s="116" t="s">
        <v>248</v>
      </c>
      <c r="D302" s="137"/>
      <c r="E302" s="97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5" t="s">
        <v>15</v>
      </c>
      <c r="C303" s="78" t="s">
        <v>249</v>
      </c>
      <c r="D303" s="137"/>
      <c r="E303" s="97" t="s">
        <v>10</v>
      </c>
      <c r="F303" s="96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5" t="s">
        <v>15</v>
      </c>
      <c r="C304" t="s">
        <v>250</v>
      </c>
      <c r="D304" s="137"/>
      <c r="E304" s="97" t="s">
        <v>11</v>
      </c>
      <c r="F304" s="98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5" t="s">
        <v>15</v>
      </c>
      <c r="C305" s="78" t="s">
        <v>251</v>
      </c>
      <c r="D305" s="137"/>
      <c r="E305" s="97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2"/>
      <c r="C306" s="63"/>
      <c r="D306" s="137"/>
      <c r="E306" s="97" t="s">
        <v>13</v>
      </c>
      <c r="F306" s="99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5" t="s">
        <v>22</v>
      </c>
      <c r="C307" s="119" t="s">
        <v>252</v>
      </c>
      <c r="D307" s="136"/>
      <c r="E307" s="95"/>
      <c r="F307" s="27"/>
      <c r="G307" s="13"/>
      <c r="H307" s="13"/>
    </row>
    <row r="308" spans="1:40" x14ac:dyDescent="0.25">
      <c r="B308" s="75" t="s">
        <v>15</v>
      </c>
      <c r="C308" s="116" t="s">
        <v>253</v>
      </c>
      <c r="D308" s="137"/>
      <c r="E308" s="97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5" t="s">
        <v>15</v>
      </c>
      <c r="C309" s="78" t="s">
        <v>254</v>
      </c>
      <c r="D309" s="137"/>
      <c r="E309" s="97" t="s">
        <v>10</v>
      </c>
      <c r="F309" s="96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5" t="s">
        <v>15</v>
      </c>
      <c r="C310" t="s">
        <v>255</v>
      </c>
      <c r="D310" s="137"/>
      <c r="E310" s="97" t="s">
        <v>11</v>
      </c>
      <c r="F310" s="98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5" t="s">
        <v>15</v>
      </c>
      <c r="C311" s="78" t="s">
        <v>256</v>
      </c>
      <c r="D311" s="137"/>
      <c r="E311" s="97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2"/>
      <c r="C312" s="63"/>
      <c r="D312" s="137"/>
      <c r="E312" s="97" t="s">
        <v>13</v>
      </c>
      <c r="F312" s="99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5" t="s">
        <v>23</v>
      </c>
      <c r="C313" s="119" t="s">
        <v>257</v>
      </c>
      <c r="D313" s="136"/>
      <c r="E313" s="95"/>
      <c r="F313" s="27"/>
      <c r="G313" s="13"/>
      <c r="H313" s="13"/>
    </row>
    <row r="314" spans="1:40" x14ac:dyDescent="0.25">
      <c r="B314" s="75" t="s">
        <v>15</v>
      </c>
      <c r="C314" s="116" t="s">
        <v>258</v>
      </c>
      <c r="D314" s="137"/>
      <c r="E314" s="97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5" t="s">
        <v>15</v>
      </c>
      <c r="C315" s="78" t="s">
        <v>259</v>
      </c>
      <c r="D315" s="137"/>
      <c r="E315" s="97" t="s">
        <v>10</v>
      </c>
      <c r="F315" s="96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5" t="s">
        <v>15</v>
      </c>
      <c r="C316" t="s">
        <v>260</v>
      </c>
      <c r="D316" s="137"/>
      <c r="E316" s="97" t="s">
        <v>11</v>
      </c>
      <c r="F316" s="98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5" t="s">
        <v>15</v>
      </c>
      <c r="C317" s="78" t="s">
        <v>261</v>
      </c>
      <c r="D317" s="137"/>
      <c r="E317" s="97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2"/>
      <c r="C318" s="63"/>
      <c r="D318" s="137"/>
      <c r="E318" s="97" t="s">
        <v>13</v>
      </c>
      <c r="F318" s="99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5" t="s">
        <v>27</v>
      </c>
      <c r="C319" s="119" t="s">
        <v>262</v>
      </c>
      <c r="D319" s="136"/>
      <c r="E319" s="95"/>
      <c r="F319" s="27"/>
      <c r="G319" s="26"/>
      <c r="H319" s="13"/>
    </row>
    <row r="320" spans="1:40" s="4" customFormat="1" x14ac:dyDescent="0.25">
      <c r="B320" s="75" t="s">
        <v>15</v>
      </c>
      <c r="C320" s="116" t="s">
        <v>263</v>
      </c>
      <c r="D320" s="137"/>
      <c r="E320" s="97" t="s">
        <v>9</v>
      </c>
      <c r="F320" s="25"/>
      <c r="G320" s="91"/>
      <c r="H320" s="83" t="b">
        <f>IF(D321="x",H$2,H$1)</f>
        <v>0</v>
      </c>
    </row>
    <row r="321" spans="1:40" s="4" customFormat="1" x14ac:dyDescent="0.25">
      <c r="B321" s="75" t="s">
        <v>15</v>
      </c>
      <c r="C321" s="78" t="s">
        <v>264</v>
      </c>
      <c r="D321" s="137"/>
      <c r="E321" s="97" t="s">
        <v>10</v>
      </c>
      <c r="F321" s="96" t="str">
        <f>IF(H322=1,IF(H320=H$2,H320,""),"")</f>
        <v/>
      </c>
      <c r="G321" s="91"/>
      <c r="H321" s="83" t="str">
        <f>IF(E$331="comprobar",COUNTIF(D320:D324,"x"),"")</f>
        <v/>
      </c>
    </row>
    <row r="322" spans="1:40" s="4" customFormat="1" x14ac:dyDescent="0.25">
      <c r="B322" s="75" t="s">
        <v>15</v>
      </c>
      <c r="C322" t="s">
        <v>265</v>
      </c>
      <c r="D322" s="137"/>
      <c r="E322" s="97" t="s">
        <v>11</v>
      </c>
      <c r="F322" s="98" t="str">
        <f>IF(H322=-0.33,IF(H320=H$1,H320,""),"")</f>
        <v/>
      </c>
      <c r="G322" s="91"/>
      <c r="H322" s="92">
        <f t="shared" ref="H322" si="25">IF(H321=1,IF(H320=H$2,1,-0.33),0)</f>
        <v>0</v>
      </c>
    </row>
    <row r="323" spans="1:40" x14ac:dyDescent="0.25">
      <c r="B323" s="75" t="s">
        <v>15</v>
      </c>
      <c r="C323" s="78" t="s">
        <v>266</v>
      </c>
      <c r="D323" s="137"/>
      <c r="E323" s="97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2"/>
      <c r="C324" s="63"/>
      <c r="D324" s="137"/>
      <c r="E324" s="97" t="s">
        <v>13</v>
      </c>
      <c r="F324" s="99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5" t="s">
        <v>25</v>
      </c>
      <c r="C325" s="119" t="s">
        <v>267</v>
      </c>
      <c r="D325" s="136"/>
      <c r="E325" s="95"/>
      <c r="F325" s="27"/>
      <c r="G325" s="13"/>
      <c r="H325" s="13"/>
    </row>
    <row r="326" spans="1:40" x14ac:dyDescent="0.25">
      <c r="B326" s="75" t="s">
        <v>15</v>
      </c>
      <c r="C326" s="116" t="s">
        <v>268</v>
      </c>
      <c r="D326" s="137"/>
      <c r="E326" s="97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5" t="s">
        <v>15</v>
      </c>
      <c r="C327" s="78" t="s">
        <v>263</v>
      </c>
      <c r="D327" s="137"/>
      <c r="E327" s="97" t="s">
        <v>10</v>
      </c>
      <c r="F327" s="96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5" t="s">
        <v>15</v>
      </c>
      <c r="C328" t="s">
        <v>269</v>
      </c>
      <c r="D328" s="137"/>
      <c r="E328" s="97" t="s">
        <v>11</v>
      </c>
      <c r="F328" s="98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5" t="s">
        <v>15</v>
      </c>
      <c r="C329" s="78" t="s">
        <v>270</v>
      </c>
      <c r="D329" s="137"/>
      <c r="E329" s="97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2"/>
      <c r="C330" s="63"/>
      <c r="D330" s="94"/>
      <c r="E330" s="97" t="s">
        <v>13</v>
      </c>
      <c r="F330" s="99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0"/>
      <c r="C331" s="8"/>
      <c r="D331" s="101"/>
      <c r="E331" s="71"/>
      <c r="F331" s="102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3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4"/>
      <c r="E333" s="105"/>
      <c r="F333" s="106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3"/>
      <c r="E334" s="51"/>
      <c r="F334" s="70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3"/>
      <c r="E335" s="51"/>
      <c r="F335" s="70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59" t="s">
        <v>31</v>
      </c>
      <c r="C336" s="124" t="s">
        <v>38</v>
      </c>
      <c r="D336" s="124"/>
      <c r="E336" s="124"/>
      <c r="F336" s="125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5" t="s">
        <v>17</v>
      </c>
      <c r="C337" s="119" t="s">
        <v>364</v>
      </c>
      <c r="D337" s="129"/>
      <c r="E337" s="52"/>
      <c r="F337" s="27"/>
      <c r="G337" s="13"/>
      <c r="H337" s="13"/>
    </row>
    <row r="338" spans="1:40" x14ac:dyDescent="0.25">
      <c r="B338" s="75" t="s">
        <v>15</v>
      </c>
      <c r="C338" s="116" t="s">
        <v>315</v>
      </c>
      <c r="D338" s="128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5" t="s">
        <v>15</v>
      </c>
      <c r="C339" s="78" t="s">
        <v>316</v>
      </c>
      <c r="D339" s="12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5" t="s">
        <v>15</v>
      </c>
      <c r="C340" t="s">
        <v>317</v>
      </c>
      <c r="D340" s="128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5" t="s">
        <v>15</v>
      </c>
      <c r="C341" s="78" t="s">
        <v>318</v>
      </c>
      <c r="D341" s="12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3"/>
      <c r="D342" s="12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5" t="s">
        <v>26</v>
      </c>
      <c r="C343" s="119" t="s">
        <v>319</v>
      </c>
      <c r="D343" s="129"/>
      <c r="E343" s="52"/>
      <c r="F343" s="27"/>
      <c r="G343" s="13"/>
      <c r="H343" s="13"/>
    </row>
    <row r="344" spans="1:40" x14ac:dyDescent="0.25">
      <c r="B344" s="75" t="s">
        <v>15</v>
      </c>
      <c r="C344" s="116" t="s">
        <v>320</v>
      </c>
      <c r="D344" s="12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5" t="s">
        <v>15</v>
      </c>
      <c r="C345" s="78" t="s">
        <v>321</v>
      </c>
      <c r="D345" s="12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5" t="s">
        <v>15</v>
      </c>
      <c r="C346" t="s">
        <v>322</v>
      </c>
      <c r="D346" s="128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5" t="s">
        <v>15</v>
      </c>
      <c r="C347" s="78" t="s">
        <v>323</v>
      </c>
      <c r="D347" s="128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3"/>
      <c r="D348" s="12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5" t="s">
        <v>29</v>
      </c>
      <c r="C349" s="119" t="s">
        <v>324</v>
      </c>
      <c r="D349" s="129"/>
      <c r="E349" s="52"/>
      <c r="F349" s="27"/>
      <c r="G349" s="13"/>
      <c r="H349" s="13"/>
    </row>
    <row r="350" spans="1:40" x14ac:dyDescent="0.25">
      <c r="B350" s="75" t="s">
        <v>15</v>
      </c>
      <c r="C350" s="116" t="s">
        <v>325</v>
      </c>
      <c r="D350" s="128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5" t="s">
        <v>15</v>
      </c>
      <c r="C351" s="78" t="s">
        <v>326</v>
      </c>
      <c r="D351" s="12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5" t="s">
        <v>15</v>
      </c>
      <c r="C352" t="s">
        <v>327</v>
      </c>
      <c r="D352" s="128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5" t="s">
        <v>15</v>
      </c>
      <c r="C353" s="78" t="s">
        <v>328</v>
      </c>
      <c r="D353" s="12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3"/>
      <c r="D354" s="12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5" t="s">
        <v>19</v>
      </c>
      <c r="C355" s="119" t="s">
        <v>329</v>
      </c>
      <c r="D355" s="129"/>
      <c r="E355" s="52"/>
      <c r="F355" s="27"/>
      <c r="G355" s="13"/>
      <c r="H355" s="13"/>
    </row>
    <row r="356" spans="1:40" x14ac:dyDescent="0.25">
      <c r="B356" s="75" t="s">
        <v>15</v>
      </c>
      <c r="C356" s="116" t="s">
        <v>330</v>
      </c>
      <c r="D356" s="12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5" t="s">
        <v>15</v>
      </c>
      <c r="C357" s="78" t="s">
        <v>331</v>
      </c>
      <c r="D357" s="12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5" t="s">
        <v>15</v>
      </c>
      <c r="C358" t="s">
        <v>332</v>
      </c>
      <c r="D358" s="128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5" t="s">
        <v>15</v>
      </c>
      <c r="C359" s="78" t="s">
        <v>333</v>
      </c>
      <c r="D359" s="12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1"/>
      <c r="C360" s="63"/>
      <c r="D360" s="12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5" t="s">
        <v>20</v>
      </c>
      <c r="C361" s="119" t="s">
        <v>334</v>
      </c>
      <c r="D361" s="129"/>
      <c r="E361" s="52"/>
      <c r="F361" s="27"/>
      <c r="G361" s="13"/>
      <c r="H361" s="13"/>
    </row>
    <row r="362" spans="1:40" x14ac:dyDescent="0.25">
      <c r="B362" s="75" t="s">
        <v>15</v>
      </c>
      <c r="C362" s="116" t="s">
        <v>335</v>
      </c>
      <c r="D362" s="128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5" t="s">
        <v>15</v>
      </c>
      <c r="C363" s="78" t="s">
        <v>336</v>
      </c>
      <c r="D363" s="12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5" t="s">
        <v>15</v>
      </c>
      <c r="C364" t="s">
        <v>337</v>
      </c>
      <c r="D364" s="128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5" t="s">
        <v>15</v>
      </c>
      <c r="C365" s="78" t="s">
        <v>338</v>
      </c>
      <c r="D365" s="128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3"/>
      <c r="D366" s="12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5" t="s">
        <v>30</v>
      </c>
      <c r="C367" s="119" t="s">
        <v>339</v>
      </c>
      <c r="D367" s="129"/>
      <c r="E367" s="52"/>
      <c r="F367" s="27"/>
      <c r="G367" s="13"/>
      <c r="H367" s="13"/>
    </row>
    <row r="368" spans="1:40" x14ac:dyDescent="0.25">
      <c r="B368" s="75" t="s">
        <v>15</v>
      </c>
      <c r="C368" s="116" t="s">
        <v>340</v>
      </c>
      <c r="D368" s="128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5" t="s">
        <v>15</v>
      </c>
      <c r="C369" s="78" t="s">
        <v>341</v>
      </c>
      <c r="D369" s="12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5" t="s">
        <v>15</v>
      </c>
      <c r="C370" t="s">
        <v>342</v>
      </c>
      <c r="D370" s="128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5" t="s">
        <v>15</v>
      </c>
      <c r="C371" s="78" t="s">
        <v>343</v>
      </c>
      <c r="D371" s="12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3"/>
      <c r="D372" s="12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5" t="s">
        <v>22</v>
      </c>
      <c r="C373" s="119" t="s">
        <v>344</v>
      </c>
      <c r="D373" s="129"/>
      <c r="E373" s="52"/>
      <c r="F373" s="27"/>
      <c r="G373" s="13"/>
      <c r="H373" s="13"/>
    </row>
    <row r="374" spans="1:40" x14ac:dyDescent="0.25">
      <c r="B374" s="75" t="s">
        <v>15</v>
      </c>
      <c r="C374" s="116" t="s">
        <v>345</v>
      </c>
      <c r="D374" s="128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5" t="s">
        <v>15</v>
      </c>
      <c r="C375" s="78" t="s">
        <v>346</v>
      </c>
      <c r="D375" s="12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5" t="s">
        <v>15</v>
      </c>
      <c r="C376" t="s">
        <v>347</v>
      </c>
      <c r="D376" s="128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5" t="s">
        <v>15</v>
      </c>
      <c r="C377" s="78" t="s">
        <v>348</v>
      </c>
      <c r="D377" s="12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3"/>
      <c r="D378" s="12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5" t="s">
        <v>28</v>
      </c>
      <c r="C379" s="119" t="s">
        <v>349</v>
      </c>
      <c r="D379" s="129"/>
      <c r="E379" s="52"/>
      <c r="F379" s="27"/>
      <c r="G379" s="13"/>
      <c r="H379" s="13"/>
    </row>
    <row r="380" spans="1:40" x14ac:dyDescent="0.25">
      <c r="B380" s="75" t="s">
        <v>15</v>
      </c>
      <c r="C380" s="116" t="s">
        <v>350</v>
      </c>
      <c r="D380" s="128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5" t="s">
        <v>15</v>
      </c>
      <c r="C381" s="78" t="s">
        <v>351</v>
      </c>
      <c r="D381" s="12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5" t="s">
        <v>15</v>
      </c>
      <c r="C382" t="s">
        <v>352</v>
      </c>
      <c r="D382" s="128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5" t="s">
        <v>15</v>
      </c>
      <c r="C383" s="78" t="s">
        <v>353</v>
      </c>
      <c r="D383" s="128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3"/>
      <c r="D384" s="12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5" t="s">
        <v>27</v>
      </c>
      <c r="C385" s="119" t="s">
        <v>354</v>
      </c>
      <c r="D385" s="129"/>
      <c r="E385" s="52"/>
      <c r="F385" s="27"/>
      <c r="G385" s="13"/>
      <c r="H385" s="13"/>
    </row>
    <row r="386" spans="1:40" x14ac:dyDescent="0.25">
      <c r="B386" s="75" t="s">
        <v>15</v>
      </c>
      <c r="C386" s="116" t="s">
        <v>355</v>
      </c>
      <c r="D386" s="128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5" t="s">
        <v>15</v>
      </c>
      <c r="C387" s="78" t="s">
        <v>356</v>
      </c>
      <c r="D387" s="12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5" t="s">
        <v>15</v>
      </c>
      <c r="C388" t="s">
        <v>357</v>
      </c>
      <c r="D388" s="128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5" t="s">
        <v>15</v>
      </c>
      <c r="C389" s="78" t="s">
        <v>358</v>
      </c>
      <c r="D389" s="12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3"/>
      <c r="C390" s="63"/>
      <c r="D390" s="128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5" t="s">
        <v>25</v>
      </c>
      <c r="C391" s="119" t="s">
        <v>359</v>
      </c>
      <c r="D391" s="129"/>
      <c r="E391" s="52"/>
      <c r="F391" s="27"/>
      <c r="G391" s="26"/>
      <c r="H391" s="13"/>
    </row>
    <row r="392" spans="1:40" x14ac:dyDescent="0.25">
      <c r="B392" s="75" t="s">
        <v>15</v>
      </c>
      <c r="C392" s="116" t="s">
        <v>360</v>
      </c>
      <c r="D392" s="128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5" t="s">
        <v>15</v>
      </c>
      <c r="C393" s="78" t="s">
        <v>361</v>
      </c>
      <c r="D393" s="128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5" t="s">
        <v>15</v>
      </c>
      <c r="C394" t="s">
        <v>362</v>
      </c>
      <c r="D394" s="128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5" t="s">
        <v>15</v>
      </c>
      <c r="C395" s="78" t="s">
        <v>363</v>
      </c>
      <c r="D395" s="12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1"/>
      <c r="C396" s="63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3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59" t="s">
        <v>31</v>
      </c>
      <c r="C401" s="124" t="s">
        <v>39</v>
      </c>
      <c r="D401" s="124"/>
      <c r="E401" s="124"/>
      <c r="F401" s="125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5" t="s">
        <v>17</v>
      </c>
      <c r="C402" s="120" t="s">
        <v>271</v>
      </c>
      <c r="D402" s="129"/>
      <c r="E402" s="52"/>
      <c r="F402" s="27"/>
      <c r="G402" s="13"/>
      <c r="H402" s="13"/>
    </row>
    <row r="403" spans="1:40" ht="18.75" x14ac:dyDescent="0.3">
      <c r="B403" s="75" t="s">
        <v>15</v>
      </c>
      <c r="C403" s="110" t="s">
        <v>272</v>
      </c>
      <c r="D403" s="12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5" t="s">
        <v>15</v>
      </c>
      <c r="C404" s="110" t="s">
        <v>273</v>
      </c>
      <c r="D404" s="12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5" t="s">
        <v>15</v>
      </c>
      <c r="C405" s="110" t="s">
        <v>274</v>
      </c>
      <c r="D405" s="135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5" t="s">
        <v>15</v>
      </c>
      <c r="C406" s="110" t="s">
        <v>275</v>
      </c>
      <c r="D406" s="12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2"/>
      <c r="C407" s="112"/>
      <c r="D407" s="12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5" t="s">
        <v>16</v>
      </c>
      <c r="C408" s="120" t="s">
        <v>276</v>
      </c>
      <c r="D408" s="129"/>
      <c r="E408" s="52"/>
      <c r="F408" s="72"/>
      <c r="G408" s="13"/>
      <c r="H408" s="13"/>
    </row>
    <row r="409" spans="1:40" ht="18.75" x14ac:dyDescent="0.3">
      <c r="B409" s="75" t="s">
        <v>15</v>
      </c>
      <c r="C409" s="110" t="s">
        <v>277</v>
      </c>
      <c r="D409" s="12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5" t="s">
        <v>15</v>
      </c>
      <c r="C410" s="110" t="s">
        <v>278</v>
      </c>
      <c r="D410" s="12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5" t="s">
        <v>15</v>
      </c>
      <c r="C411" s="110" t="s">
        <v>279</v>
      </c>
      <c r="D411" s="12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5" t="s">
        <v>15</v>
      </c>
      <c r="C412" s="110" t="s">
        <v>280</v>
      </c>
      <c r="D412" s="12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2"/>
      <c r="C413" s="112"/>
      <c r="D413" s="12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5" t="s">
        <v>18</v>
      </c>
      <c r="C414" s="134" t="s">
        <v>281</v>
      </c>
      <c r="D414" s="129"/>
      <c r="E414" s="52"/>
      <c r="F414" s="27"/>
      <c r="G414" s="13"/>
      <c r="H414" s="13"/>
    </row>
    <row r="415" spans="1:40" ht="18.75" x14ac:dyDescent="0.3">
      <c r="B415" s="75" t="s">
        <v>15</v>
      </c>
      <c r="C415" s="110" t="s">
        <v>282</v>
      </c>
      <c r="D415" s="135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5" t="s">
        <v>15</v>
      </c>
      <c r="C416" s="110" t="s">
        <v>283</v>
      </c>
      <c r="D416" s="135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5" t="s">
        <v>15</v>
      </c>
      <c r="C417" s="110" t="s">
        <v>272</v>
      </c>
      <c r="D417" s="12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5" t="s">
        <v>15</v>
      </c>
      <c r="C418" s="110" t="s">
        <v>284</v>
      </c>
      <c r="D418" s="135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2"/>
      <c r="C419" s="112"/>
      <c r="D419" s="12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5" t="s">
        <v>19</v>
      </c>
      <c r="C420" s="134" t="s">
        <v>285</v>
      </c>
      <c r="D420" s="129"/>
      <c r="E420" s="52"/>
      <c r="F420" s="27"/>
      <c r="G420" s="13"/>
      <c r="H420" s="13"/>
    </row>
    <row r="421" spans="1:40" ht="18.75" x14ac:dyDescent="0.3">
      <c r="B421" s="75" t="s">
        <v>15</v>
      </c>
      <c r="C421" s="110" t="s">
        <v>272</v>
      </c>
      <c r="D421" s="128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5" t="s">
        <v>15</v>
      </c>
      <c r="C422" s="110" t="s">
        <v>286</v>
      </c>
      <c r="D422" s="135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5" t="s">
        <v>15</v>
      </c>
      <c r="C423" s="110" t="s">
        <v>287</v>
      </c>
      <c r="D423" s="12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5" t="s">
        <v>15</v>
      </c>
      <c r="C424" s="110" t="s">
        <v>288</v>
      </c>
      <c r="D424" s="12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2"/>
      <c r="C425" s="112"/>
      <c r="D425" s="12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5" t="s">
        <v>20</v>
      </c>
      <c r="C426" s="120" t="s">
        <v>289</v>
      </c>
      <c r="D426" s="129"/>
      <c r="E426" s="52"/>
      <c r="F426" s="27"/>
      <c r="G426" s="13"/>
      <c r="H426" s="13"/>
    </row>
    <row r="427" spans="1:40" ht="18.75" x14ac:dyDescent="0.3">
      <c r="B427" s="75" t="s">
        <v>15</v>
      </c>
      <c r="C427" s="110" t="s">
        <v>290</v>
      </c>
      <c r="D427" s="12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5" t="s">
        <v>15</v>
      </c>
      <c r="C428" s="110" t="s">
        <v>291</v>
      </c>
      <c r="D428" s="12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5" t="s">
        <v>15</v>
      </c>
      <c r="C429" s="110" t="s">
        <v>292</v>
      </c>
      <c r="D429" s="12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5" t="s">
        <v>15</v>
      </c>
      <c r="C430" s="110" t="s">
        <v>293</v>
      </c>
      <c r="D430" s="12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2"/>
      <c r="C431" s="112"/>
      <c r="D431" s="12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5" t="s">
        <v>21</v>
      </c>
      <c r="C432" s="120" t="s">
        <v>294</v>
      </c>
      <c r="D432" s="129"/>
      <c r="E432" s="52"/>
      <c r="F432" s="27"/>
      <c r="G432" s="13"/>
      <c r="H432" s="13"/>
    </row>
    <row r="433" spans="1:40" ht="18.75" x14ac:dyDescent="0.3">
      <c r="B433" s="75" t="s">
        <v>15</v>
      </c>
      <c r="C433" s="110" t="s">
        <v>272</v>
      </c>
      <c r="D433" s="128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5" t="s">
        <v>15</v>
      </c>
      <c r="C434" s="110" t="s">
        <v>295</v>
      </c>
      <c r="D434" s="12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5" t="s">
        <v>15</v>
      </c>
      <c r="C435" s="110" t="s">
        <v>296</v>
      </c>
      <c r="D435" s="135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5" t="s">
        <v>15</v>
      </c>
      <c r="C436" s="110" t="s">
        <v>297</v>
      </c>
      <c r="D436" s="12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2"/>
      <c r="C437" s="112"/>
      <c r="D437" s="12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5" t="s">
        <v>22</v>
      </c>
      <c r="C438" s="120" t="s">
        <v>298</v>
      </c>
      <c r="D438" s="129"/>
      <c r="E438" s="52"/>
      <c r="F438" s="27"/>
      <c r="G438" s="13"/>
      <c r="H438" s="13"/>
    </row>
    <row r="439" spans="1:40" ht="18.75" x14ac:dyDescent="0.3">
      <c r="B439" s="75" t="s">
        <v>15</v>
      </c>
      <c r="C439" s="110" t="s">
        <v>299</v>
      </c>
      <c r="D439" s="128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5" t="s">
        <v>15</v>
      </c>
      <c r="C440" s="110" t="s">
        <v>300</v>
      </c>
      <c r="D440" s="12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5" t="s">
        <v>15</v>
      </c>
      <c r="C441" s="110" t="s">
        <v>301</v>
      </c>
      <c r="D441" s="135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5" t="s">
        <v>15</v>
      </c>
      <c r="C442" s="110" t="s">
        <v>302</v>
      </c>
      <c r="D442" s="12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2"/>
      <c r="C443" s="112"/>
      <c r="D443" s="12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5" t="s">
        <v>23</v>
      </c>
      <c r="C444" s="120" t="s">
        <v>303</v>
      </c>
      <c r="D444" s="129"/>
      <c r="E444" s="52"/>
      <c r="F444" s="27"/>
      <c r="G444" s="13"/>
      <c r="H444" s="13"/>
    </row>
    <row r="445" spans="1:40" ht="18.75" x14ac:dyDescent="0.3">
      <c r="B445" s="75" t="s">
        <v>15</v>
      </c>
      <c r="C445" s="110" t="s">
        <v>304</v>
      </c>
      <c r="D445" s="135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5" t="s">
        <v>15</v>
      </c>
      <c r="C446" s="110" t="s">
        <v>305</v>
      </c>
      <c r="D446" s="12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5" t="s">
        <v>15</v>
      </c>
      <c r="C447" s="110" t="s">
        <v>306</v>
      </c>
      <c r="D447" s="12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5" t="s">
        <v>15</v>
      </c>
      <c r="C448" s="110" t="s">
        <v>272</v>
      </c>
      <c r="D448" s="12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2"/>
      <c r="C449" s="112"/>
      <c r="D449" s="12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5" t="s">
        <v>27</v>
      </c>
      <c r="C450" s="120" t="s">
        <v>307</v>
      </c>
      <c r="D450" s="129"/>
      <c r="E450" s="52"/>
      <c r="F450" s="27"/>
      <c r="G450" s="13"/>
      <c r="H450" s="13"/>
    </row>
    <row r="451" spans="1:40" ht="18.75" x14ac:dyDescent="0.3">
      <c r="B451" s="75" t="s">
        <v>15</v>
      </c>
      <c r="C451" s="110" t="s">
        <v>272</v>
      </c>
      <c r="D451" s="128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5" t="s">
        <v>15</v>
      </c>
      <c r="C452" s="110" t="s">
        <v>308</v>
      </c>
      <c r="D452" s="12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5" t="s">
        <v>15</v>
      </c>
      <c r="C453" s="110" t="s">
        <v>309</v>
      </c>
      <c r="D453" s="12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5" t="s">
        <v>15</v>
      </c>
      <c r="C454" s="110" t="s">
        <v>310</v>
      </c>
      <c r="D454" s="135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2"/>
      <c r="C455" s="112"/>
      <c r="D455" s="12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5" t="s">
        <v>25</v>
      </c>
      <c r="C456" s="120" t="s">
        <v>311</v>
      </c>
      <c r="D456" s="129"/>
      <c r="E456" s="52"/>
      <c r="F456" s="27"/>
      <c r="G456" s="13"/>
      <c r="H456" s="13"/>
    </row>
    <row r="457" spans="1:40" ht="18.75" x14ac:dyDescent="0.3">
      <c r="B457" s="75" t="s">
        <v>15</v>
      </c>
      <c r="C457" s="110" t="s">
        <v>312</v>
      </c>
      <c r="D457" s="128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5" t="s">
        <v>15</v>
      </c>
      <c r="C458" s="110" t="s">
        <v>272</v>
      </c>
      <c r="D458" s="12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5" t="s">
        <v>15</v>
      </c>
      <c r="C459" s="110" t="s">
        <v>313</v>
      </c>
      <c r="D459" s="12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5" t="s">
        <v>15</v>
      </c>
      <c r="C460" s="110" t="s">
        <v>314</v>
      </c>
      <c r="D460" s="12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2"/>
      <c r="C461" s="112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2"/>
      <c r="C462" s="63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3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59" t="s">
        <v>31</v>
      </c>
      <c r="C466" s="124" t="s">
        <v>647</v>
      </c>
      <c r="D466" s="124"/>
      <c r="E466" s="124"/>
      <c r="F466" s="125"/>
    </row>
    <row r="467" spans="1:40" s="15" customFormat="1" x14ac:dyDescent="0.25">
      <c r="A467" s="4"/>
      <c r="B467" s="115" t="s">
        <v>17</v>
      </c>
      <c r="C467" s="134" t="s">
        <v>613</v>
      </c>
      <c r="D467" s="129"/>
      <c r="E467" s="12"/>
      <c r="F467" s="14"/>
      <c r="G467" s="26"/>
      <c r="H467" s="13"/>
    </row>
    <row r="468" spans="1:40" x14ac:dyDescent="0.25">
      <c r="B468" s="75" t="s">
        <v>15</v>
      </c>
      <c r="C468" s="108" t="s">
        <v>610</v>
      </c>
      <c r="D468" s="128"/>
      <c r="E468" s="123" t="s">
        <v>9</v>
      </c>
      <c r="F468" s="18"/>
      <c r="G468" s="24"/>
      <c r="H468" s="19" t="b">
        <f>IF(D471="x",H$2,H$1)</f>
        <v>0</v>
      </c>
    </row>
    <row r="469" spans="1:40" x14ac:dyDescent="0.25">
      <c r="B469" s="75" t="s">
        <v>15</v>
      </c>
      <c r="C469" s="108" t="s">
        <v>612</v>
      </c>
      <c r="D469" s="128"/>
      <c r="E469" s="123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5" t="s">
        <v>15</v>
      </c>
      <c r="C470" s="108" t="s">
        <v>609</v>
      </c>
      <c r="D470" s="128"/>
      <c r="E470" s="123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5" t="s">
        <v>15</v>
      </c>
      <c r="C471" s="108" t="s">
        <v>611</v>
      </c>
      <c r="D471" s="135"/>
      <c r="E471" s="123" t="s">
        <v>12</v>
      </c>
      <c r="F471" s="18"/>
      <c r="G471" s="24"/>
      <c r="H471" s="22"/>
    </row>
    <row r="472" spans="1:40" x14ac:dyDescent="0.25">
      <c r="B472" s="42"/>
      <c r="C472" s="109"/>
      <c r="D472" s="128"/>
      <c r="E472" s="123" t="s">
        <v>13</v>
      </c>
      <c r="F472" s="18"/>
      <c r="G472" s="17"/>
      <c r="H472" s="22"/>
    </row>
    <row r="473" spans="1:40" s="15" customFormat="1" x14ac:dyDescent="0.25">
      <c r="A473" s="4"/>
      <c r="B473" s="121" t="s">
        <v>16</v>
      </c>
      <c r="C473" s="134" t="s">
        <v>648</v>
      </c>
      <c r="D473" s="129"/>
      <c r="E473" s="12"/>
      <c r="F473" s="14"/>
      <c r="G473" s="26"/>
      <c r="H473" s="13"/>
    </row>
    <row r="474" spans="1:40" x14ac:dyDescent="0.25">
      <c r="B474" s="75" t="s">
        <v>15</v>
      </c>
      <c r="C474" s="108" t="s">
        <v>649</v>
      </c>
      <c r="D474" s="128"/>
      <c r="E474" s="123" t="s">
        <v>9</v>
      </c>
      <c r="F474" s="18"/>
      <c r="G474" s="24"/>
      <c r="H474" s="19" t="b">
        <f>IF(D476="x",H$2,H$1)</f>
        <v>0</v>
      </c>
    </row>
    <row r="475" spans="1:40" x14ac:dyDescent="0.25">
      <c r="B475" s="75" t="s">
        <v>15</v>
      </c>
      <c r="C475" s="108" t="s">
        <v>272</v>
      </c>
      <c r="D475" s="128"/>
      <c r="E475" s="123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5" t="s">
        <v>15</v>
      </c>
      <c r="C476" s="108" t="s">
        <v>650</v>
      </c>
      <c r="D476" s="135"/>
      <c r="E476" s="123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5" t="s">
        <v>15</v>
      </c>
      <c r="C477" s="108" t="s">
        <v>651</v>
      </c>
      <c r="D477" s="128"/>
      <c r="E477" s="123" t="s">
        <v>12</v>
      </c>
      <c r="F477" s="18"/>
      <c r="G477" s="24"/>
      <c r="H477" s="22"/>
    </row>
    <row r="478" spans="1:40" x14ac:dyDescent="0.25">
      <c r="B478" s="75"/>
      <c r="C478" s="109"/>
      <c r="D478" s="128"/>
      <c r="E478" s="123" t="s">
        <v>13</v>
      </c>
      <c r="F478" s="18"/>
      <c r="G478" s="17"/>
      <c r="H478" s="22"/>
    </row>
    <row r="479" spans="1:40" s="15" customFormat="1" x14ac:dyDescent="0.25">
      <c r="A479" s="4"/>
      <c r="B479" s="121" t="s">
        <v>18</v>
      </c>
      <c r="C479" s="134" t="s">
        <v>652</v>
      </c>
      <c r="D479" s="129"/>
      <c r="E479" s="12"/>
      <c r="F479" s="14"/>
      <c r="G479" s="26"/>
      <c r="H479" s="13"/>
    </row>
    <row r="480" spans="1:40" x14ac:dyDescent="0.25">
      <c r="B480" s="75" t="s">
        <v>15</v>
      </c>
      <c r="C480" s="108" t="s">
        <v>653</v>
      </c>
      <c r="D480" s="128"/>
      <c r="E480" s="123" t="s">
        <v>9</v>
      </c>
      <c r="F480" s="18"/>
      <c r="G480" s="24"/>
      <c r="H480" s="19" t="b">
        <f>IF(D482="x",H$2,H$1)</f>
        <v>0</v>
      </c>
    </row>
    <row r="481" spans="1:8" x14ac:dyDescent="0.25">
      <c r="B481" s="75" t="s">
        <v>15</v>
      </c>
      <c r="C481" s="108" t="s">
        <v>654</v>
      </c>
      <c r="D481" s="128"/>
      <c r="E481" s="123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5" t="s">
        <v>15</v>
      </c>
      <c r="C482" s="108" t="s">
        <v>272</v>
      </c>
      <c r="D482" s="135"/>
      <c r="E482" s="123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5" t="s">
        <v>15</v>
      </c>
      <c r="C483" s="108" t="s">
        <v>655</v>
      </c>
      <c r="D483" s="128"/>
      <c r="E483" s="123" t="s">
        <v>12</v>
      </c>
      <c r="F483" s="18"/>
      <c r="G483" s="24"/>
      <c r="H483" s="22"/>
    </row>
    <row r="484" spans="1:8" x14ac:dyDescent="0.25">
      <c r="B484" s="75"/>
      <c r="C484" s="109"/>
      <c r="D484" s="128"/>
      <c r="E484" s="123" t="s">
        <v>13</v>
      </c>
      <c r="F484" s="18"/>
      <c r="G484" s="17"/>
      <c r="H484" s="22"/>
    </row>
    <row r="485" spans="1:8" s="15" customFormat="1" x14ac:dyDescent="0.25">
      <c r="A485" s="4"/>
      <c r="B485" s="121" t="s">
        <v>19</v>
      </c>
      <c r="C485" s="134" t="s">
        <v>656</v>
      </c>
      <c r="D485" s="129"/>
      <c r="E485" s="12"/>
      <c r="F485" s="14"/>
      <c r="G485" s="26"/>
      <c r="H485" s="13"/>
    </row>
    <row r="486" spans="1:8" x14ac:dyDescent="0.25">
      <c r="B486" s="75" t="s">
        <v>15</v>
      </c>
      <c r="C486" s="108" t="s">
        <v>657</v>
      </c>
      <c r="D486" s="128"/>
      <c r="E486" s="123" t="s">
        <v>9</v>
      </c>
      <c r="F486" s="18"/>
      <c r="G486" s="24"/>
      <c r="H486" s="19" t="b">
        <f>IF(D488="x",H$2,H$1)</f>
        <v>0</v>
      </c>
    </row>
    <row r="487" spans="1:8" x14ac:dyDescent="0.25">
      <c r="B487" s="75" t="s">
        <v>15</v>
      </c>
      <c r="C487" s="108" t="s">
        <v>272</v>
      </c>
      <c r="D487" s="128"/>
      <c r="E487" s="123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5" t="s">
        <v>15</v>
      </c>
      <c r="C488" s="108" t="s">
        <v>658</v>
      </c>
      <c r="D488" s="135"/>
      <c r="E488" s="123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5" t="s">
        <v>15</v>
      </c>
      <c r="C489" s="108" t="s">
        <v>659</v>
      </c>
      <c r="D489" s="128"/>
      <c r="E489" s="123" t="s">
        <v>12</v>
      </c>
      <c r="F489" s="18"/>
      <c r="G489" s="24"/>
      <c r="H489" s="22"/>
    </row>
    <row r="490" spans="1:8" x14ac:dyDescent="0.25">
      <c r="B490" s="75"/>
      <c r="C490" s="108"/>
      <c r="D490" s="128"/>
      <c r="E490" s="123" t="s">
        <v>13</v>
      </c>
      <c r="F490" s="18"/>
      <c r="G490" s="17"/>
      <c r="H490" s="22"/>
    </row>
    <row r="491" spans="1:8" s="15" customFormat="1" ht="31.5" x14ac:dyDescent="0.25">
      <c r="A491" s="4"/>
      <c r="B491" s="121" t="s">
        <v>20</v>
      </c>
      <c r="C491" s="134" t="s">
        <v>660</v>
      </c>
      <c r="D491" s="129"/>
      <c r="E491" s="12"/>
      <c r="F491" s="14"/>
      <c r="G491" s="26"/>
      <c r="H491" s="13"/>
    </row>
    <row r="492" spans="1:8" x14ac:dyDescent="0.25">
      <c r="B492" s="75" t="s">
        <v>15</v>
      </c>
      <c r="C492" s="108" t="s">
        <v>570</v>
      </c>
      <c r="D492" s="128"/>
      <c r="E492" s="123" t="s">
        <v>9</v>
      </c>
      <c r="F492" s="18"/>
      <c r="G492" s="24"/>
      <c r="H492" s="19" t="b">
        <f>IF(D495="x",H$2,H$1)</f>
        <v>0</v>
      </c>
    </row>
    <row r="493" spans="1:8" x14ac:dyDescent="0.25">
      <c r="B493" s="75" t="s">
        <v>15</v>
      </c>
      <c r="C493" s="108" t="s">
        <v>292</v>
      </c>
      <c r="D493" s="128"/>
      <c r="E493" s="123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5" t="s">
        <v>15</v>
      </c>
      <c r="C494" s="108" t="s">
        <v>572</v>
      </c>
      <c r="D494" s="128"/>
      <c r="E494" s="123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5" t="s">
        <v>15</v>
      </c>
      <c r="C495" s="108" t="s">
        <v>571</v>
      </c>
      <c r="D495" s="135"/>
      <c r="E495" s="123" t="s">
        <v>12</v>
      </c>
      <c r="F495" s="18"/>
      <c r="G495" s="24"/>
      <c r="H495" s="22"/>
    </row>
    <row r="496" spans="1:8" x14ac:dyDescent="0.25">
      <c r="B496" s="75"/>
      <c r="C496" s="109"/>
      <c r="D496" s="128"/>
      <c r="E496" s="123" t="s">
        <v>13</v>
      </c>
      <c r="F496" s="18"/>
      <c r="G496" s="17"/>
      <c r="H496" s="22"/>
    </row>
    <row r="497" spans="1:8" s="15" customFormat="1" x14ac:dyDescent="0.25">
      <c r="A497" s="4"/>
      <c r="B497" s="121" t="s">
        <v>21</v>
      </c>
      <c r="C497" s="134" t="s">
        <v>632</v>
      </c>
      <c r="D497" s="129"/>
      <c r="E497" s="12"/>
      <c r="F497" s="14"/>
      <c r="G497" s="26"/>
      <c r="H497" s="13"/>
    </row>
    <row r="498" spans="1:8" x14ac:dyDescent="0.25">
      <c r="B498" s="75" t="s">
        <v>15</v>
      </c>
      <c r="C498" s="108" t="s">
        <v>610</v>
      </c>
      <c r="D498" s="128"/>
      <c r="E498" s="123" t="s">
        <v>9</v>
      </c>
      <c r="F498" s="18"/>
      <c r="G498" s="24"/>
      <c r="H498" s="19" t="b">
        <f>IF(D499="x",H$2,H$1)</f>
        <v>0</v>
      </c>
    </row>
    <row r="499" spans="1:8" x14ac:dyDescent="0.25">
      <c r="B499" s="75" t="s">
        <v>15</v>
      </c>
      <c r="C499" s="108" t="s">
        <v>612</v>
      </c>
      <c r="D499" s="135"/>
      <c r="E499" s="123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5" t="s">
        <v>15</v>
      </c>
      <c r="C500" s="108" t="s">
        <v>611</v>
      </c>
      <c r="D500" s="128"/>
      <c r="E500" s="123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5" t="s">
        <v>15</v>
      </c>
      <c r="C501" s="108" t="s">
        <v>609</v>
      </c>
      <c r="D501" s="128"/>
      <c r="E501" s="123" t="s">
        <v>12</v>
      </c>
      <c r="F501" s="18"/>
      <c r="G501" s="24"/>
      <c r="H501" s="22"/>
    </row>
    <row r="502" spans="1:8" x14ac:dyDescent="0.25">
      <c r="B502" s="42"/>
      <c r="C502" s="109"/>
      <c r="D502" s="128"/>
      <c r="E502" s="123" t="s">
        <v>13</v>
      </c>
      <c r="F502" s="18"/>
      <c r="G502" s="17"/>
      <c r="H502" s="22"/>
    </row>
    <row r="503" spans="1:8" s="15" customFormat="1" x14ac:dyDescent="0.25">
      <c r="A503" s="4"/>
      <c r="B503" s="121" t="s">
        <v>22</v>
      </c>
      <c r="C503" s="134" t="s">
        <v>661</v>
      </c>
      <c r="D503" s="129"/>
      <c r="E503" s="12"/>
      <c r="F503" s="14"/>
      <c r="G503" s="26"/>
      <c r="H503" s="13"/>
    </row>
    <row r="504" spans="1:8" x14ac:dyDescent="0.25">
      <c r="B504" s="75" t="s">
        <v>15</v>
      </c>
      <c r="C504" s="108" t="s">
        <v>568</v>
      </c>
      <c r="D504" s="128"/>
      <c r="E504" s="123" t="s">
        <v>9</v>
      </c>
      <c r="F504" s="18"/>
      <c r="G504" s="24"/>
      <c r="H504" s="19" t="b">
        <f>IF(D506="x",H$2,H$1)</f>
        <v>0</v>
      </c>
    </row>
    <row r="505" spans="1:8" x14ac:dyDescent="0.25">
      <c r="B505" s="75" t="s">
        <v>15</v>
      </c>
      <c r="C505" s="108" t="s">
        <v>566</v>
      </c>
      <c r="D505" s="128"/>
      <c r="E505" s="123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5" t="s">
        <v>15</v>
      </c>
      <c r="C506" s="108" t="s">
        <v>272</v>
      </c>
      <c r="D506" s="135"/>
      <c r="E506" s="123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5" t="s">
        <v>15</v>
      </c>
      <c r="C507" s="108" t="s">
        <v>567</v>
      </c>
      <c r="D507" s="128"/>
      <c r="E507" s="123" t="s">
        <v>12</v>
      </c>
      <c r="F507" s="18"/>
      <c r="G507" s="24"/>
      <c r="H507" s="22"/>
    </row>
    <row r="508" spans="1:8" x14ac:dyDescent="0.25">
      <c r="B508" s="42"/>
      <c r="C508" s="108"/>
      <c r="D508" s="128"/>
      <c r="E508" s="123" t="s">
        <v>13</v>
      </c>
      <c r="F508" s="18"/>
      <c r="G508" s="17"/>
      <c r="H508" s="22"/>
    </row>
    <row r="509" spans="1:8" s="15" customFormat="1" x14ac:dyDescent="0.25">
      <c r="A509" s="4"/>
      <c r="B509" s="121" t="s">
        <v>23</v>
      </c>
      <c r="C509" s="134" t="s">
        <v>614</v>
      </c>
      <c r="D509" s="129"/>
      <c r="E509" s="12"/>
      <c r="F509" s="14"/>
      <c r="G509" s="26"/>
      <c r="H509" s="13"/>
    </row>
    <row r="510" spans="1:8" x14ac:dyDescent="0.25">
      <c r="B510" s="75" t="s">
        <v>15</v>
      </c>
      <c r="C510" s="108" t="s">
        <v>617</v>
      </c>
      <c r="D510" s="128"/>
      <c r="E510" s="123" t="s">
        <v>9</v>
      </c>
      <c r="F510" s="18"/>
      <c r="G510" s="24"/>
      <c r="H510" s="19" t="b">
        <f>IF(D511="x",H$2,H$1)</f>
        <v>0</v>
      </c>
    </row>
    <row r="511" spans="1:8" x14ac:dyDescent="0.25">
      <c r="B511" s="75" t="s">
        <v>15</v>
      </c>
      <c r="C511" s="108" t="s">
        <v>662</v>
      </c>
      <c r="D511" s="135"/>
      <c r="E511" s="123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5" t="s">
        <v>15</v>
      </c>
      <c r="C512" s="108" t="s">
        <v>615</v>
      </c>
      <c r="D512" s="128"/>
      <c r="E512" s="123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5" t="s">
        <v>15</v>
      </c>
      <c r="C513" s="108" t="s">
        <v>272</v>
      </c>
      <c r="D513" s="128"/>
      <c r="E513" s="123" t="s">
        <v>12</v>
      </c>
      <c r="F513" s="18"/>
      <c r="G513" s="24"/>
      <c r="H513" s="22"/>
    </row>
    <row r="514" spans="2:8" x14ac:dyDescent="0.25">
      <c r="B514" s="100"/>
      <c r="C514" s="109"/>
      <c r="D514" s="128"/>
      <c r="E514" s="123" t="s">
        <v>13</v>
      </c>
      <c r="F514" s="18"/>
      <c r="G514" s="17"/>
      <c r="H514" s="22"/>
    </row>
    <row r="515" spans="2:8" x14ac:dyDescent="0.25">
      <c r="B515" s="100"/>
      <c r="C515" s="109"/>
      <c r="E515" s="123"/>
      <c r="F515" s="18"/>
      <c r="G515" s="17"/>
      <c r="H515" s="22"/>
    </row>
    <row r="516" spans="2:8" ht="31.5" x14ac:dyDescent="0.25">
      <c r="B516" s="121" t="s">
        <v>27</v>
      </c>
      <c r="C516" s="134" t="s">
        <v>664</v>
      </c>
      <c r="D516" s="129"/>
      <c r="E516" s="12"/>
      <c r="F516" s="14"/>
      <c r="G516" s="26"/>
      <c r="H516" s="13"/>
    </row>
    <row r="517" spans="2:8" x14ac:dyDescent="0.25">
      <c r="B517" s="75" t="s">
        <v>15</v>
      </c>
      <c r="C517" s="108" t="s">
        <v>570</v>
      </c>
      <c r="D517" s="135"/>
      <c r="E517" s="123" t="s">
        <v>9</v>
      </c>
      <c r="F517" s="18"/>
      <c r="G517" s="24"/>
      <c r="H517" s="19" t="b">
        <f>IF(D517="x",H$2,H$1)</f>
        <v>0</v>
      </c>
    </row>
    <row r="518" spans="2:8" x14ac:dyDescent="0.25">
      <c r="B518" s="75" t="s">
        <v>15</v>
      </c>
      <c r="C518" s="108" t="s">
        <v>292</v>
      </c>
      <c r="D518" s="128"/>
      <c r="E518" s="123" t="s">
        <v>10</v>
      </c>
      <c r="F518" s="20" t="str">
        <f>IF(H519=1,IF(H517=H$2,H517,""),"")</f>
        <v/>
      </c>
      <c r="G518" s="24"/>
      <c r="H518" s="19" t="str">
        <f>IF(E$529="comprobar",COUNTIF(D518:D522,"x"),"")</f>
        <v/>
      </c>
    </row>
    <row r="519" spans="2:8" x14ac:dyDescent="0.25">
      <c r="B519" s="75" t="s">
        <v>15</v>
      </c>
      <c r="C519" s="108" t="s">
        <v>572</v>
      </c>
      <c r="D519" s="128"/>
      <c r="E519" s="123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5" t="s">
        <v>15</v>
      </c>
      <c r="C520" s="108" t="s">
        <v>571</v>
      </c>
      <c r="D520" s="128"/>
      <c r="E520" s="123" t="s">
        <v>12</v>
      </c>
      <c r="F520" s="18"/>
      <c r="G520" s="24"/>
      <c r="H520" s="22"/>
    </row>
    <row r="521" spans="2:8" x14ac:dyDescent="0.25">
      <c r="B521" s="100"/>
      <c r="C521" s="109"/>
      <c r="D521" s="128"/>
      <c r="E521" s="123" t="s">
        <v>13</v>
      </c>
      <c r="F521" s="18"/>
      <c r="G521" s="17"/>
      <c r="H521" s="22"/>
    </row>
    <row r="522" spans="2:8" x14ac:dyDescent="0.25">
      <c r="B522" s="100"/>
      <c r="C522" s="109"/>
      <c r="D522" s="109"/>
      <c r="E522" s="123"/>
      <c r="F522" s="18"/>
      <c r="G522" s="17"/>
      <c r="H522" s="22"/>
    </row>
    <row r="523" spans="2:8" ht="31.5" x14ac:dyDescent="0.25">
      <c r="B523" s="121" t="s">
        <v>25</v>
      </c>
      <c r="C523" s="134" t="s">
        <v>663</v>
      </c>
      <c r="D523" s="129"/>
      <c r="E523" s="12"/>
      <c r="F523" s="14"/>
      <c r="G523" s="26"/>
      <c r="H523" s="13"/>
    </row>
    <row r="524" spans="2:8" x14ac:dyDescent="0.25">
      <c r="B524" s="75" t="s">
        <v>15</v>
      </c>
      <c r="C524" s="108" t="s">
        <v>570</v>
      </c>
      <c r="D524" s="128"/>
      <c r="E524" s="123" t="s">
        <v>9</v>
      </c>
      <c r="F524" s="18"/>
      <c r="G524" s="24"/>
      <c r="H524" s="19" t="b">
        <f>IF(D526="x",H$2,H$1)</f>
        <v>0</v>
      </c>
    </row>
    <row r="525" spans="2:8" x14ac:dyDescent="0.25">
      <c r="B525" s="75" t="s">
        <v>15</v>
      </c>
      <c r="C525" s="108" t="s">
        <v>292</v>
      </c>
      <c r="D525" s="128"/>
      <c r="E525" s="123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 x14ac:dyDescent="0.25">
      <c r="B526" s="75" t="s">
        <v>15</v>
      </c>
      <c r="C526" s="108" t="s">
        <v>572</v>
      </c>
      <c r="D526" s="135"/>
      <c r="E526" s="123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5" t="s">
        <v>15</v>
      </c>
      <c r="C527" s="108" t="s">
        <v>571</v>
      </c>
      <c r="D527" s="38"/>
      <c r="E527" s="123" t="s">
        <v>12</v>
      </c>
      <c r="F527" s="18"/>
      <c r="G527" s="24"/>
      <c r="H527" s="22"/>
    </row>
    <row r="528" spans="2:8" x14ac:dyDescent="0.25">
      <c r="B528" s="100"/>
      <c r="C528" s="16"/>
      <c r="D528" s="38"/>
      <c r="E528" s="123" t="s">
        <v>13</v>
      </c>
      <c r="F528" s="18"/>
      <c r="G528" s="17"/>
      <c r="H528" s="22"/>
    </row>
    <row r="529" spans="2:9" x14ac:dyDescent="0.25">
      <c r="B529" s="100"/>
      <c r="C529" s="16"/>
      <c r="D529" s="16"/>
      <c r="E529" s="54"/>
      <c r="F529" s="18"/>
      <c r="G529" s="17"/>
      <c r="H529" s="22"/>
    </row>
    <row r="530" spans="2:9" x14ac:dyDescent="0.25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39"/>
      <c r="E531" s="139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4"/>
      <c r="C532" s="65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59" t="s">
        <v>31</v>
      </c>
      <c r="C533" s="124" t="s">
        <v>365</v>
      </c>
      <c r="D533" s="124"/>
      <c r="E533" s="124"/>
      <c r="F533" s="125"/>
    </row>
    <row r="534" spans="2:9" x14ac:dyDescent="0.25">
      <c r="B534" s="115" t="s">
        <v>17</v>
      </c>
      <c r="C534" s="122" t="s">
        <v>409</v>
      </c>
      <c r="D534" s="129"/>
      <c r="E534" s="12"/>
      <c r="F534" s="14"/>
      <c r="G534" s="26"/>
      <c r="H534" s="13"/>
      <c r="I534" s="15"/>
    </row>
    <row r="535" spans="2:9" x14ac:dyDescent="0.25">
      <c r="B535" s="75" t="s">
        <v>15</v>
      </c>
      <c r="C535" s="107" t="s">
        <v>410</v>
      </c>
      <c r="D535" s="128"/>
      <c r="E535" s="123" t="s">
        <v>9</v>
      </c>
      <c r="F535" s="18"/>
      <c r="G535" s="24"/>
      <c r="H535" s="19" t="b">
        <f>IF(D537="x",H$2,H$1)</f>
        <v>0</v>
      </c>
    </row>
    <row r="536" spans="2:9" x14ac:dyDescent="0.25">
      <c r="B536" s="75" t="s">
        <v>15</v>
      </c>
      <c r="C536" s="107" t="s">
        <v>411</v>
      </c>
      <c r="D536" s="128"/>
      <c r="E536" s="123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 x14ac:dyDescent="0.25">
      <c r="B537" s="75" t="s">
        <v>15</v>
      </c>
      <c r="C537" s="107" t="s">
        <v>412</v>
      </c>
      <c r="D537" s="128"/>
      <c r="E537" s="123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5" t="s">
        <v>15</v>
      </c>
      <c r="C538" s="107" t="s">
        <v>413</v>
      </c>
      <c r="D538" s="128"/>
      <c r="E538" s="123" t="s">
        <v>12</v>
      </c>
      <c r="F538" s="18"/>
      <c r="G538" s="24"/>
      <c r="H538" s="22"/>
    </row>
    <row r="539" spans="2:9" x14ac:dyDescent="0.25">
      <c r="B539" s="42"/>
      <c r="C539" s="16"/>
      <c r="D539" s="128"/>
      <c r="E539" s="123" t="s">
        <v>13</v>
      </c>
      <c r="F539" s="18"/>
      <c r="G539" s="17"/>
      <c r="H539" s="22"/>
    </row>
    <row r="540" spans="2:9" x14ac:dyDescent="0.25">
      <c r="B540" s="121" t="s">
        <v>16</v>
      </c>
      <c r="C540" s="122" t="s">
        <v>414</v>
      </c>
      <c r="D540" s="129"/>
      <c r="E540" s="12"/>
      <c r="F540" s="14"/>
      <c r="G540" s="26"/>
      <c r="H540" s="13"/>
      <c r="I540" s="15"/>
    </row>
    <row r="541" spans="2:9" x14ac:dyDescent="0.25">
      <c r="B541" s="75" t="s">
        <v>15</v>
      </c>
      <c r="C541" s="107" t="s">
        <v>415</v>
      </c>
      <c r="D541" s="128"/>
      <c r="E541" s="123" t="s">
        <v>9</v>
      </c>
      <c r="F541" s="18"/>
      <c r="G541" s="24"/>
      <c r="H541" s="19" t="b">
        <f>IF(D542="x",H$2,H$1)</f>
        <v>0</v>
      </c>
    </row>
    <row r="542" spans="2:9" x14ac:dyDescent="0.25">
      <c r="B542" s="75" t="s">
        <v>15</v>
      </c>
      <c r="C542" s="107" t="s">
        <v>416</v>
      </c>
      <c r="D542" s="128"/>
      <c r="E542" s="123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 x14ac:dyDescent="0.25">
      <c r="B543" s="75" t="s">
        <v>15</v>
      </c>
      <c r="C543" s="107" t="s">
        <v>417</v>
      </c>
      <c r="D543" s="128"/>
      <c r="E543" s="123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5" t="s">
        <v>15</v>
      </c>
      <c r="C544" s="107" t="s">
        <v>418</v>
      </c>
      <c r="D544" s="128"/>
      <c r="E544" s="123" t="s">
        <v>12</v>
      </c>
      <c r="F544" s="18"/>
      <c r="G544" s="24"/>
      <c r="H544" s="22"/>
    </row>
    <row r="545" spans="2:9" x14ac:dyDescent="0.25">
      <c r="B545" s="75"/>
      <c r="C545" s="16"/>
      <c r="D545" s="128"/>
      <c r="E545" s="123" t="s">
        <v>13</v>
      </c>
      <c r="F545" s="18"/>
      <c r="G545" s="17"/>
      <c r="H545" s="22"/>
    </row>
    <row r="546" spans="2:9" x14ac:dyDescent="0.25">
      <c r="B546" s="121" t="s">
        <v>18</v>
      </c>
      <c r="C546" s="122" t="s">
        <v>419</v>
      </c>
      <c r="D546" s="129"/>
      <c r="E546" s="12"/>
      <c r="F546" s="14"/>
      <c r="G546" s="26"/>
      <c r="H546" s="13"/>
      <c r="I546" s="15"/>
    </row>
    <row r="547" spans="2:9" x14ac:dyDescent="0.25">
      <c r="B547" s="75" t="s">
        <v>15</v>
      </c>
      <c r="C547" s="107" t="s">
        <v>420</v>
      </c>
      <c r="D547" s="128"/>
      <c r="E547" s="123" t="s">
        <v>9</v>
      </c>
      <c r="F547" s="18"/>
      <c r="G547" s="24"/>
      <c r="H547" s="19" t="b">
        <f>IF(D550="x",H$2,H$1)</f>
        <v>0</v>
      </c>
    </row>
    <row r="548" spans="2:9" x14ac:dyDescent="0.25">
      <c r="B548" s="75" t="s">
        <v>15</v>
      </c>
      <c r="C548" s="107" t="s">
        <v>421</v>
      </c>
      <c r="D548" s="128"/>
      <c r="E548" s="123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 x14ac:dyDescent="0.25">
      <c r="B549" s="75" t="s">
        <v>15</v>
      </c>
      <c r="C549" s="107" t="s">
        <v>422</v>
      </c>
      <c r="D549" s="128"/>
      <c r="E549" s="123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5" t="s">
        <v>15</v>
      </c>
      <c r="C550" s="107" t="s">
        <v>423</v>
      </c>
      <c r="D550" s="128"/>
      <c r="E550" s="123" t="s">
        <v>12</v>
      </c>
      <c r="F550" s="18"/>
      <c r="G550" s="24"/>
      <c r="H550" s="22"/>
    </row>
    <row r="551" spans="2:9" x14ac:dyDescent="0.25">
      <c r="B551" s="75"/>
      <c r="C551" s="16"/>
      <c r="D551" s="128"/>
      <c r="E551" s="123" t="s">
        <v>13</v>
      </c>
      <c r="F551" s="18"/>
      <c r="G551" s="17"/>
      <c r="H551" s="22"/>
    </row>
    <row r="552" spans="2:9" x14ac:dyDescent="0.25">
      <c r="B552" s="121" t="s">
        <v>19</v>
      </c>
      <c r="C552" s="122" t="s">
        <v>424</v>
      </c>
      <c r="D552" s="129"/>
      <c r="E552" s="12"/>
      <c r="F552" s="14"/>
      <c r="G552" s="26"/>
      <c r="H552" s="13"/>
      <c r="I552" s="15"/>
    </row>
    <row r="553" spans="2:9" x14ac:dyDescent="0.25">
      <c r="B553" s="75" t="s">
        <v>15</v>
      </c>
      <c r="C553" s="107" t="s">
        <v>425</v>
      </c>
      <c r="D553" s="128"/>
      <c r="E553" s="123" t="s">
        <v>9</v>
      </c>
      <c r="F553" s="18"/>
      <c r="G553" s="24"/>
      <c r="H553" s="19" t="b">
        <f>IF(D553="x",H$2,H$1)</f>
        <v>0</v>
      </c>
    </row>
    <row r="554" spans="2:9" x14ac:dyDescent="0.25">
      <c r="B554" s="75" t="s">
        <v>15</v>
      </c>
      <c r="C554" s="107" t="s">
        <v>426</v>
      </c>
      <c r="D554" s="128"/>
      <c r="E554" s="123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 x14ac:dyDescent="0.25">
      <c r="B555" s="75" t="s">
        <v>15</v>
      </c>
      <c r="C555" s="107" t="s">
        <v>427</v>
      </c>
      <c r="D555" s="128"/>
      <c r="E555" s="123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5" t="s">
        <v>15</v>
      </c>
      <c r="C556" s="107" t="s">
        <v>428</v>
      </c>
      <c r="D556" s="128"/>
      <c r="E556" s="123" t="s">
        <v>12</v>
      </c>
      <c r="F556" s="18"/>
      <c r="G556" s="24"/>
      <c r="H556" s="22"/>
    </row>
    <row r="557" spans="2:9" x14ac:dyDescent="0.25">
      <c r="B557" s="75"/>
      <c r="C557" s="16"/>
      <c r="D557" s="128"/>
      <c r="E557" s="123" t="s">
        <v>13</v>
      </c>
      <c r="F557" s="18"/>
      <c r="G557" s="17"/>
      <c r="H557" s="22"/>
    </row>
    <row r="558" spans="2:9" x14ac:dyDescent="0.25">
      <c r="B558" s="121" t="s">
        <v>20</v>
      </c>
      <c r="C558" s="122" t="s">
        <v>429</v>
      </c>
      <c r="D558" s="129"/>
      <c r="E558" s="12"/>
      <c r="F558" s="14"/>
      <c r="G558" s="26"/>
      <c r="H558" s="13"/>
      <c r="I558" s="15"/>
    </row>
    <row r="559" spans="2:9" x14ac:dyDescent="0.25">
      <c r="B559" s="75" t="s">
        <v>15</v>
      </c>
      <c r="C559" s="107" t="s">
        <v>32</v>
      </c>
      <c r="D559" s="128"/>
      <c r="E559" s="123" t="s">
        <v>9</v>
      </c>
      <c r="F559" s="18"/>
      <c r="G559" s="24"/>
      <c r="H559" s="19" t="b">
        <f>IF(D562="x",H$2,H$1)</f>
        <v>0</v>
      </c>
    </row>
    <row r="560" spans="2:9" x14ac:dyDescent="0.25">
      <c r="B560" s="75" t="s">
        <v>15</v>
      </c>
      <c r="C560" s="107" t="s">
        <v>430</v>
      </c>
      <c r="D560" s="128"/>
      <c r="E560" s="123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 x14ac:dyDescent="0.25">
      <c r="B561" s="75" t="s">
        <v>15</v>
      </c>
      <c r="C561" s="107" t="s">
        <v>33</v>
      </c>
      <c r="D561" s="128"/>
      <c r="E561" s="123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5" t="s">
        <v>15</v>
      </c>
      <c r="C562" s="107" t="s">
        <v>431</v>
      </c>
      <c r="D562" s="128"/>
      <c r="E562" s="123" t="s">
        <v>12</v>
      </c>
      <c r="F562" s="18"/>
      <c r="G562" s="24"/>
      <c r="H562" s="22"/>
    </row>
    <row r="563" spans="2:9" x14ac:dyDescent="0.25">
      <c r="B563" s="75"/>
      <c r="C563" s="16"/>
      <c r="D563" s="128"/>
      <c r="E563" s="123" t="s">
        <v>13</v>
      </c>
      <c r="F563" s="18"/>
      <c r="G563" s="17"/>
      <c r="H563" s="22"/>
    </row>
    <row r="564" spans="2:9" x14ac:dyDescent="0.25">
      <c r="B564" s="121" t="s">
        <v>21</v>
      </c>
      <c r="C564" s="122" t="s">
        <v>432</v>
      </c>
      <c r="D564" s="129"/>
      <c r="E564" s="12"/>
      <c r="F564" s="14"/>
      <c r="G564" s="26"/>
      <c r="H564" s="13"/>
      <c r="I564" s="15"/>
    </row>
    <row r="565" spans="2:9" x14ac:dyDescent="0.25">
      <c r="B565" s="75" t="s">
        <v>15</v>
      </c>
      <c r="C565" s="107" t="s">
        <v>433</v>
      </c>
      <c r="D565" s="128"/>
      <c r="E565" s="123" t="s">
        <v>9</v>
      </c>
      <c r="F565" s="18"/>
      <c r="G565" s="24"/>
      <c r="H565" s="19" t="b">
        <f>IF(D568="x",H$2,H$1)</f>
        <v>0</v>
      </c>
    </row>
    <row r="566" spans="2:9" x14ac:dyDescent="0.25">
      <c r="B566" s="75" t="s">
        <v>15</v>
      </c>
      <c r="C566" s="107" t="s">
        <v>434</v>
      </c>
      <c r="D566" s="128"/>
      <c r="E566" s="123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 x14ac:dyDescent="0.25">
      <c r="B567" s="75" t="s">
        <v>15</v>
      </c>
      <c r="C567" s="107" t="s">
        <v>435</v>
      </c>
      <c r="D567" s="128"/>
      <c r="E567" s="123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5" t="s">
        <v>15</v>
      </c>
      <c r="C568" s="107" t="s">
        <v>436</v>
      </c>
      <c r="D568" s="128"/>
      <c r="E568" s="123" t="s">
        <v>12</v>
      </c>
      <c r="F568" s="18"/>
      <c r="G568" s="24"/>
      <c r="H568" s="22"/>
    </row>
    <row r="569" spans="2:9" x14ac:dyDescent="0.25">
      <c r="B569" s="42"/>
      <c r="C569" s="16"/>
      <c r="D569" s="128"/>
      <c r="E569" s="123" t="s">
        <v>13</v>
      </c>
      <c r="F569" s="18"/>
      <c r="G569" s="17"/>
      <c r="H569" s="22"/>
    </row>
    <row r="570" spans="2:9" x14ac:dyDescent="0.25">
      <c r="B570" s="121" t="s">
        <v>22</v>
      </c>
      <c r="C570" s="122" t="s">
        <v>437</v>
      </c>
      <c r="D570" s="129"/>
      <c r="E570" s="12"/>
      <c r="F570" s="14"/>
      <c r="G570" s="26"/>
      <c r="H570" s="13"/>
      <c r="I570" s="15"/>
    </row>
    <row r="571" spans="2:9" x14ac:dyDescent="0.25">
      <c r="B571" s="75" t="s">
        <v>15</v>
      </c>
      <c r="C571" s="107" t="s">
        <v>438</v>
      </c>
      <c r="D571" s="128"/>
      <c r="E571" s="123" t="s">
        <v>9</v>
      </c>
      <c r="F571" s="18"/>
      <c r="G571" s="24"/>
      <c r="H571" s="19" t="b">
        <f>IF(D573="x",H$2,H$1)</f>
        <v>0</v>
      </c>
    </row>
    <row r="572" spans="2:9" x14ac:dyDescent="0.25">
      <c r="B572" s="75" t="s">
        <v>15</v>
      </c>
      <c r="C572" s="107" t="s">
        <v>439</v>
      </c>
      <c r="D572" s="128"/>
      <c r="E572" s="123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 x14ac:dyDescent="0.25">
      <c r="B573" s="75" t="s">
        <v>15</v>
      </c>
      <c r="C573" s="107" t="s">
        <v>440</v>
      </c>
      <c r="D573" s="128"/>
      <c r="E573" s="123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5" t="s">
        <v>15</v>
      </c>
      <c r="C574" s="107" t="s">
        <v>441</v>
      </c>
      <c r="D574" s="128"/>
      <c r="E574" s="123" t="s">
        <v>12</v>
      </c>
      <c r="F574" s="18"/>
      <c r="G574" s="24"/>
      <c r="H574" s="22"/>
    </row>
    <row r="575" spans="2:9" x14ac:dyDescent="0.25">
      <c r="B575" s="42"/>
      <c r="C575" s="16"/>
      <c r="D575" s="128"/>
      <c r="E575" s="123" t="s">
        <v>13</v>
      </c>
      <c r="F575" s="18"/>
      <c r="G575" s="17"/>
      <c r="H575" s="22"/>
    </row>
    <row r="576" spans="2:9" x14ac:dyDescent="0.25">
      <c r="B576" s="121" t="s">
        <v>23</v>
      </c>
      <c r="C576" s="122" t="s">
        <v>442</v>
      </c>
      <c r="D576" s="129"/>
      <c r="E576" s="12"/>
      <c r="F576" s="12"/>
      <c r="G576" s="26"/>
      <c r="H576" s="13"/>
      <c r="I576" s="15"/>
    </row>
    <row r="577" spans="2:8" x14ac:dyDescent="0.25">
      <c r="B577" s="75" t="s">
        <v>15</v>
      </c>
      <c r="C577" s="107" t="s">
        <v>443</v>
      </c>
      <c r="D577" s="128"/>
      <c r="E577" s="123" t="s">
        <v>9</v>
      </c>
      <c r="F577" s="18"/>
      <c r="G577" s="24"/>
      <c r="H577" s="19" t="b">
        <f>IF(D579="x",H$2,H$1)</f>
        <v>0</v>
      </c>
    </row>
    <row r="578" spans="2:8" x14ac:dyDescent="0.25">
      <c r="B578" s="75" t="s">
        <v>15</v>
      </c>
      <c r="C578" s="107" t="s">
        <v>444</v>
      </c>
      <c r="D578" s="128"/>
      <c r="E578" s="123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 x14ac:dyDescent="0.25">
      <c r="B579" s="75" t="s">
        <v>15</v>
      </c>
      <c r="C579" s="107" t="s">
        <v>445</v>
      </c>
      <c r="D579" s="128"/>
      <c r="E579" s="123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5" t="s">
        <v>15</v>
      </c>
      <c r="C580" s="107" t="s">
        <v>446</v>
      </c>
      <c r="D580" s="128"/>
      <c r="E580" s="123" t="s">
        <v>12</v>
      </c>
      <c r="F580" s="18"/>
      <c r="G580" s="24"/>
      <c r="H580" s="22"/>
    </row>
    <row r="581" spans="2:8" x14ac:dyDescent="0.25">
      <c r="B581" s="100"/>
      <c r="C581" s="16"/>
      <c r="D581" s="128"/>
      <c r="E581" s="123" t="s">
        <v>13</v>
      </c>
      <c r="F581" s="18"/>
      <c r="G581" s="17"/>
      <c r="H581" s="22"/>
    </row>
    <row r="582" spans="2:8" x14ac:dyDescent="0.25">
      <c r="B582" s="100"/>
      <c r="E582" s="123"/>
      <c r="F582" s="18"/>
      <c r="G582" s="17"/>
      <c r="H582" s="22"/>
    </row>
    <row r="583" spans="2:8" x14ac:dyDescent="0.25">
      <c r="B583" s="121" t="s">
        <v>27</v>
      </c>
      <c r="C583" s="122" t="s">
        <v>447</v>
      </c>
      <c r="D583" s="129"/>
      <c r="E583" s="12"/>
      <c r="F583" s="14"/>
      <c r="G583" s="26"/>
      <c r="H583" s="13"/>
    </row>
    <row r="584" spans="2:8" x14ac:dyDescent="0.25">
      <c r="B584" s="75" t="s">
        <v>15</v>
      </c>
      <c r="C584" s="107" t="s">
        <v>411</v>
      </c>
      <c r="D584" s="128"/>
      <c r="E584" s="123" t="s">
        <v>9</v>
      </c>
      <c r="F584" s="18"/>
      <c r="G584" s="24"/>
      <c r="H584" s="19" t="b">
        <f>IF(D585="x",H$2,H$1)</f>
        <v>0</v>
      </c>
    </row>
    <row r="585" spans="2:8" x14ac:dyDescent="0.25">
      <c r="B585" s="75" t="s">
        <v>15</v>
      </c>
      <c r="C585" s="107" t="s">
        <v>413</v>
      </c>
      <c r="D585" s="128"/>
      <c r="E585" s="123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 x14ac:dyDescent="0.25">
      <c r="B586" s="75" t="s">
        <v>15</v>
      </c>
      <c r="C586" s="107" t="s">
        <v>412</v>
      </c>
      <c r="D586" s="128"/>
      <c r="E586" s="123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5" t="s">
        <v>15</v>
      </c>
      <c r="C587" s="107" t="s">
        <v>410</v>
      </c>
      <c r="D587" s="128"/>
      <c r="E587" s="123" t="s">
        <v>12</v>
      </c>
      <c r="F587" s="18"/>
      <c r="G587" s="24"/>
      <c r="H587" s="22"/>
    </row>
    <row r="588" spans="2:8" x14ac:dyDescent="0.25">
      <c r="B588" s="100"/>
      <c r="C588" s="16"/>
      <c r="D588" s="128"/>
      <c r="E588" s="123" t="s">
        <v>13</v>
      </c>
      <c r="F588" s="18"/>
      <c r="G588" s="17"/>
      <c r="H588" s="22"/>
    </row>
    <row r="589" spans="2:8" x14ac:dyDescent="0.25">
      <c r="B589" s="100"/>
      <c r="E589" s="123"/>
      <c r="F589" s="18"/>
      <c r="G589" s="17"/>
      <c r="H589" s="22"/>
    </row>
    <row r="590" spans="2:8" x14ac:dyDescent="0.25">
      <c r="B590" s="121" t="s">
        <v>25</v>
      </c>
      <c r="C590" s="122" t="s">
        <v>448</v>
      </c>
      <c r="D590" s="129"/>
      <c r="E590" s="12"/>
      <c r="F590" s="14"/>
      <c r="G590" s="26"/>
      <c r="H590" s="13"/>
    </row>
    <row r="591" spans="2:8" x14ac:dyDescent="0.25">
      <c r="B591" s="75" t="s">
        <v>15</v>
      </c>
      <c r="C591" s="107" t="s">
        <v>449</v>
      </c>
      <c r="D591" s="128"/>
      <c r="E591" s="123" t="s">
        <v>9</v>
      </c>
      <c r="F591" s="18"/>
      <c r="G591" s="24"/>
      <c r="H591" s="19" t="b">
        <f>IF(D591="x",H$2,H$1)</f>
        <v>0</v>
      </c>
    </row>
    <row r="592" spans="2:8" x14ac:dyDescent="0.25">
      <c r="B592" s="75" t="s">
        <v>15</v>
      </c>
      <c r="C592" s="107" t="s">
        <v>450</v>
      </c>
      <c r="D592" s="128"/>
      <c r="E592" s="123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 x14ac:dyDescent="0.25">
      <c r="B593" s="75" t="s">
        <v>15</v>
      </c>
      <c r="C593" s="107" t="s">
        <v>451</v>
      </c>
      <c r="D593" s="128"/>
      <c r="E593" s="123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5" t="s">
        <v>15</v>
      </c>
      <c r="C594" s="107" t="s">
        <v>452</v>
      </c>
      <c r="D594" s="128"/>
      <c r="E594" s="123" t="s">
        <v>12</v>
      </c>
      <c r="F594" s="18"/>
      <c r="G594" s="24"/>
      <c r="H594" s="22"/>
    </row>
    <row r="595" spans="2:8" x14ac:dyDescent="0.25">
      <c r="B595" s="100"/>
      <c r="C595" s="16"/>
      <c r="D595" s="128"/>
      <c r="E595" s="123" t="s">
        <v>13</v>
      </c>
      <c r="F595" s="18"/>
      <c r="G595" s="17"/>
      <c r="H595" s="22"/>
    </row>
    <row r="596" spans="2:8" x14ac:dyDescent="0.25">
      <c r="B596" s="121" t="s">
        <v>366</v>
      </c>
      <c r="C596" s="122" t="s">
        <v>453</v>
      </c>
      <c r="D596" s="129"/>
      <c r="E596" s="12"/>
      <c r="F596" s="14"/>
      <c r="G596" s="26"/>
      <c r="H596" s="13"/>
    </row>
    <row r="597" spans="2:8" x14ac:dyDescent="0.25">
      <c r="B597" s="75" t="s">
        <v>15</v>
      </c>
      <c r="C597" s="107" t="s">
        <v>454</v>
      </c>
      <c r="D597" s="128"/>
      <c r="E597" s="126" t="s">
        <v>9</v>
      </c>
      <c r="F597" s="18"/>
      <c r="G597" s="24"/>
      <c r="H597" s="19" t="b">
        <f>IF(D599="x",H$2,H$1)</f>
        <v>0</v>
      </c>
    </row>
    <row r="598" spans="2:8" x14ac:dyDescent="0.25">
      <c r="B598" s="75" t="s">
        <v>15</v>
      </c>
      <c r="C598" s="107" t="s">
        <v>455</v>
      </c>
      <c r="D598" s="128"/>
      <c r="E598" s="126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 x14ac:dyDescent="0.25">
      <c r="B599" s="75" t="s">
        <v>15</v>
      </c>
      <c r="C599" s="107" t="s">
        <v>422</v>
      </c>
      <c r="D599" s="128"/>
      <c r="E599" s="126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5" t="s">
        <v>15</v>
      </c>
      <c r="C600" s="107" t="s">
        <v>418</v>
      </c>
      <c r="D600" s="128"/>
      <c r="E600" s="126" t="s">
        <v>12</v>
      </c>
      <c r="F600" s="18"/>
      <c r="G600" s="24"/>
      <c r="H600" s="22"/>
    </row>
    <row r="601" spans="2:8" x14ac:dyDescent="0.25">
      <c r="B601" s="100"/>
      <c r="C601" s="16"/>
      <c r="D601" s="128"/>
      <c r="E601" s="126" t="s">
        <v>13</v>
      </c>
      <c r="F601" s="18"/>
      <c r="G601" s="17"/>
      <c r="H601" s="22"/>
    </row>
    <row r="602" spans="2:8" x14ac:dyDescent="0.25">
      <c r="B602" s="121" t="s">
        <v>367</v>
      </c>
      <c r="C602" s="122" t="s">
        <v>456</v>
      </c>
      <c r="D602" s="129"/>
      <c r="E602" s="12"/>
      <c r="F602" s="14"/>
      <c r="G602" s="26"/>
      <c r="H602" s="13"/>
    </row>
    <row r="603" spans="2:8" x14ac:dyDescent="0.25">
      <c r="B603" s="75" t="s">
        <v>15</v>
      </c>
      <c r="C603" s="107" t="s">
        <v>457</v>
      </c>
      <c r="D603" s="128"/>
      <c r="E603" s="126" t="s">
        <v>9</v>
      </c>
      <c r="F603" s="18"/>
      <c r="G603" s="24"/>
      <c r="H603" s="19" t="b">
        <f>IF(D605="x",H$2,H$1)</f>
        <v>0</v>
      </c>
    </row>
    <row r="604" spans="2:8" x14ac:dyDescent="0.25">
      <c r="B604" s="75" t="s">
        <v>15</v>
      </c>
      <c r="C604" s="107" t="s">
        <v>458</v>
      </c>
      <c r="D604" s="128"/>
      <c r="E604" s="126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 x14ac:dyDescent="0.25">
      <c r="B605" s="75" t="s">
        <v>15</v>
      </c>
      <c r="C605" s="107" t="s">
        <v>459</v>
      </c>
      <c r="D605" s="128"/>
      <c r="E605" s="126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5" t="s">
        <v>15</v>
      </c>
      <c r="C606" s="107" t="s">
        <v>460</v>
      </c>
      <c r="D606" s="128"/>
      <c r="E606" s="126" t="s">
        <v>12</v>
      </c>
      <c r="F606" s="18"/>
      <c r="G606" s="24"/>
      <c r="H606" s="22"/>
    </row>
    <row r="607" spans="2:8" x14ac:dyDescent="0.25">
      <c r="B607" s="100"/>
      <c r="C607" s="16"/>
      <c r="D607" s="128"/>
      <c r="E607" s="126" t="s">
        <v>13</v>
      </c>
      <c r="F607" s="18"/>
      <c r="G607" s="17"/>
      <c r="H607" s="22"/>
    </row>
    <row r="608" spans="2:8" x14ac:dyDescent="0.25">
      <c r="B608" s="121" t="s">
        <v>368</v>
      </c>
      <c r="C608" s="122" t="s">
        <v>461</v>
      </c>
      <c r="D608" s="129"/>
      <c r="E608" s="12"/>
      <c r="F608" s="14"/>
      <c r="G608" s="26"/>
      <c r="H608" s="13"/>
    </row>
    <row r="609" spans="2:8" x14ac:dyDescent="0.25">
      <c r="B609" s="75" t="s">
        <v>15</v>
      </c>
      <c r="C609" s="107" t="s">
        <v>418</v>
      </c>
      <c r="D609" s="128"/>
      <c r="E609" s="126" t="s">
        <v>9</v>
      </c>
      <c r="F609" s="18"/>
      <c r="G609" s="24"/>
      <c r="H609" s="19" t="b">
        <f>IF(D609="x",H$2,H$1)</f>
        <v>0</v>
      </c>
    </row>
    <row r="610" spans="2:8" x14ac:dyDescent="0.25">
      <c r="B610" s="75" t="s">
        <v>15</v>
      </c>
      <c r="C610" s="107" t="s">
        <v>422</v>
      </c>
      <c r="D610" s="128"/>
      <c r="E610" s="126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 x14ac:dyDescent="0.25">
      <c r="B611" s="75" t="s">
        <v>15</v>
      </c>
      <c r="C611" s="107" t="s">
        <v>462</v>
      </c>
      <c r="D611" s="128"/>
      <c r="E611" s="126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5" t="s">
        <v>15</v>
      </c>
      <c r="C612" s="107" t="s">
        <v>463</v>
      </c>
      <c r="D612" s="128"/>
      <c r="E612" s="126" t="s">
        <v>12</v>
      </c>
      <c r="F612" s="18"/>
      <c r="G612" s="24"/>
      <c r="H612" s="22"/>
    </row>
    <row r="613" spans="2:8" x14ac:dyDescent="0.25">
      <c r="B613" s="100"/>
      <c r="C613" s="16"/>
      <c r="D613" s="128"/>
      <c r="E613" s="126" t="s">
        <v>13</v>
      </c>
      <c r="F613" s="18"/>
      <c r="G613" s="17"/>
      <c r="H613" s="22"/>
    </row>
    <row r="614" spans="2:8" x14ac:dyDescent="0.25">
      <c r="B614" s="121" t="s">
        <v>369</v>
      </c>
      <c r="C614" s="122" t="s">
        <v>464</v>
      </c>
      <c r="D614" s="129"/>
      <c r="E614" s="12"/>
      <c r="F614" s="14"/>
      <c r="G614" s="26"/>
      <c r="H614" s="13"/>
    </row>
    <row r="615" spans="2:8" x14ac:dyDescent="0.25">
      <c r="B615" s="75" t="s">
        <v>15</v>
      </c>
      <c r="C615" s="107" t="s">
        <v>465</v>
      </c>
      <c r="D615" s="128"/>
      <c r="E615" s="126" t="s">
        <v>9</v>
      </c>
      <c r="F615" s="18"/>
      <c r="G615" s="24"/>
      <c r="H615" s="19" t="b">
        <f>IF(D617="x",H$2,H$1)</f>
        <v>0</v>
      </c>
    </row>
    <row r="616" spans="2:8" x14ac:dyDescent="0.25">
      <c r="B616" s="75" t="s">
        <v>15</v>
      </c>
      <c r="C616" s="107" t="s">
        <v>466</v>
      </c>
      <c r="D616" s="128"/>
      <c r="E616" s="126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 x14ac:dyDescent="0.25">
      <c r="B617" s="75" t="s">
        <v>15</v>
      </c>
      <c r="C617" s="107" t="s">
        <v>467</v>
      </c>
      <c r="D617" s="128"/>
      <c r="E617" s="126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5" t="s">
        <v>15</v>
      </c>
      <c r="C618" s="107" t="s">
        <v>468</v>
      </c>
      <c r="D618" s="128"/>
      <c r="E618" s="126" t="s">
        <v>12</v>
      </c>
      <c r="F618" s="18"/>
      <c r="G618" s="24"/>
      <c r="H618" s="22"/>
    </row>
    <row r="619" spans="2:8" x14ac:dyDescent="0.25">
      <c r="B619" s="100"/>
      <c r="C619" s="16"/>
      <c r="D619" s="128"/>
      <c r="E619" s="126" t="s">
        <v>13</v>
      </c>
      <c r="F619" s="18"/>
      <c r="G619" s="17"/>
      <c r="H619" s="22"/>
    </row>
    <row r="620" spans="2:8" x14ac:dyDescent="0.25">
      <c r="B620" s="121" t="s">
        <v>370</v>
      </c>
      <c r="C620" s="122" t="s">
        <v>469</v>
      </c>
      <c r="D620" s="129"/>
      <c r="E620" s="12"/>
      <c r="F620" s="14"/>
      <c r="G620" s="26"/>
      <c r="H620" s="13"/>
    </row>
    <row r="621" spans="2:8" x14ac:dyDescent="0.25">
      <c r="B621" s="75" t="s">
        <v>15</v>
      </c>
      <c r="C621" s="107" t="s">
        <v>470</v>
      </c>
      <c r="D621" s="128"/>
      <c r="E621" s="126" t="s">
        <v>9</v>
      </c>
      <c r="F621" s="18"/>
      <c r="G621" s="24"/>
      <c r="H621" s="19" t="b">
        <f>IF(D621="x",H$2,H$1)</f>
        <v>0</v>
      </c>
    </row>
    <row r="622" spans="2:8" x14ac:dyDescent="0.25">
      <c r="B622" s="75" t="s">
        <v>15</v>
      </c>
      <c r="C622" s="107" t="s">
        <v>471</v>
      </c>
      <c r="D622" s="128"/>
      <c r="E622" s="126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 x14ac:dyDescent="0.25">
      <c r="B623" s="75" t="s">
        <v>15</v>
      </c>
      <c r="C623" s="107" t="s">
        <v>472</v>
      </c>
      <c r="D623" s="128"/>
      <c r="E623" s="126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5" t="s">
        <v>15</v>
      </c>
      <c r="C624" s="107" t="s">
        <v>473</v>
      </c>
      <c r="D624" s="128"/>
      <c r="E624" s="126" t="s">
        <v>12</v>
      </c>
      <c r="F624" s="18"/>
      <c r="G624" s="24"/>
      <c r="H624" s="22"/>
    </row>
    <row r="625" spans="2:8" x14ac:dyDescent="0.25">
      <c r="B625" s="100"/>
      <c r="C625" s="16"/>
      <c r="D625" s="128"/>
      <c r="E625" s="126" t="s">
        <v>13</v>
      </c>
      <c r="F625" s="18"/>
      <c r="G625" s="17"/>
      <c r="H625" s="22"/>
    </row>
    <row r="626" spans="2:8" x14ac:dyDescent="0.25">
      <c r="B626" s="121" t="s">
        <v>371</v>
      </c>
      <c r="C626" s="122" t="s">
        <v>474</v>
      </c>
      <c r="D626" s="129"/>
      <c r="E626" s="12"/>
      <c r="F626" s="14"/>
      <c r="G626" s="26"/>
      <c r="H626" s="13"/>
    </row>
    <row r="627" spans="2:8" x14ac:dyDescent="0.25">
      <c r="B627" s="75" t="s">
        <v>15</v>
      </c>
      <c r="C627" s="107" t="s">
        <v>475</v>
      </c>
      <c r="D627" s="128"/>
      <c r="E627" s="126" t="s">
        <v>9</v>
      </c>
      <c r="F627" s="18"/>
      <c r="G627" s="24"/>
      <c r="H627" s="19" t="b">
        <f>IF(D630="x",H$2,H$1)</f>
        <v>0</v>
      </c>
    </row>
    <row r="628" spans="2:8" x14ac:dyDescent="0.25">
      <c r="B628" s="75" t="s">
        <v>15</v>
      </c>
      <c r="C628" s="107" t="s">
        <v>476</v>
      </c>
      <c r="D628" s="128"/>
      <c r="E628" s="126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 x14ac:dyDescent="0.25">
      <c r="B629" s="75" t="s">
        <v>15</v>
      </c>
      <c r="C629" s="107" t="s">
        <v>477</v>
      </c>
      <c r="D629" s="128"/>
      <c r="E629" s="126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5" t="s">
        <v>15</v>
      </c>
      <c r="C630" s="107" t="s">
        <v>454</v>
      </c>
      <c r="D630" s="128"/>
      <c r="E630" s="126" t="s">
        <v>12</v>
      </c>
      <c r="F630" s="18"/>
      <c r="G630" s="24"/>
      <c r="H630" s="22"/>
    </row>
    <row r="631" spans="2:8" x14ac:dyDescent="0.25">
      <c r="B631" s="100"/>
      <c r="C631" s="16"/>
      <c r="D631" s="128"/>
      <c r="E631" s="126" t="s">
        <v>13</v>
      </c>
      <c r="F631" s="18"/>
      <c r="G631" s="17"/>
      <c r="H631" s="22"/>
    </row>
    <row r="632" spans="2:8" x14ac:dyDescent="0.25">
      <c r="B632" s="121" t="s">
        <v>372</v>
      </c>
      <c r="C632" s="122" t="s">
        <v>478</v>
      </c>
      <c r="D632" s="129"/>
      <c r="E632" s="12"/>
      <c r="F632" s="14"/>
      <c r="G632" s="26"/>
      <c r="H632" s="13"/>
    </row>
    <row r="633" spans="2:8" x14ac:dyDescent="0.25">
      <c r="B633" s="75" t="s">
        <v>15</v>
      </c>
      <c r="C633" s="107" t="s">
        <v>479</v>
      </c>
      <c r="D633" s="128"/>
      <c r="E633" s="126" t="s">
        <v>9</v>
      </c>
      <c r="F633" s="18"/>
      <c r="G633" s="24"/>
      <c r="H633" s="19" t="b">
        <f>IF(D635="x",H$2,H$1)</f>
        <v>0</v>
      </c>
    </row>
    <row r="634" spans="2:8" x14ac:dyDescent="0.25">
      <c r="B634" s="75" t="s">
        <v>15</v>
      </c>
      <c r="C634" s="107" t="s">
        <v>480</v>
      </c>
      <c r="D634" s="128"/>
      <c r="E634" s="126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 x14ac:dyDescent="0.25">
      <c r="B635" s="75" t="s">
        <v>15</v>
      </c>
      <c r="C635" s="107" t="s">
        <v>481</v>
      </c>
      <c r="D635" s="128"/>
      <c r="E635" s="126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5" t="s">
        <v>15</v>
      </c>
      <c r="C636" s="107" t="s">
        <v>482</v>
      </c>
      <c r="D636" s="128"/>
      <c r="E636" s="126" t="s">
        <v>12</v>
      </c>
      <c r="F636" s="18"/>
      <c r="G636" s="24"/>
      <c r="H636" s="22"/>
    </row>
    <row r="637" spans="2:8" x14ac:dyDescent="0.25">
      <c r="B637" s="100"/>
      <c r="C637" s="16"/>
      <c r="D637" s="128"/>
      <c r="E637" s="126" t="s">
        <v>13</v>
      </c>
      <c r="F637" s="18"/>
      <c r="G637" s="17"/>
      <c r="H637" s="22"/>
    </row>
    <row r="638" spans="2:8" x14ac:dyDescent="0.25">
      <c r="B638" s="121" t="s">
        <v>373</v>
      </c>
      <c r="C638" s="122" t="s">
        <v>483</v>
      </c>
      <c r="D638" s="129"/>
      <c r="E638" s="12"/>
      <c r="F638" s="14"/>
      <c r="G638" s="26"/>
      <c r="H638" s="13"/>
    </row>
    <row r="639" spans="2:8" x14ac:dyDescent="0.25">
      <c r="B639" s="75" t="s">
        <v>15</v>
      </c>
      <c r="C639" s="107" t="s">
        <v>410</v>
      </c>
      <c r="D639" s="128"/>
      <c r="E639" s="126" t="s">
        <v>9</v>
      </c>
      <c r="F639" s="18"/>
      <c r="G639" s="24"/>
      <c r="H639" s="19" t="b">
        <f>IF(D640="x",H$2,H$1)</f>
        <v>0</v>
      </c>
    </row>
    <row r="640" spans="2:8" x14ac:dyDescent="0.25">
      <c r="B640" s="75" t="s">
        <v>15</v>
      </c>
      <c r="C640" s="107" t="s">
        <v>411</v>
      </c>
      <c r="D640" s="128"/>
      <c r="E640" s="126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 x14ac:dyDescent="0.25">
      <c r="B641" s="75" t="s">
        <v>15</v>
      </c>
      <c r="C641" s="107" t="s">
        <v>412</v>
      </c>
      <c r="D641" s="128"/>
      <c r="E641" s="126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5" t="s">
        <v>15</v>
      </c>
      <c r="C642" s="107" t="s">
        <v>413</v>
      </c>
      <c r="D642" s="128"/>
      <c r="E642" s="126" t="s">
        <v>12</v>
      </c>
      <c r="F642" s="18"/>
      <c r="G642" s="24"/>
      <c r="H642" s="22"/>
    </row>
    <row r="643" spans="2:8" x14ac:dyDescent="0.25">
      <c r="B643" s="100"/>
      <c r="C643" s="16"/>
      <c r="D643" s="128"/>
      <c r="E643" s="126" t="s">
        <v>13</v>
      </c>
      <c r="F643" s="18"/>
      <c r="G643" s="17"/>
      <c r="H643" s="22"/>
    </row>
    <row r="644" spans="2:8" x14ac:dyDescent="0.25">
      <c r="B644" s="121" t="s">
        <v>374</v>
      </c>
      <c r="C644" s="122" t="s">
        <v>484</v>
      </c>
      <c r="D644" s="129"/>
      <c r="E644" s="12"/>
      <c r="F644" s="14"/>
      <c r="G644" s="26"/>
      <c r="H644" s="13"/>
    </row>
    <row r="645" spans="2:8" x14ac:dyDescent="0.25">
      <c r="B645" s="75" t="s">
        <v>15</v>
      </c>
      <c r="C645" s="107" t="s">
        <v>485</v>
      </c>
      <c r="D645" s="128"/>
      <c r="E645" s="126" t="s">
        <v>9</v>
      </c>
      <c r="F645" s="18"/>
      <c r="G645" s="24"/>
      <c r="H645" s="19" t="b">
        <f>IF(D645="x",H$2,H$1)</f>
        <v>0</v>
      </c>
    </row>
    <row r="646" spans="2:8" x14ac:dyDescent="0.25">
      <c r="B646" s="75" t="s">
        <v>15</v>
      </c>
      <c r="C646" s="107" t="s">
        <v>486</v>
      </c>
      <c r="D646" s="128"/>
      <c r="E646" s="126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 x14ac:dyDescent="0.25">
      <c r="B647" s="75" t="s">
        <v>15</v>
      </c>
      <c r="C647" s="107" t="s">
        <v>487</v>
      </c>
      <c r="D647" s="128"/>
      <c r="E647" s="126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5" t="s">
        <v>15</v>
      </c>
      <c r="C648" s="107" t="s">
        <v>488</v>
      </c>
      <c r="D648" s="128"/>
      <c r="E648" s="126" t="s">
        <v>12</v>
      </c>
      <c r="F648" s="18"/>
      <c r="G648" s="24"/>
      <c r="H648" s="22"/>
    </row>
    <row r="649" spans="2:8" x14ac:dyDescent="0.25">
      <c r="B649" s="100"/>
      <c r="C649" s="16"/>
      <c r="D649" s="128"/>
      <c r="E649" s="126" t="s">
        <v>13</v>
      </c>
      <c r="F649" s="18"/>
      <c r="G649" s="17"/>
      <c r="H649" s="22"/>
    </row>
    <row r="650" spans="2:8" x14ac:dyDescent="0.25">
      <c r="B650" s="121" t="s">
        <v>375</v>
      </c>
      <c r="C650" s="122" t="s">
        <v>489</v>
      </c>
      <c r="D650" s="129"/>
      <c r="E650" s="12"/>
      <c r="F650" s="14"/>
      <c r="G650" s="26"/>
      <c r="H650" s="13"/>
    </row>
    <row r="651" spans="2:8" x14ac:dyDescent="0.25">
      <c r="B651" s="75" t="s">
        <v>15</v>
      </c>
      <c r="C651" s="107" t="s">
        <v>490</v>
      </c>
      <c r="D651" s="128"/>
      <c r="E651" s="126" t="s">
        <v>9</v>
      </c>
      <c r="F651" s="18"/>
      <c r="G651" s="24"/>
      <c r="H651" s="19" t="b">
        <f>IF(D654="x",H$2,H$1)</f>
        <v>0</v>
      </c>
    </row>
    <row r="652" spans="2:8" x14ac:dyDescent="0.25">
      <c r="B652" s="75" t="s">
        <v>15</v>
      </c>
      <c r="C652" s="107" t="s">
        <v>491</v>
      </c>
      <c r="D652" s="128"/>
      <c r="E652" s="126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 x14ac:dyDescent="0.25">
      <c r="B653" s="75" t="s">
        <v>15</v>
      </c>
      <c r="C653" s="107" t="s">
        <v>492</v>
      </c>
      <c r="D653" s="128"/>
      <c r="E653" s="126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5" t="s">
        <v>15</v>
      </c>
      <c r="C654" s="107" t="s">
        <v>493</v>
      </c>
      <c r="D654" s="128"/>
      <c r="E654" s="126" t="s">
        <v>12</v>
      </c>
      <c r="F654" s="18"/>
      <c r="G654" s="24"/>
      <c r="H654" s="22"/>
    </row>
    <row r="655" spans="2:8" x14ac:dyDescent="0.25">
      <c r="B655" s="100"/>
      <c r="C655" s="16"/>
      <c r="D655" s="128"/>
      <c r="E655" s="126" t="s">
        <v>13</v>
      </c>
      <c r="F655" s="18"/>
      <c r="G655" s="17"/>
      <c r="H655" s="22"/>
    </row>
    <row r="656" spans="2:8" x14ac:dyDescent="0.25">
      <c r="B656" s="121" t="s">
        <v>376</v>
      </c>
      <c r="C656" s="122" t="s">
        <v>494</v>
      </c>
      <c r="D656" s="129"/>
      <c r="E656" s="12"/>
      <c r="F656" s="14"/>
      <c r="G656" s="26"/>
      <c r="H656" s="13"/>
    </row>
    <row r="657" spans="2:8" x14ac:dyDescent="0.25">
      <c r="B657" s="75" t="s">
        <v>15</v>
      </c>
      <c r="C657" s="107" t="s">
        <v>495</v>
      </c>
      <c r="D657" s="128"/>
      <c r="E657" s="126" t="s">
        <v>9</v>
      </c>
      <c r="F657" s="18"/>
      <c r="G657" s="24"/>
      <c r="H657" s="19" t="b">
        <f>IF(D660="x",H$2,H$1)</f>
        <v>0</v>
      </c>
    </row>
    <row r="658" spans="2:8" x14ac:dyDescent="0.25">
      <c r="B658" s="75" t="s">
        <v>15</v>
      </c>
      <c r="C658" s="107" t="s">
        <v>496</v>
      </c>
      <c r="D658" s="128"/>
      <c r="E658" s="126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 x14ac:dyDescent="0.25">
      <c r="B659" s="75" t="s">
        <v>15</v>
      </c>
      <c r="C659" s="107" t="s">
        <v>497</v>
      </c>
      <c r="D659" s="128"/>
      <c r="E659" s="126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5" t="s">
        <v>15</v>
      </c>
      <c r="C660" s="107" t="s">
        <v>498</v>
      </c>
      <c r="D660" s="128"/>
      <c r="E660" s="126" t="s">
        <v>12</v>
      </c>
      <c r="F660" s="18"/>
      <c r="G660" s="24"/>
      <c r="H660" s="22"/>
    </row>
    <row r="661" spans="2:8" x14ac:dyDescent="0.25">
      <c r="B661" s="100"/>
      <c r="C661" s="16"/>
      <c r="D661" s="128"/>
      <c r="E661" s="126" t="s">
        <v>13</v>
      </c>
      <c r="F661" s="18"/>
      <c r="G661" s="17"/>
      <c r="H661" s="22"/>
    </row>
    <row r="662" spans="2:8" x14ac:dyDescent="0.25">
      <c r="B662" s="121" t="s">
        <v>377</v>
      </c>
      <c r="C662" s="122" t="s">
        <v>499</v>
      </c>
      <c r="D662" s="129"/>
      <c r="E662" s="12"/>
      <c r="F662" s="14"/>
      <c r="G662" s="26"/>
      <c r="H662" s="13"/>
    </row>
    <row r="663" spans="2:8" x14ac:dyDescent="0.25">
      <c r="B663" s="75" t="s">
        <v>15</v>
      </c>
      <c r="C663" s="107" t="s">
        <v>491</v>
      </c>
      <c r="D663" s="128"/>
      <c r="E663" s="126" t="s">
        <v>9</v>
      </c>
      <c r="F663" s="18"/>
      <c r="G663" s="24"/>
      <c r="H663" s="19" t="b">
        <f>IF(D663="x",H$2,H$1)</f>
        <v>0</v>
      </c>
    </row>
    <row r="664" spans="2:8" x14ac:dyDescent="0.25">
      <c r="B664" s="75" t="s">
        <v>15</v>
      </c>
      <c r="C664" s="107" t="s">
        <v>493</v>
      </c>
      <c r="D664" s="128"/>
      <c r="E664" s="126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 x14ac:dyDescent="0.25">
      <c r="B665" s="75" t="s">
        <v>15</v>
      </c>
      <c r="C665" s="107" t="s">
        <v>490</v>
      </c>
      <c r="D665" s="128"/>
      <c r="E665" s="126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5" t="s">
        <v>15</v>
      </c>
      <c r="C666" s="107" t="s">
        <v>492</v>
      </c>
      <c r="D666" s="128"/>
      <c r="E666" s="126" t="s">
        <v>12</v>
      </c>
      <c r="F666" s="18"/>
      <c r="G666" s="24"/>
      <c r="H666" s="22"/>
    </row>
    <row r="667" spans="2:8" x14ac:dyDescent="0.25">
      <c r="B667" s="100"/>
      <c r="C667" s="16"/>
      <c r="D667" s="128"/>
      <c r="E667" s="126" t="s">
        <v>13</v>
      </c>
      <c r="F667" s="18"/>
      <c r="G667" s="17"/>
      <c r="H667" s="22"/>
    </row>
    <row r="668" spans="2:8" x14ac:dyDescent="0.25">
      <c r="B668" s="121" t="s">
        <v>378</v>
      </c>
      <c r="C668" s="122" t="s">
        <v>500</v>
      </c>
      <c r="D668" s="129"/>
      <c r="E668" s="12"/>
      <c r="F668" s="14"/>
      <c r="G668" s="26"/>
      <c r="H668" s="13"/>
    </row>
    <row r="669" spans="2:8" x14ac:dyDescent="0.25">
      <c r="B669" s="75" t="s">
        <v>15</v>
      </c>
      <c r="C669" s="107" t="s">
        <v>444</v>
      </c>
      <c r="D669" s="128"/>
      <c r="E669" s="126" t="s">
        <v>9</v>
      </c>
      <c r="F669" s="18"/>
      <c r="G669" s="24"/>
      <c r="H669" s="19" t="b">
        <f>IF(D670="x",H$2,H$1)</f>
        <v>0</v>
      </c>
    </row>
    <row r="670" spans="2:8" x14ac:dyDescent="0.25">
      <c r="B670" s="75" t="s">
        <v>15</v>
      </c>
      <c r="C670" s="107" t="s">
        <v>501</v>
      </c>
      <c r="D670" s="128"/>
      <c r="E670" s="126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 x14ac:dyDescent="0.25">
      <c r="B671" s="75" t="s">
        <v>15</v>
      </c>
      <c r="C671" s="107" t="s">
        <v>446</v>
      </c>
      <c r="D671" s="128"/>
      <c r="E671" s="126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5" t="s">
        <v>15</v>
      </c>
      <c r="C672" s="107" t="s">
        <v>445</v>
      </c>
      <c r="D672" s="128"/>
      <c r="E672" s="126" t="s">
        <v>12</v>
      </c>
      <c r="F672" s="18"/>
      <c r="G672" s="24"/>
      <c r="H672" s="22"/>
    </row>
    <row r="673" spans="2:8" x14ac:dyDescent="0.25">
      <c r="B673" s="100"/>
      <c r="C673" s="16"/>
      <c r="D673" s="128"/>
      <c r="E673" s="126" t="s">
        <v>13</v>
      </c>
      <c r="F673" s="18"/>
      <c r="G673" s="17"/>
      <c r="H673" s="22"/>
    </row>
    <row r="674" spans="2:8" x14ac:dyDescent="0.25">
      <c r="B674" s="121" t="s">
        <v>379</v>
      </c>
      <c r="C674" s="122" t="s">
        <v>502</v>
      </c>
      <c r="D674" s="129"/>
      <c r="E674" s="12"/>
      <c r="F674" s="14"/>
      <c r="G674" s="26"/>
      <c r="H674" s="13"/>
    </row>
    <row r="675" spans="2:8" x14ac:dyDescent="0.25">
      <c r="B675" s="75" t="s">
        <v>15</v>
      </c>
      <c r="C675" s="107" t="s">
        <v>487</v>
      </c>
      <c r="D675" s="128"/>
      <c r="E675" s="126" t="s">
        <v>9</v>
      </c>
      <c r="F675" s="18"/>
      <c r="G675" s="24"/>
      <c r="H675" s="19" t="b">
        <f>IF(D676="x",H$2,H$1)</f>
        <v>0</v>
      </c>
    </row>
    <row r="676" spans="2:8" x14ac:dyDescent="0.25">
      <c r="B676" s="75" t="s">
        <v>15</v>
      </c>
      <c r="C676" s="107" t="s">
        <v>485</v>
      </c>
      <c r="D676" s="128"/>
      <c r="E676" s="126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 x14ac:dyDescent="0.25">
      <c r="B677" s="75" t="s">
        <v>15</v>
      </c>
      <c r="C677" s="107" t="s">
        <v>488</v>
      </c>
      <c r="D677" s="128"/>
      <c r="E677" s="126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5" t="s">
        <v>15</v>
      </c>
      <c r="C678" s="107" t="s">
        <v>486</v>
      </c>
      <c r="D678" s="128"/>
      <c r="E678" s="126" t="s">
        <v>12</v>
      </c>
      <c r="F678" s="18"/>
      <c r="G678" s="24"/>
      <c r="H678" s="22"/>
    </row>
    <row r="679" spans="2:8" x14ac:dyDescent="0.25">
      <c r="B679" s="100"/>
      <c r="C679" s="16"/>
      <c r="D679" s="128"/>
      <c r="E679" s="126" t="s">
        <v>13</v>
      </c>
      <c r="F679" s="18"/>
      <c r="G679" s="17"/>
      <c r="H679" s="22"/>
    </row>
    <row r="680" spans="2:8" x14ac:dyDescent="0.25">
      <c r="B680" s="121" t="s">
        <v>380</v>
      </c>
      <c r="C680" s="122" t="s">
        <v>503</v>
      </c>
      <c r="D680" s="129"/>
      <c r="E680" s="12"/>
      <c r="F680" s="14"/>
      <c r="G680" s="26"/>
      <c r="H680" s="13"/>
    </row>
    <row r="681" spans="2:8" x14ac:dyDescent="0.25">
      <c r="B681" s="75" t="s">
        <v>15</v>
      </c>
      <c r="C681" s="107" t="s">
        <v>468</v>
      </c>
      <c r="D681" s="128"/>
      <c r="E681" s="126" t="s">
        <v>9</v>
      </c>
      <c r="F681" s="18"/>
      <c r="G681" s="24"/>
      <c r="H681" s="19" t="b">
        <f>IF(D682="x",H$2,H$1)</f>
        <v>0</v>
      </c>
    </row>
    <row r="682" spans="2:8" x14ac:dyDescent="0.25">
      <c r="B682" s="75" t="s">
        <v>15</v>
      </c>
      <c r="C682" s="107" t="s">
        <v>465</v>
      </c>
      <c r="D682" s="128"/>
      <c r="E682" s="126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 x14ac:dyDescent="0.25">
      <c r="B683" s="75" t="s">
        <v>15</v>
      </c>
      <c r="C683" s="107" t="s">
        <v>467</v>
      </c>
      <c r="D683" s="128"/>
      <c r="E683" s="126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5" t="s">
        <v>15</v>
      </c>
      <c r="C684" s="107" t="s">
        <v>466</v>
      </c>
      <c r="D684" s="128"/>
      <c r="E684" s="126" t="s">
        <v>12</v>
      </c>
      <c r="F684" s="18"/>
      <c r="G684" s="24"/>
      <c r="H684" s="22"/>
    </row>
    <row r="685" spans="2:8" x14ac:dyDescent="0.25">
      <c r="B685" s="100"/>
      <c r="C685" s="16"/>
      <c r="D685" s="128"/>
      <c r="E685" s="126" t="s">
        <v>13</v>
      </c>
      <c r="F685" s="18"/>
      <c r="G685" s="17"/>
      <c r="H685" s="22"/>
    </row>
    <row r="686" spans="2:8" x14ac:dyDescent="0.25">
      <c r="B686" s="121" t="s">
        <v>381</v>
      </c>
      <c r="C686" s="122" t="s">
        <v>504</v>
      </c>
      <c r="D686" s="129"/>
      <c r="E686" s="12"/>
      <c r="F686" s="14"/>
      <c r="G686" s="26"/>
      <c r="H686" s="13"/>
    </row>
    <row r="687" spans="2:8" x14ac:dyDescent="0.25">
      <c r="B687" s="75" t="s">
        <v>15</v>
      </c>
      <c r="C687" s="107" t="s">
        <v>490</v>
      </c>
      <c r="D687" s="128"/>
      <c r="E687" s="126" t="s">
        <v>9</v>
      </c>
      <c r="F687" s="18"/>
      <c r="G687" s="24"/>
      <c r="H687" s="19" t="b">
        <f>IF(D689="x",H$2,H$1)</f>
        <v>0</v>
      </c>
    </row>
    <row r="688" spans="2:8" x14ac:dyDescent="0.25">
      <c r="B688" s="75" t="s">
        <v>15</v>
      </c>
      <c r="C688" s="107" t="s">
        <v>491</v>
      </c>
      <c r="D688" s="128"/>
      <c r="E688" s="126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 x14ac:dyDescent="0.25">
      <c r="B689" s="75" t="s">
        <v>15</v>
      </c>
      <c r="C689" s="107" t="s">
        <v>493</v>
      </c>
      <c r="D689" s="128"/>
      <c r="E689" s="126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5" t="s">
        <v>15</v>
      </c>
      <c r="C690" s="107" t="s">
        <v>492</v>
      </c>
      <c r="D690" s="128"/>
      <c r="E690" s="126" t="s">
        <v>12</v>
      </c>
      <c r="F690" s="18"/>
      <c r="G690" s="24"/>
      <c r="H690" s="22"/>
    </row>
    <row r="691" spans="2:8" x14ac:dyDescent="0.25">
      <c r="B691" s="100"/>
      <c r="C691" s="16"/>
      <c r="D691" s="128"/>
      <c r="E691" s="126" t="s">
        <v>13</v>
      </c>
      <c r="F691" s="18"/>
      <c r="G691" s="17"/>
      <c r="H691" s="22"/>
    </row>
    <row r="692" spans="2:8" x14ac:dyDescent="0.25">
      <c r="B692" s="121" t="s">
        <v>382</v>
      </c>
      <c r="C692" s="122" t="s">
        <v>505</v>
      </c>
      <c r="D692" s="129"/>
      <c r="E692" s="12"/>
      <c r="F692" s="14"/>
      <c r="G692" s="26"/>
      <c r="H692" s="13"/>
    </row>
    <row r="693" spans="2:8" x14ac:dyDescent="0.25">
      <c r="B693" s="75" t="s">
        <v>15</v>
      </c>
      <c r="C693" s="107" t="s">
        <v>506</v>
      </c>
      <c r="D693" s="128"/>
      <c r="E693" s="126" t="s">
        <v>9</v>
      </c>
      <c r="F693" s="18"/>
      <c r="G693" s="24"/>
      <c r="H693" s="19" t="b">
        <f>IF(D694="x",H$2,H$1)</f>
        <v>0</v>
      </c>
    </row>
    <row r="694" spans="2:8" x14ac:dyDescent="0.25">
      <c r="B694" s="75" t="s">
        <v>15</v>
      </c>
      <c r="C694" s="107" t="s">
        <v>507</v>
      </c>
      <c r="D694" s="128"/>
      <c r="E694" s="126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 x14ac:dyDescent="0.25">
      <c r="B695" s="75" t="s">
        <v>15</v>
      </c>
      <c r="C695" s="107" t="s">
        <v>508</v>
      </c>
      <c r="D695" s="128"/>
      <c r="E695" s="126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5" t="s">
        <v>15</v>
      </c>
      <c r="C696" s="107" t="s">
        <v>509</v>
      </c>
      <c r="D696" s="128"/>
      <c r="E696" s="126" t="s">
        <v>12</v>
      </c>
      <c r="F696" s="18"/>
      <c r="G696" s="24"/>
      <c r="H696" s="22"/>
    </row>
    <row r="697" spans="2:8" x14ac:dyDescent="0.25">
      <c r="B697" s="100"/>
      <c r="C697" s="16"/>
      <c r="D697" s="128"/>
      <c r="E697" s="126" t="s">
        <v>13</v>
      </c>
      <c r="F697" s="18"/>
      <c r="G697" s="17"/>
      <c r="H697" s="22"/>
    </row>
    <row r="698" spans="2:8" x14ac:dyDescent="0.25">
      <c r="B698" s="121" t="s">
        <v>383</v>
      </c>
      <c r="C698" s="122" t="s">
        <v>510</v>
      </c>
      <c r="D698" s="129"/>
      <c r="E698" s="12"/>
      <c r="F698" s="14"/>
      <c r="G698" s="26"/>
      <c r="H698" s="13"/>
    </row>
    <row r="699" spans="2:8" x14ac:dyDescent="0.25">
      <c r="B699" s="75" t="s">
        <v>15</v>
      </c>
      <c r="C699" s="107" t="s">
        <v>511</v>
      </c>
      <c r="D699" s="128"/>
      <c r="E699" s="126" t="s">
        <v>9</v>
      </c>
      <c r="F699" s="18"/>
      <c r="G699" s="24"/>
      <c r="H699" s="19" t="b">
        <f>IF(D700="x",H$2,H$1)</f>
        <v>0</v>
      </c>
    </row>
    <row r="700" spans="2:8" x14ac:dyDescent="0.25">
      <c r="B700" s="75" t="s">
        <v>15</v>
      </c>
      <c r="C700" s="107" t="s">
        <v>434</v>
      </c>
      <c r="D700" s="128"/>
      <c r="E700" s="126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 x14ac:dyDescent="0.25">
      <c r="B701" s="75" t="s">
        <v>15</v>
      </c>
      <c r="C701" s="107" t="s">
        <v>436</v>
      </c>
      <c r="D701" s="128"/>
      <c r="E701" s="126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5" t="s">
        <v>15</v>
      </c>
      <c r="C702" s="107" t="s">
        <v>435</v>
      </c>
      <c r="D702" s="128"/>
      <c r="E702" s="126" t="s">
        <v>12</v>
      </c>
      <c r="F702" s="18"/>
      <c r="G702" s="24"/>
      <c r="H702" s="22"/>
    </row>
    <row r="703" spans="2:8" x14ac:dyDescent="0.25">
      <c r="B703" s="100"/>
      <c r="C703" s="16"/>
      <c r="D703" s="128"/>
      <c r="E703" s="126" t="s">
        <v>13</v>
      </c>
      <c r="F703" s="18"/>
      <c r="G703" s="17"/>
      <c r="H703" s="22"/>
    </row>
    <row r="704" spans="2:8" x14ac:dyDescent="0.25">
      <c r="B704" s="121" t="s">
        <v>384</v>
      </c>
      <c r="C704" s="122" t="s">
        <v>512</v>
      </c>
      <c r="D704" s="129"/>
      <c r="E704" s="12"/>
      <c r="F704" s="14"/>
      <c r="G704" s="26"/>
      <c r="H704" s="13"/>
    </row>
    <row r="705" spans="2:8" x14ac:dyDescent="0.25">
      <c r="B705" s="75" t="s">
        <v>15</v>
      </c>
      <c r="C705" s="107" t="s">
        <v>462</v>
      </c>
      <c r="D705" s="128"/>
      <c r="E705" s="126" t="s">
        <v>9</v>
      </c>
      <c r="F705" s="18"/>
      <c r="G705" s="24"/>
      <c r="H705" s="19" t="b">
        <f>IF(D707="x",H$2,H$1)</f>
        <v>0</v>
      </c>
    </row>
    <row r="706" spans="2:8" x14ac:dyDescent="0.25">
      <c r="B706" s="75" t="s">
        <v>15</v>
      </c>
      <c r="C706" s="107" t="s">
        <v>422</v>
      </c>
      <c r="D706" s="128"/>
      <c r="E706" s="126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 x14ac:dyDescent="0.25">
      <c r="B707" s="75" t="s">
        <v>15</v>
      </c>
      <c r="C707" s="107" t="s">
        <v>418</v>
      </c>
      <c r="D707" s="128"/>
      <c r="E707" s="126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5" t="s">
        <v>15</v>
      </c>
      <c r="C708" s="107" t="s">
        <v>463</v>
      </c>
      <c r="D708" s="128"/>
      <c r="E708" s="126" t="s">
        <v>12</v>
      </c>
      <c r="F708" s="18"/>
      <c r="G708" s="24"/>
      <c r="H708" s="22"/>
    </row>
    <row r="709" spans="2:8" x14ac:dyDescent="0.25">
      <c r="B709" s="100"/>
      <c r="C709" s="16"/>
      <c r="D709" s="128"/>
      <c r="E709" s="126" t="s">
        <v>13</v>
      </c>
      <c r="F709" s="18"/>
      <c r="G709" s="17"/>
      <c r="H709" s="22"/>
    </row>
    <row r="710" spans="2:8" x14ac:dyDescent="0.25">
      <c r="B710" s="121" t="s">
        <v>385</v>
      </c>
      <c r="C710" s="122" t="s">
        <v>513</v>
      </c>
      <c r="D710" s="129"/>
      <c r="E710" s="12"/>
      <c r="F710" s="14"/>
      <c r="G710" s="26"/>
      <c r="H710" s="13"/>
    </row>
    <row r="711" spans="2:8" x14ac:dyDescent="0.25">
      <c r="B711" s="75" t="s">
        <v>15</v>
      </c>
      <c r="C711" s="107" t="s">
        <v>485</v>
      </c>
      <c r="D711" s="128"/>
      <c r="E711" s="126" t="s">
        <v>9</v>
      </c>
      <c r="F711" s="18"/>
      <c r="G711" s="24"/>
      <c r="H711" s="19" t="b">
        <f>IF(D714="x",H$2,H$1)</f>
        <v>0</v>
      </c>
    </row>
    <row r="712" spans="2:8" x14ac:dyDescent="0.25">
      <c r="B712" s="75" t="s">
        <v>15</v>
      </c>
      <c r="C712" s="107" t="s">
        <v>488</v>
      </c>
      <c r="D712" s="128"/>
      <c r="E712" s="126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 x14ac:dyDescent="0.25">
      <c r="B713" s="75" t="s">
        <v>15</v>
      </c>
      <c r="C713" s="107" t="s">
        <v>486</v>
      </c>
      <c r="D713" s="128"/>
      <c r="E713" s="126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5" t="s">
        <v>15</v>
      </c>
      <c r="C714" s="107" t="s">
        <v>487</v>
      </c>
      <c r="D714" s="128"/>
      <c r="E714" s="126" t="s">
        <v>12</v>
      </c>
      <c r="F714" s="18"/>
      <c r="G714" s="24"/>
      <c r="H714" s="22"/>
    </row>
    <row r="715" spans="2:8" x14ac:dyDescent="0.25">
      <c r="B715" s="100"/>
      <c r="C715" s="16"/>
      <c r="D715" s="128"/>
      <c r="E715" s="126" t="s">
        <v>13</v>
      </c>
      <c r="F715" s="18"/>
      <c r="G715" s="17"/>
      <c r="H715" s="22"/>
    </row>
    <row r="716" spans="2:8" x14ac:dyDescent="0.25">
      <c r="B716" s="121" t="s">
        <v>386</v>
      </c>
      <c r="C716" s="122" t="s">
        <v>514</v>
      </c>
      <c r="D716" s="129"/>
      <c r="E716" s="12"/>
      <c r="F716" s="14"/>
      <c r="G716" s="26"/>
      <c r="H716" s="13"/>
    </row>
    <row r="717" spans="2:8" x14ac:dyDescent="0.25">
      <c r="B717" s="75" t="s">
        <v>15</v>
      </c>
      <c r="C717" s="107" t="s">
        <v>515</v>
      </c>
      <c r="D717" s="128"/>
      <c r="E717" s="126" t="s">
        <v>9</v>
      </c>
      <c r="F717" s="18"/>
      <c r="G717" s="24"/>
      <c r="H717" s="19" t="b">
        <f>IF(D720="x",H$2,H$1)</f>
        <v>0</v>
      </c>
    </row>
    <row r="718" spans="2:8" x14ac:dyDescent="0.25">
      <c r="B718" s="75" t="s">
        <v>15</v>
      </c>
      <c r="C718" s="107" t="s">
        <v>516</v>
      </c>
      <c r="D718" s="128"/>
      <c r="E718" s="126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 x14ac:dyDescent="0.25">
      <c r="B719" s="75" t="s">
        <v>15</v>
      </c>
      <c r="C719" s="107" t="s">
        <v>517</v>
      </c>
      <c r="D719" s="128"/>
      <c r="E719" s="126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5" t="s">
        <v>15</v>
      </c>
      <c r="C720" s="107" t="s">
        <v>518</v>
      </c>
      <c r="D720" s="128"/>
      <c r="E720" s="126" t="s">
        <v>12</v>
      </c>
      <c r="F720" s="18"/>
      <c r="G720" s="24"/>
      <c r="H720" s="22"/>
    </row>
    <row r="721" spans="2:8" x14ac:dyDescent="0.25">
      <c r="B721" s="100"/>
      <c r="C721" s="16"/>
      <c r="D721" s="128"/>
      <c r="E721" s="126" t="s">
        <v>13</v>
      </c>
      <c r="F721" s="18"/>
      <c r="G721" s="17"/>
      <c r="H721" s="22"/>
    </row>
    <row r="722" spans="2:8" x14ac:dyDescent="0.25">
      <c r="B722" s="121" t="s">
        <v>387</v>
      </c>
      <c r="C722" s="122" t="s">
        <v>519</v>
      </c>
      <c r="D722" s="129"/>
      <c r="E722" s="12"/>
      <c r="F722" s="14"/>
      <c r="G722" s="26"/>
      <c r="H722" s="13"/>
    </row>
    <row r="723" spans="2:8" x14ac:dyDescent="0.25">
      <c r="B723" s="75" t="s">
        <v>15</v>
      </c>
      <c r="C723" s="107" t="s">
        <v>481</v>
      </c>
      <c r="D723" s="128"/>
      <c r="E723" s="126" t="s">
        <v>9</v>
      </c>
      <c r="F723" s="18"/>
      <c r="G723" s="24"/>
      <c r="H723" s="19" t="b">
        <f>IF(D725="x",H$2,H$1)</f>
        <v>0</v>
      </c>
    </row>
    <row r="724" spans="2:8" x14ac:dyDescent="0.25">
      <c r="B724" s="75" t="s">
        <v>15</v>
      </c>
      <c r="C724" s="107" t="s">
        <v>482</v>
      </c>
      <c r="D724" s="128"/>
      <c r="E724" s="126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 x14ac:dyDescent="0.25">
      <c r="B725" s="75" t="s">
        <v>15</v>
      </c>
      <c r="C725" s="107" t="s">
        <v>480</v>
      </c>
      <c r="D725" s="128"/>
      <c r="E725" s="126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5" t="s">
        <v>15</v>
      </c>
      <c r="C726" s="107" t="s">
        <v>479</v>
      </c>
      <c r="D726" s="128"/>
      <c r="E726" s="126" t="s">
        <v>12</v>
      </c>
      <c r="F726" s="18"/>
      <c r="G726" s="24"/>
      <c r="H726" s="22"/>
    </row>
    <row r="727" spans="2:8" x14ac:dyDescent="0.25">
      <c r="B727" s="100"/>
      <c r="C727" s="16"/>
      <c r="D727" s="128"/>
      <c r="E727" s="126" t="s">
        <v>13</v>
      </c>
      <c r="F727" s="18"/>
      <c r="G727" s="17"/>
      <c r="H727" s="22"/>
    </row>
    <row r="728" spans="2:8" x14ac:dyDescent="0.25">
      <c r="B728" s="121" t="s">
        <v>388</v>
      </c>
      <c r="C728" s="122" t="s">
        <v>520</v>
      </c>
      <c r="D728" s="129"/>
      <c r="E728" s="12"/>
      <c r="F728" s="14"/>
      <c r="G728" s="26"/>
      <c r="H728" s="13"/>
    </row>
    <row r="729" spans="2:8" x14ac:dyDescent="0.25">
      <c r="B729" s="75" t="s">
        <v>15</v>
      </c>
      <c r="C729" s="107" t="s">
        <v>445</v>
      </c>
      <c r="D729" s="128"/>
      <c r="E729" s="126" t="s">
        <v>9</v>
      </c>
      <c r="F729" s="18"/>
      <c r="G729" s="24"/>
      <c r="H729" s="19" t="b">
        <f>IF(D729="x",H$2,H$1)</f>
        <v>0</v>
      </c>
    </row>
    <row r="730" spans="2:8" x14ac:dyDescent="0.25">
      <c r="B730" s="75" t="s">
        <v>15</v>
      </c>
      <c r="C730" s="107" t="s">
        <v>444</v>
      </c>
      <c r="D730" s="128"/>
      <c r="E730" s="126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 x14ac:dyDescent="0.25">
      <c r="B731" s="75" t="s">
        <v>15</v>
      </c>
      <c r="C731" s="107" t="s">
        <v>446</v>
      </c>
      <c r="D731" s="128"/>
      <c r="E731" s="126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5" t="s">
        <v>15</v>
      </c>
      <c r="C732" s="107" t="s">
        <v>443</v>
      </c>
      <c r="D732" s="128"/>
      <c r="E732" s="126" t="s">
        <v>12</v>
      </c>
      <c r="F732" s="18"/>
      <c r="G732" s="24"/>
      <c r="H732" s="22"/>
    </row>
    <row r="733" spans="2:8" x14ac:dyDescent="0.25">
      <c r="B733" s="100"/>
      <c r="C733" s="16"/>
      <c r="D733" s="128"/>
      <c r="E733" s="126" t="s">
        <v>13</v>
      </c>
      <c r="F733" s="18"/>
      <c r="G733" s="17"/>
      <c r="H733" s="22"/>
    </row>
    <row r="734" spans="2:8" x14ac:dyDescent="0.25">
      <c r="B734" s="121" t="s">
        <v>389</v>
      </c>
      <c r="C734" s="122" t="s">
        <v>521</v>
      </c>
      <c r="D734" s="129"/>
      <c r="E734" s="12"/>
      <c r="F734" s="14"/>
      <c r="G734" s="26"/>
      <c r="H734" s="13"/>
    </row>
    <row r="735" spans="2:8" x14ac:dyDescent="0.25">
      <c r="B735" s="75" t="s">
        <v>15</v>
      </c>
      <c r="C735" s="107" t="s">
        <v>522</v>
      </c>
      <c r="D735" s="128"/>
      <c r="E735" s="126" t="s">
        <v>9</v>
      </c>
      <c r="F735" s="18"/>
      <c r="G735" s="24"/>
      <c r="H735" s="19" t="b">
        <f>IF(D737="x",H$2,H$1)</f>
        <v>0</v>
      </c>
    </row>
    <row r="736" spans="2:8" x14ac:dyDescent="0.25">
      <c r="B736" s="75" t="s">
        <v>15</v>
      </c>
      <c r="C736" s="107" t="s">
        <v>523</v>
      </c>
      <c r="D736" s="128"/>
      <c r="E736" s="126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 x14ac:dyDescent="0.25">
      <c r="B737" s="75" t="s">
        <v>15</v>
      </c>
      <c r="C737" s="107" t="s">
        <v>524</v>
      </c>
      <c r="D737" s="128"/>
      <c r="E737" s="126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5" t="s">
        <v>15</v>
      </c>
      <c r="C738" s="107" t="s">
        <v>525</v>
      </c>
      <c r="D738" s="128"/>
      <c r="E738" s="126" t="s">
        <v>12</v>
      </c>
      <c r="F738" s="18"/>
      <c r="G738" s="24"/>
      <c r="H738" s="22"/>
    </row>
    <row r="739" spans="2:8" x14ac:dyDescent="0.25">
      <c r="B739" s="100"/>
      <c r="C739" s="16"/>
      <c r="D739" s="128"/>
      <c r="E739" s="126" t="s">
        <v>13</v>
      </c>
      <c r="F739" s="18"/>
      <c r="G739" s="17"/>
      <c r="H739" s="22"/>
    </row>
    <row r="740" spans="2:8" x14ac:dyDescent="0.25">
      <c r="B740" s="121" t="s">
        <v>390</v>
      </c>
      <c r="C740" s="122" t="s">
        <v>526</v>
      </c>
      <c r="D740" s="129"/>
      <c r="E740" s="12"/>
      <c r="F740" s="14"/>
      <c r="G740" s="26"/>
      <c r="H740" s="13"/>
    </row>
    <row r="741" spans="2:8" x14ac:dyDescent="0.25">
      <c r="B741" s="75" t="s">
        <v>15</v>
      </c>
      <c r="C741" s="107" t="s">
        <v>527</v>
      </c>
      <c r="D741" s="128"/>
      <c r="E741" s="126" t="s">
        <v>9</v>
      </c>
      <c r="F741" s="18"/>
      <c r="G741" s="24"/>
      <c r="H741" s="19" t="b">
        <f>IF(D741="x",H$2,H$1)</f>
        <v>0</v>
      </c>
    </row>
    <row r="742" spans="2:8" x14ac:dyDescent="0.25">
      <c r="B742" s="75" t="s">
        <v>15</v>
      </c>
      <c r="C742" s="107" t="s">
        <v>528</v>
      </c>
      <c r="D742" s="128"/>
      <c r="E742" s="126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 x14ac:dyDescent="0.25">
      <c r="B743" s="75" t="s">
        <v>15</v>
      </c>
      <c r="C743" s="107" t="s">
        <v>529</v>
      </c>
      <c r="D743" s="128"/>
      <c r="E743" s="126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5" t="s">
        <v>15</v>
      </c>
      <c r="C744" s="107" t="s">
        <v>491</v>
      </c>
      <c r="D744" s="128"/>
      <c r="E744" s="126" t="s">
        <v>12</v>
      </c>
      <c r="F744" s="18"/>
      <c r="G744" s="24"/>
      <c r="H744" s="22"/>
    </row>
    <row r="745" spans="2:8" x14ac:dyDescent="0.25">
      <c r="B745" s="100"/>
      <c r="C745" s="16"/>
      <c r="D745" s="128"/>
      <c r="E745" s="126" t="s">
        <v>13</v>
      </c>
      <c r="F745" s="18"/>
      <c r="G745" s="17"/>
      <c r="H745" s="22"/>
    </row>
    <row r="746" spans="2:8" x14ac:dyDescent="0.25">
      <c r="B746" s="121" t="s">
        <v>391</v>
      </c>
      <c r="C746" s="122" t="s">
        <v>530</v>
      </c>
      <c r="D746" s="129"/>
      <c r="E746" s="12"/>
      <c r="F746" s="14"/>
      <c r="G746" s="26"/>
      <c r="H746" s="13"/>
    </row>
    <row r="747" spans="2:8" x14ac:dyDescent="0.25">
      <c r="B747" s="75" t="s">
        <v>15</v>
      </c>
      <c r="C747" s="107" t="s">
        <v>444</v>
      </c>
      <c r="D747" s="128"/>
      <c r="E747" s="126" t="s">
        <v>9</v>
      </c>
      <c r="F747" s="18"/>
      <c r="G747" s="24"/>
      <c r="H747" s="19" t="b">
        <f>IF(D747="x",H$2,H$1)</f>
        <v>0</v>
      </c>
    </row>
    <row r="748" spans="2:8" x14ac:dyDescent="0.25">
      <c r="B748" s="75" t="s">
        <v>15</v>
      </c>
      <c r="C748" s="107" t="s">
        <v>446</v>
      </c>
      <c r="D748" s="128"/>
      <c r="E748" s="126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 x14ac:dyDescent="0.25">
      <c r="B749" s="75" t="s">
        <v>15</v>
      </c>
      <c r="C749" s="107" t="s">
        <v>443</v>
      </c>
      <c r="D749" s="128"/>
      <c r="E749" s="126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5" t="s">
        <v>15</v>
      </c>
      <c r="C750" s="107" t="s">
        <v>445</v>
      </c>
      <c r="D750" s="128"/>
      <c r="E750" s="126" t="s">
        <v>12</v>
      </c>
      <c r="F750" s="18"/>
      <c r="G750" s="24"/>
      <c r="H750" s="22"/>
    </row>
    <row r="751" spans="2:8" x14ac:dyDescent="0.25">
      <c r="B751" s="100"/>
      <c r="C751" s="16"/>
      <c r="D751" s="128"/>
      <c r="E751" s="126" t="s">
        <v>13</v>
      </c>
      <c r="F751" s="18"/>
      <c r="G751" s="17"/>
      <c r="H751" s="22"/>
    </row>
    <row r="752" spans="2:8" x14ac:dyDescent="0.25">
      <c r="B752" s="121" t="s">
        <v>392</v>
      </c>
      <c r="C752" s="122" t="s">
        <v>531</v>
      </c>
      <c r="D752" s="129"/>
      <c r="E752" s="12"/>
      <c r="F752" s="14"/>
      <c r="G752" s="26"/>
      <c r="H752" s="13"/>
    </row>
    <row r="753" spans="2:8" x14ac:dyDescent="0.25">
      <c r="B753" s="75" t="s">
        <v>15</v>
      </c>
      <c r="C753" s="107" t="s">
        <v>422</v>
      </c>
      <c r="D753" s="128"/>
      <c r="E753" s="126" t="s">
        <v>9</v>
      </c>
      <c r="F753" s="18"/>
      <c r="G753" s="24"/>
      <c r="H753" s="19" t="b">
        <f>IF(D755="x",H$2,H$1)</f>
        <v>0</v>
      </c>
    </row>
    <row r="754" spans="2:8" x14ac:dyDescent="0.25">
      <c r="B754" s="75" t="s">
        <v>15</v>
      </c>
      <c r="C754" s="107" t="s">
        <v>420</v>
      </c>
      <c r="D754" s="128"/>
      <c r="E754" s="126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 x14ac:dyDescent="0.25">
      <c r="B755" s="75" t="s">
        <v>15</v>
      </c>
      <c r="C755" s="107" t="s">
        <v>476</v>
      </c>
      <c r="D755" s="128"/>
      <c r="E755" s="126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5" t="s">
        <v>15</v>
      </c>
      <c r="C756" s="107" t="s">
        <v>421</v>
      </c>
      <c r="D756" s="128"/>
      <c r="E756" s="126" t="s">
        <v>12</v>
      </c>
      <c r="F756" s="18"/>
      <c r="G756" s="24"/>
      <c r="H756" s="22"/>
    </row>
    <row r="757" spans="2:8" x14ac:dyDescent="0.25">
      <c r="B757" s="100"/>
      <c r="C757" s="16"/>
      <c r="D757" s="128"/>
      <c r="E757" s="126" t="s">
        <v>13</v>
      </c>
      <c r="F757" s="18"/>
      <c r="G757" s="17"/>
      <c r="H757" s="22"/>
    </row>
    <row r="758" spans="2:8" x14ac:dyDescent="0.25">
      <c r="B758" s="121" t="s">
        <v>393</v>
      </c>
      <c r="C758" s="122" t="s">
        <v>469</v>
      </c>
      <c r="D758" s="129"/>
      <c r="E758" s="12"/>
      <c r="F758" s="14"/>
      <c r="G758" s="26"/>
      <c r="H758" s="13"/>
    </row>
    <row r="759" spans="2:8" x14ac:dyDescent="0.25">
      <c r="B759" s="75" t="s">
        <v>15</v>
      </c>
      <c r="C759" s="107" t="s">
        <v>471</v>
      </c>
      <c r="D759" s="128"/>
      <c r="E759" s="126" t="s">
        <v>9</v>
      </c>
      <c r="F759" s="18"/>
      <c r="G759" s="24"/>
      <c r="H759" s="19" t="b">
        <f>IF(D762="x",H$2,H$1)</f>
        <v>0</v>
      </c>
    </row>
    <row r="760" spans="2:8" x14ac:dyDescent="0.25">
      <c r="B760" s="75" t="s">
        <v>15</v>
      </c>
      <c r="C760" s="107" t="s">
        <v>473</v>
      </c>
      <c r="D760" s="128"/>
      <c r="E760" s="126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 x14ac:dyDescent="0.25">
      <c r="B761" s="75" t="s">
        <v>15</v>
      </c>
      <c r="C761" s="107" t="s">
        <v>472</v>
      </c>
      <c r="D761" s="128"/>
      <c r="E761" s="126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5" t="s">
        <v>15</v>
      </c>
      <c r="C762" s="107" t="s">
        <v>470</v>
      </c>
      <c r="D762" s="128"/>
      <c r="E762" s="126" t="s">
        <v>12</v>
      </c>
      <c r="F762" s="18"/>
      <c r="G762" s="24"/>
      <c r="H762" s="22"/>
    </row>
    <row r="763" spans="2:8" x14ac:dyDescent="0.25">
      <c r="B763" s="100"/>
      <c r="C763" s="16" t="s">
        <v>532</v>
      </c>
      <c r="D763" s="128"/>
      <c r="E763" s="126" t="s">
        <v>13</v>
      </c>
      <c r="F763" s="18"/>
      <c r="G763" s="17"/>
      <c r="H763" s="22"/>
    </row>
    <row r="764" spans="2:8" x14ac:dyDescent="0.25">
      <c r="B764" s="121" t="s">
        <v>394</v>
      </c>
      <c r="C764" s="122" t="s">
        <v>533</v>
      </c>
      <c r="D764" s="129"/>
      <c r="E764" s="12"/>
      <c r="F764" s="14"/>
      <c r="G764" s="26"/>
      <c r="H764" s="13"/>
    </row>
    <row r="765" spans="2:8" x14ac:dyDescent="0.25">
      <c r="B765" s="75" t="s">
        <v>15</v>
      </c>
      <c r="C765" s="107" t="s">
        <v>534</v>
      </c>
      <c r="D765" s="128"/>
      <c r="E765" s="126" t="s">
        <v>9</v>
      </c>
      <c r="F765" s="18"/>
      <c r="G765" s="24"/>
      <c r="H765" s="19" t="b">
        <f>IF(D768="x",H$2,H$1)</f>
        <v>0</v>
      </c>
    </row>
    <row r="766" spans="2:8" x14ac:dyDescent="0.25">
      <c r="B766" s="75" t="s">
        <v>15</v>
      </c>
      <c r="C766" s="107" t="s">
        <v>535</v>
      </c>
      <c r="D766" s="128"/>
      <c r="E766" s="126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 x14ac:dyDescent="0.25">
      <c r="B767" s="75" t="s">
        <v>15</v>
      </c>
      <c r="C767" s="107" t="s">
        <v>536</v>
      </c>
      <c r="D767" s="128"/>
      <c r="E767" s="126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5" t="s">
        <v>15</v>
      </c>
      <c r="C768" s="107" t="s">
        <v>537</v>
      </c>
      <c r="D768" s="128"/>
      <c r="E768" s="126" t="s">
        <v>12</v>
      </c>
      <c r="F768" s="18"/>
      <c r="G768" s="24"/>
      <c r="H768" s="22"/>
    </row>
    <row r="769" spans="2:8" x14ac:dyDescent="0.25">
      <c r="B769" s="100"/>
      <c r="C769" s="16" t="s">
        <v>532</v>
      </c>
      <c r="D769" s="128"/>
      <c r="E769" s="126" t="s">
        <v>13</v>
      </c>
      <c r="F769" s="18"/>
      <c r="G769" s="17"/>
      <c r="H769" s="22"/>
    </row>
    <row r="770" spans="2:8" x14ac:dyDescent="0.25">
      <c r="B770" s="121" t="s">
        <v>395</v>
      </c>
      <c r="C770" s="122" t="s">
        <v>538</v>
      </c>
      <c r="D770" s="129"/>
      <c r="E770" s="12"/>
      <c r="F770" s="14"/>
      <c r="G770" s="26"/>
      <c r="H770" s="13"/>
    </row>
    <row r="771" spans="2:8" x14ac:dyDescent="0.25">
      <c r="B771" s="75" t="s">
        <v>15</v>
      </c>
      <c r="C771" s="107" t="s">
        <v>490</v>
      </c>
      <c r="D771" s="128"/>
      <c r="E771" s="126" t="s">
        <v>9</v>
      </c>
      <c r="F771" s="18"/>
      <c r="G771" s="24"/>
      <c r="H771" s="19" t="b">
        <f>IF(D772="x",H$2,H$1)</f>
        <v>0</v>
      </c>
    </row>
    <row r="772" spans="2:8" x14ac:dyDescent="0.25">
      <c r="B772" s="75" t="s">
        <v>15</v>
      </c>
      <c r="C772" s="107" t="s">
        <v>493</v>
      </c>
      <c r="D772" s="128"/>
      <c r="E772" s="126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 x14ac:dyDescent="0.25">
      <c r="B773" s="75" t="s">
        <v>15</v>
      </c>
      <c r="C773" s="107" t="s">
        <v>492</v>
      </c>
      <c r="D773" s="128"/>
      <c r="E773" s="126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5" t="s">
        <v>15</v>
      </c>
      <c r="C774" s="107" t="s">
        <v>491</v>
      </c>
      <c r="D774" s="128"/>
      <c r="E774" s="126" t="s">
        <v>12</v>
      </c>
      <c r="F774" s="18"/>
      <c r="G774" s="24"/>
      <c r="H774" s="22"/>
    </row>
    <row r="775" spans="2:8" x14ac:dyDescent="0.25">
      <c r="B775" s="100"/>
      <c r="C775" s="16" t="s">
        <v>539</v>
      </c>
      <c r="D775" s="128"/>
      <c r="E775" s="126" t="s">
        <v>13</v>
      </c>
      <c r="F775" s="18"/>
      <c r="G775" s="17"/>
      <c r="H775" s="22"/>
    </row>
    <row r="776" spans="2:8" x14ac:dyDescent="0.25">
      <c r="B776" s="121" t="s">
        <v>396</v>
      </c>
      <c r="C776" s="122" t="s">
        <v>521</v>
      </c>
      <c r="D776" s="129"/>
      <c r="E776" s="12"/>
      <c r="F776" s="14"/>
      <c r="G776" s="26"/>
      <c r="H776" s="13"/>
    </row>
    <row r="777" spans="2:8" x14ac:dyDescent="0.25">
      <c r="B777" s="75" t="s">
        <v>15</v>
      </c>
      <c r="C777" s="107" t="s">
        <v>522</v>
      </c>
      <c r="D777" s="128"/>
      <c r="E777" s="126" t="s">
        <v>9</v>
      </c>
      <c r="F777" s="18"/>
      <c r="G777" s="24"/>
      <c r="H777" s="19" t="b">
        <f>IF(D778="x",H$2,H$1)</f>
        <v>0</v>
      </c>
    </row>
    <row r="778" spans="2:8" x14ac:dyDescent="0.25">
      <c r="B778" s="75" t="s">
        <v>15</v>
      </c>
      <c r="C778" s="107" t="s">
        <v>524</v>
      </c>
      <c r="D778" s="128"/>
      <c r="E778" s="126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 x14ac:dyDescent="0.25">
      <c r="B779" s="75" t="s">
        <v>15</v>
      </c>
      <c r="C779" s="107" t="s">
        <v>523</v>
      </c>
      <c r="D779" s="128"/>
      <c r="E779" s="126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5" t="s">
        <v>15</v>
      </c>
      <c r="C780" s="107" t="s">
        <v>525</v>
      </c>
      <c r="D780" s="128"/>
      <c r="E780" s="126" t="s">
        <v>12</v>
      </c>
      <c r="F780" s="18"/>
      <c r="G780" s="24"/>
      <c r="H780" s="22"/>
    </row>
    <row r="781" spans="2:8" x14ac:dyDescent="0.25">
      <c r="B781" s="100"/>
      <c r="C781" s="16" t="s">
        <v>532</v>
      </c>
      <c r="D781" s="128"/>
      <c r="E781" s="126" t="s">
        <v>13</v>
      </c>
      <c r="F781" s="18"/>
      <c r="G781" s="17"/>
      <c r="H781" s="22"/>
    </row>
    <row r="782" spans="2:8" x14ac:dyDescent="0.25">
      <c r="B782" s="121" t="s">
        <v>397</v>
      </c>
      <c r="C782" s="122" t="s">
        <v>540</v>
      </c>
      <c r="D782" s="129"/>
      <c r="E782" s="12"/>
      <c r="F782" s="14"/>
      <c r="G782" s="26"/>
      <c r="H782" s="13"/>
    </row>
    <row r="783" spans="2:8" x14ac:dyDescent="0.25">
      <c r="B783" s="75" t="s">
        <v>15</v>
      </c>
      <c r="C783" s="107" t="s">
        <v>541</v>
      </c>
      <c r="D783" s="128"/>
      <c r="E783" s="126" t="s">
        <v>9</v>
      </c>
      <c r="F783" s="18"/>
      <c r="G783" s="24"/>
      <c r="H783" s="19" t="b">
        <f>IF(D784="x",H$2,H$1)</f>
        <v>0</v>
      </c>
    </row>
    <row r="784" spans="2:8" x14ac:dyDescent="0.25">
      <c r="B784" s="75" t="s">
        <v>15</v>
      </c>
      <c r="C784" s="107" t="s">
        <v>542</v>
      </c>
      <c r="D784" s="128"/>
      <c r="E784" s="126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 x14ac:dyDescent="0.25">
      <c r="B785" s="75" t="s">
        <v>15</v>
      </c>
      <c r="C785" s="107" t="s">
        <v>543</v>
      </c>
      <c r="D785" s="128"/>
      <c r="E785" s="126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5" t="s">
        <v>15</v>
      </c>
      <c r="C786" s="107" t="s">
        <v>544</v>
      </c>
      <c r="D786" s="128"/>
      <c r="E786" s="126" t="s">
        <v>12</v>
      </c>
      <c r="F786" s="18"/>
      <c r="G786" s="24"/>
      <c r="H786" s="22"/>
    </row>
    <row r="787" spans="2:8" x14ac:dyDescent="0.25">
      <c r="B787" s="100"/>
      <c r="C787" s="16" t="s">
        <v>532</v>
      </c>
      <c r="D787" s="128"/>
      <c r="E787" s="126" t="s">
        <v>13</v>
      </c>
      <c r="F787" s="18"/>
      <c r="G787" s="17"/>
      <c r="H787" s="22"/>
    </row>
    <row r="788" spans="2:8" x14ac:dyDescent="0.25">
      <c r="B788" s="121" t="s">
        <v>398</v>
      </c>
      <c r="C788" s="122" t="s">
        <v>545</v>
      </c>
      <c r="D788" s="129"/>
      <c r="E788" s="12"/>
      <c r="F788" s="14"/>
      <c r="G788" s="26"/>
      <c r="H788" s="13"/>
    </row>
    <row r="789" spans="2:8" x14ac:dyDescent="0.25">
      <c r="B789" s="75" t="s">
        <v>15</v>
      </c>
      <c r="C789" s="107" t="s">
        <v>444</v>
      </c>
      <c r="D789" s="128"/>
      <c r="E789" s="126" t="s">
        <v>9</v>
      </c>
      <c r="F789" s="18"/>
      <c r="G789" s="24"/>
      <c r="H789" s="19" t="b">
        <f>IF(D791="x",H$2,H$1)</f>
        <v>0</v>
      </c>
    </row>
    <row r="790" spans="2:8" x14ac:dyDescent="0.25">
      <c r="B790" s="75" t="s">
        <v>15</v>
      </c>
      <c r="C790" s="107" t="s">
        <v>443</v>
      </c>
      <c r="D790" s="128"/>
      <c r="E790" s="126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 x14ac:dyDescent="0.25">
      <c r="B791" s="75" t="s">
        <v>15</v>
      </c>
      <c r="C791" s="107" t="s">
        <v>546</v>
      </c>
      <c r="D791" s="128"/>
      <c r="E791" s="126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5" t="s">
        <v>15</v>
      </c>
      <c r="C792" s="107" t="s">
        <v>446</v>
      </c>
      <c r="D792" s="128"/>
      <c r="E792" s="126" t="s">
        <v>12</v>
      </c>
      <c r="F792" s="18"/>
      <c r="G792" s="24"/>
      <c r="H792" s="22"/>
    </row>
    <row r="793" spans="2:8" x14ac:dyDescent="0.25">
      <c r="B793" s="100"/>
      <c r="C793" s="16" t="s">
        <v>532</v>
      </c>
      <c r="D793" s="128"/>
      <c r="E793" s="126" t="s">
        <v>13</v>
      </c>
      <c r="F793" s="18"/>
      <c r="G793" s="17"/>
      <c r="H793" s="22"/>
    </row>
    <row r="794" spans="2:8" x14ac:dyDescent="0.25">
      <c r="B794" s="121" t="s">
        <v>399</v>
      </c>
      <c r="C794" s="122" t="s">
        <v>547</v>
      </c>
      <c r="D794" s="129"/>
      <c r="E794" s="12"/>
      <c r="F794" s="14"/>
      <c r="G794" s="26"/>
      <c r="H794" s="13"/>
    </row>
    <row r="795" spans="2:8" x14ac:dyDescent="0.25">
      <c r="B795" s="75" t="s">
        <v>15</v>
      </c>
      <c r="C795" s="107" t="s">
        <v>548</v>
      </c>
      <c r="D795" s="128"/>
      <c r="E795" s="126" t="s">
        <v>9</v>
      </c>
      <c r="F795" s="18"/>
      <c r="G795" s="24"/>
      <c r="H795" s="19" t="b">
        <f>IF(D795="x",H$2,H$1)</f>
        <v>0</v>
      </c>
    </row>
    <row r="796" spans="2:8" x14ac:dyDescent="0.25">
      <c r="B796" s="75" t="s">
        <v>15</v>
      </c>
      <c r="C796" s="107" t="s">
        <v>549</v>
      </c>
      <c r="D796" s="128"/>
      <c r="E796" s="126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 x14ac:dyDescent="0.25">
      <c r="B797" s="75" t="s">
        <v>15</v>
      </c>
      <c r="C797" s="107" t="s">
        <v>550</v>
      </c>
      <c r="D797" s="128"/>
      <c r="E797" s="126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5" t="s">
        <v>15</v>
      </c>
      <c r="C798" s="107" t="s">
        <v>551</v>
      </c>
      <c r="D798" s="128"/>
      <c r="E798" s="126" t="s">
        <v>12</v>
      </c>
      <c r="F798" s="18"/>
      <c r="G798" s="24"/>
      <c r="H798" s="22"/>
    </row>
    <row r="799" spans="2:8" x14ac:dyDescent="0.25">
      <c r="B799" s="100"/>
      <c r="C799" s="16" t="s">
        <v>539</v>
      </c>
      <c r="D799" s="128"/>
      <c r="E799" s="126" t="s">
        <v>13</v>
      </c>
      <c r="F799" s="18"/>
      <c r="G799" s="17"/>
      <c r="H799" s="22"/>
    </row>
    <row r="800" spans="2:8" x14ac:dyDescent="0.25">
      <c r="B800" s="121" t="s">
        <v>400</v>
      </c>
      <c r="C800" s="122" t="s">
        <v>505</v>
      </c>
      <c r="D800" s="129"/>
      <c r="E800" s="12"/>
      <c r="F800" s="14"/>
      <c r="G800" s="26"/>
      <c r="H800" s="13"/>
    </row>
    <row r="801" spans="2:8" x14ac:dyDescent="0.25">
      <c r="B801" s="75" t="s">
        <v>15</v>
      </c>
      <c r="C801" s="107" t="s">
        <v>509</v>
      </c>
      <c r="D801" s="128"/>
      <c r="E801" s="126" t="s">
        <v>9</v>
      </c>
      <c r="F801" s="18"/>
      <c r="G801" s="24"/>
      <c r="H801" s="19" t="b">
        <f>IF(D804="x",H$2,H$1)</f>
        <v>0</v>
      </c>
    </row>
    <row r="802" spans="2:8" x14ac:dyDescent="0.25">
      <c r="B802" s="75" t="s">
        <v>15</v>
      </c>
      <c r="C802" s="107" t="s">
        <v>506</v>
      </c>
      <c r="D802" s="128"/>
      <c r="E802" s="126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 x14ac:dyDescent="0.25">
      <c r="B803" s="75" t="s">
        <v>15</v>
      </c>
      <c r="C803" s="107" t="s">
        <v>508</v>
      </c>
      <c r="D803" s="128"/>
      <c r="E803" s="126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5" t="s">
        <v>15</v>
      </c>
      <c r="C804" s="107" t="s">
        <v>507</v>
      </c>
      <c r="D804" s="128"/>
      <c r="E804" s="126" t="s">
        <v>12</v>
      </c>
      <c r="F804" s="18"/>
      <c r="G804" s="24"/>
      <c r="H804" s="22"/>
    </row>
    <row r="805" spans="2:8" x14ac:dyDescent="0.25">
      <c r="B805" s="100"/>
      <c r="C805" s="16" t="s">
        <v>532</v>
      </c>
      <c r="D805" s="128"/>
      <c r="E805" s="126" t="s">
        <v>13</v>
      </c>
      <c r="F805" s="18"/>
      <c r="G805" s="17"/>
      <c r="H805" s="22"/>
    </row>
    <row r="806" spans="2:8" x14ac:dyDescent="0.25">
      <c r="B806" s="121" t="s">
        <v>401</v>
      </c>
      <c r="C806" s="122" t="s">
        <v>552</v>
      </c>
      <c r="D806" s="129"/>
      <c r="E806" s="12"/>
      <c r="F806" s="14"/>
      <c r="G806" s="26"/>
      <c r="H806" s="13"/>
    </row>
    <row r="807" spans="2:8" x14ac:dyDescent="0.25">
      <c r="B807" s="75" t="s">
        <v>15</v>
      </c>
      <c r="C807" s="107" t="s">
        <v>422</v>
      </c>
      <c r="D807" s="128"/>
      <c r="E807" s="126" t="s">
        <v>9</v>
      </c>
      <c r="F807" s="18"/>
      <c r="G807" s="24"/>
      <c r="H807" s="19" t="b">
        <f>IF(D810="x",H$2,H$1)</f>
        <v>0</v>
      </c>
    </row>
    <row r="808" spans="2:8" x14ac:dyDescent="0.25">
      <c r="B808" s="75" t="s">
        <v>15</v>
      </c>
      <c r="C808" s="107" t="s">
        <v>420</v>
      </c>
      <c r="D808" s="128"/>
      <c r="E808" s="126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 x14ac:dyDescent="0.25">
      <c r="B809" s="75" t="s">
        <v>15</v>
      </c>
      <c r="C809" s="107" t="s">
        <v>421</v>
      </c>
      <c r="D809" s="128"/>
      <c r="E809" s="126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5" t="s">
        <v>15</v>
      </c>
      <c r="C810" s="107" t="s">
        <v>476</v>
      </c>
      <c r="D810" s="128"/>
      <c r="E810" s="126" t="s">
        <v>12</v>
      </c>
      <c r="F810" s="18"/>
      <c r="G810" s="24"/>
      <c r="H810" s="22"/>
    </row>
    <row r="811" spans="2:8" x14ac:dyDescent="0.25">
      <c r="B811" s="100"/>
      <c r="C811" s="16" t="s">
        <v>532</v>
      </c>
      <c r="D811" s="128"/>
      <c r="E811" s="126" t="s">
        <v>13</v>
      </c>
      <c r="F811" s="18"/>
      <c r="G811" s="17"/>
      <c r="H811" s="22"/>
    </row>
    <row r="812" spans="2:8" x14ac:dyDescent="0.25">
      <c r="B812" s="121" t="s">
        <v>402</v>
      </c>
      <c r="C812" s="122" t="s">
        <v>553</v>
      </c>
      <c r="D812" s="129"/>
      <c r="E812" s="12"/>
      <c r="F812" s="14"/>
      <c r="G812" s="26"/>
      <c r="H812" s="13"/>
    </row>
    <row r="813" spans="2:8" x14ac:dyDescent="0.25">
      <c r="B813" s="75" t="s">
        <v>15</v>
      </c>
      <c r="C813" s="107" t="s">
        <v>554</v>
      </c>
      <c r="D813" s="128"/>
      <c r="E813" s="126" t="s">
        <v>9</v>
      </c>
      <c r="F813" s="18"/>
      <c r="G813" s="24"/>
      <c r="H813" s="19" t="b">
        <f>IF(D815="x",H$2,H$1)</f>
        <v>0</v>
      </c>
    </row>
    <row r="814" spans="2:8" x14ac:dyDescent="0.25">
      <c r="B814" s="75" t="s">
        <v>15</v>
      </c>
      <c r="C814" s="107" t="s">
        <v>529</v>
      </c>
      <c r="D814" s="128"/>
      <c r="E814" s="126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 x14ac:dyDescent="0.25">
      <c r="B815" s="75" t="s">
        <v>15</v>
      </c>
      <c r="C815" s="107" t="s">
        <v>528</v>
      </c>
      <c r="D815" s="128"/>
      <c r="E815" s="126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5" t="s">
        <v>15</v>
      </c>
      <c r="C816" s="107" t="s">
        <v>527</v>
      </c>
      <c r="D816" s="128"/>
      <c r="E816" s="126" t="s">
        <v>12</v>
      </c>
      <c r="F816" s="18"/>
      <c r="G816" s="24"/>
      <c r="H816" s="22"/>
    </row>
    <row r="817" spans="2:8" x14ac:dyDescent="0.25">
      <c r="B817" s="100"/>
      <c r="C817" s="16" t="s">
        <v>539</v>
      </c>
      <c r="D817" s="128"/>
      <c r="E817" s="126" t="s">
        <v>13</v>
      </c>
      <c r="F817" s="18"/>
      <c r="G817" s="17"/>
      <c r="H817" s="22"/>
    </row>
    <row r="818" spans="2:8" x14ac:dyDescent="0.25">
      <c r="B818" s="121" t="s">
        <v>403</v>
      </c>
      <c r="C818" s="122" t="s">
        <v>555</v>
      </c>
      <c r="D818" s="129"/>
      <c r="E818" s="12"/>
      <c r="F818" s="14"/>
      <c r="G818" s="26"/>
      <c r="H818" s="13"/>
    </row>
    <row r="819" spans="2:8" x14ac:dyDescent="0.25">
      <c r="B819" s="75" t="s">
        <v>15</v>
      </c>
      <c r="C819" s="107" t="s">
        <v>422</v>
      </c>
      <c r="D819" s="128"/>
      <c r="E819" s="126" t="s">
        <v>9</v>
      </c>
      <c r="F819" s="18"/>
      <c r="G819" s="24"/>
      <c r="H819" s="19" t="b">
        <f>IF(D821="x",H$2,H$1)</f>
        <v>0</v>
      </c>
    </row>
    <row r="820" spans="2:8" x14ac:dyDescent="0.25">
      <c r="B820" s="75" t="s">
        <v>15</v>
      </c>
      <c r="C820" s="107" t="s">
        <v>462</v>
      </c>
      <c r="D820" s="128"/>
      <c r="E820" s="126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 x14ac:dyDescent="0.25">
      <c r="B821" s="75" t="s">
        <v>15</v>
      </c>
      <c r="C821" s="107" t="s">
        <v>418</v>
      </c>
      <c r="D821" s="128"/>
      <c r="E821" s="126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5" t="s">
        <v>15</v>
      </c>
      <c r="C822" s="107" t="s">
        <v>463</v>
      </c>
      <c r="D822" s="128"/>
      <c r="E822" s="126" t="s">
        <v>12</v>
      </c>
      <c r="F822" s="18"/>
      <c r="G822" s="24"/>
      <c r="H822" s="22"/>
    </row>
    <row r="823" spans="2:8" x14ac:dyDescent="0.25">
      <c r="B823" s="100"/>
      <c r="C823" s="16" t="s">
        <v>532</v>
      </c>
      <c r="D823" s="128"/>
      <c r="E823" s="126" t="s">
        <v>13</v>
      </c>
      <c r="F823" s="18"/>
      <c r="G823" s="17"/>
      <c r="H823" s="22"/>
    </row>
    <row r="824" spans="2:8" x14ac:dyDescent="0.25">
      <c r="B824" s="121" t="s">
        <v>404</v>
      </c>
      <c r="C824" s="122" t="s">
        <v>556</v>
      </c>
      <c r="D824" s="129"/>
      <c r="E824" s="12"/>
      <c r="F824" s="14"/>
      <c r="G824" s="26"/>
      <c r="H824" s="13"/>
    </row>
    <row r="825" spans="2:8" x14ac:dyDescent="0.25">
      <c r="B825" s="75" t="s">
        <v>15</v>
      </c>
      <c r="C825" s="107" t="s">
        <v>529</v>
      </c>
      <c r="D825" s="128"/>
      <c r="E825" s="126" t="s">
        <v>9</v>
      </c>
      <c r="F825" s="18"/>
      <c r="G825" s="24"/>
      <c r="H825" s="19" t="b">
        <f>IF(D825="x",H$2,H$1)</f>
        <v>0</v>
      </c>
    </row>
    <row r="826" spans="2:8" x14ac:dyDescent="0.25">
      <c r="B826" s="75" t="s">
        <v>15</v>
      </c>
      <c r="C826" s="107" t="s">
        <v>527</v>
      </c>
      <c r="D826" s="128"/>
      <c r="E826" s="126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 x14ac:dyDescent="0.25">
      <c r="B827" s="75" t="s">
        <v>15</v>
      </c>
      <c r="C827" s="107" t="s">
        <v>554</v>
      </c>
      <c r="D827" s="128"/>
      <c r="E827" s="126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5" t="s">
        <v>15</v>
      </c>
      <c r="C828" s="107" t="s">
        <v>528</v>
      </c>
      <c r="D828" s="128"/>
      <c r="E828" s="126" t="s">
        <v>12</v>
      </c>
      <c r="F828" s="18"/>
      <c r="G828" s="24"/>
      <c r="H828" s="22"/>
    </row>
    <row r="829" spans="2:8" x14ac:dyDescent="0.25">
      <c r="B829" s="100"/>
      <c r="C829" s="16" t="s">
        <v>539</v>
      </c>
      <c r="D829" s="128"/>
      <c r="E829" s="126" t="s">
        <v>13</v>
      </c>
      <c r="F829" s="18"/>
      <c r="G829" s="17"/>
      <c r="H829" s="22"/>
    </row>
    <row r="830" spans="2:8" x14ac:dyDescent="0.25">
      <c r="B830" s="121" t="s">
        <v>405</v>
      </c>
      <c r="C830" s="122" t="s">
        <v>557</v>
      </c>
      <c r="D830" s="129"/>
      <c r="E830" s="12"/>
      <c r="F830" s="14"/>
      <c r="G830" s="26"/>
      <c r="H830" s="13"/>
    </row>
    <row r="831" spans="2:8" x14ac:dyDescent="0.25">
      <c r="B831" s="75" t="s">
        <v>15</v>
      </c>
      <c r="C831" s="107" t="s">
        <v>490</v>
      </c>
      <c r="D831" s="128"/>
      <c r="E831" s="126" t="s">
        <v>9</v>
      </c>
      <c r="F831" s="18"/>
      <c r="G831" s="24"/>
      <c r="H831" s="19" t="b">
        <f>IF(D834="x",H$2,H$1)</f>
        <v>0</v>
      </c>
    </row>
    <row r="832" spans="2:8" x14ac:dyDescent="0.25">
      <c r="B832" s="75" t="s">
        <v>15</v>
      </c>
      <c r="C832" s="107" t="s">
        <v>491</v>
      </c>
      <c r="D832" s="128"/>
      <c r="E832" s="126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 x14ac:dyDescent="0.25">
      <c r="B833" s="75" t="s">
        <v>15</v>
      </c>
      <c r="C833" s="107" t="s">
        <v>492</v>
      </c>
      <c r="D833" s="128"/>
      <c r="E833" s="126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5" t="s">
        <v>15</v>
      </c>
      <c r="C834" s="107" t="s">
        <v>493</v>
      </c>
      <c r="D834" s="128"/>
      <c r="E834" s="126" t="s">
        <v>12</v>
      </c>
      <c r="F834" s="18"/>
      <c r="G834" s="24"/>
      <c r="H834" s="22"/>
    </row>
    <row r="835" spans="2:8" x14ac:dyDescent="0.25">
      <c r="B835" s="100"/>
      <c r="C835" s="16" t="s">
        <v>532</v>
      </c>
      <c r="D835" s="128"/>
      <c r="E835" s="126" t="s">
        <v>13</v>
      </c>
      <c r="F835" s="18"/>
      <c r="G835" s="17"/>
      <c r="H835" s="22"/>
    </row>
    <row r="836" spans="2:8" x14ac:dyDescent="0.25">
      <c r="B836" s="121" t="s">
        <v>406</v>
      </c>
      <c r="C836" s="122" t="s">
        <v>558</v>
      </c>
      <c r="D836" s="129"/>
      <c r="E836" s="12"/>
      <c r="F836" s="14"/>
      <c r="G836" s="26"/>
      <c r="H836" s="13"/>
    </row>
    <row r="837" spans="2:8" x14ac:dyDescent="0.25">
      <c r="B837" s="75" t="s">
        <v>15</v>
      </c>
      <c r="C837" s="107" t="s">
        <v>508</v>
      </c>
      <c r="D837" s="128"/>
      <c r="E837" s="126" t="s">
        <v>9</v>
      </c>
      <c r="F837" s="18"/>
      <c r="G837" s="24"/>
      <c r="H837" s="19" t="b">
        <f>IF(D839="x",H$2,H$1)</f>
        <v>0</v>
      </c>
    </row>
    <row r="838" spans="2:8" x14ac:dyDescent="0.25">
      <c r="B838" s="75" t="s">
        <v>15</v>
      </c>
      <c r="C838" s="107" t="s">
        <v>507</v>
      </c>
      <c r="D838" s="128"/>
      <c r="E838" s="126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 x14ac:dyDescent="0.25">
      <c r="B839" s="75" t="s">
        <v>15</v>
      </c>
      <c r="C839" s="107" t="s">
        <v>506</v>
      </c>
      <c r="D839" s="128"/>
      <c r="E839" s="126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5" t="s">
        <v>15</v>
      </c>
      <c r="C840" s="107" t="s">
        <v>509</v>
      </c>
      <c r="D840" s="128"/>
      <c r="E840" s="126" t="s">
        <v>12</v>
      </c>
      <c r="F840" s="18"/>
      <c r="G840" s="24"/>
      <c r="H840" s="22"/>
    </row>
    <row r="841" spans="2:8" x14ac:dyDescent="0.25">
      <c r="B841" s="100"/>
      <c r="C841" s="16" t="s">
        <v>532</v>
      </c>
      <c r="D841" s="128"/>
      <c r="E841" s="126" t="s">
        <v>13</v>
      </c>
      <c r="F841" s="18"/>
      <c r="G841" s="17"/>
      <c r="H841" s="22"/>
    </row>
    <row r="842" spans="2:8" ht="31.5" x14ac:dyDescent="0.25">
      <c r="B842" s="121" t="s">
        <v>407</v>
      </c>
      <c r="C842" s="130" t="s">
        <v>559</v>
      </c>
      <c r="D842" s="129"/>
      <c r="E842" s="12"/>
      <c r="F842" s="14"/>
      <c r="G842" s="26"/>
      <c r="H842" s="13"/>
    </row>
    <row r="843" spans="2:8" x14ac:dyDescent="0.25">
      <c r="B843" s="75" t="s">
        <v>15</v>
      </c>
      <c r="C843" s="107" t="s">
        <v>465</v>
      </c>
      <c r="D843" s="128"/>
      <c r="E843" s="126" t="s">
        <v>9</v>
      </c>
      <c r="F843" s="18"/>
      <c r="G843" s="24"/>
      <c r="H843" s="19" t="b">
        <f>IF(D843="x",H$2,H$1)</f>
        <v>0</v>
      </c>
    </row>
    <row r="844" spans="2:8" x14ac:dyDescent="0.25">
      <c r="B844" s="75" t="s">
        <v>15</v>
      </c>
      <c r="C844" s="107" t="s">
        <v>560</v>
      </c>
      <c r="D844" s="128"/>
      <c r="E844" s="126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 x14ac:dyDescent="0.25">
      <c r="B845" s="75" t="s">
        <v>15</v>
      </c>
      <c r="C845" s="107" t="s">
        <v>561</v>
      </c>
      <c r="D845" s="128"/>
      <c r="E845" s="126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5" t="s">
        <v>15</v>
      </c>
      <c r="C846" s="107" t="s">
        <v>562</v>
      </c>
      <c r="D846" s="128"/>
      <c r="E846" s="126" t="s">
        <v>12</v>
      </c>
      <c r="F846" s="18"/>
      <c r="G846" s="24"/>
      <c r="H846" s="22"/>
    </row>
    <row r="847" spans="2:8" x14ac:dyDescent="0.25">
      <c r="B847" s="100"/>
      <c r="C847" s="16" t="s">
        <v>532</v>
      </c>
      <c r="D847" s="128"/>
      <c r="E847" s="126" t="s">
        <v>13</v>
      </c>
      <c r="F847" s="18"/>
      <c r="G847" s="17"/>
      <c r="H847" s="22"/>
    </row>
    <row r="848" spans="2:8" x14ac:dyDescent="0.25">
      <c r="B848" s="121" t="s">
        <v>408</v>
      </c>
      <c r="C848" s="122" t="s">
        <v>563</v>
      </c>
      <c r="D848" s="129"/>
      <c r="E848" s="12"/>
      <c r="F848" s="14"/>
      <c r="G848" s="26"/>
      <c r="H848" s="13"/>
    </row>
    <row r="849" spans="2:8" x14ac:dyDescent="0.25">
      <c r="B849" s="75" t="s">
        <v>15</v>
      </c>
      <c r="C849" s="107" t="s">
        <v>507</v>
      </c>
      <c r="D849" s="128"/>
      <c r="E849" s="126" t="s">
        <v>9</v>
      </c>
      <c r="F849" s="18"/>
      <c r="G849" s="24"/>
      <c r="H849" s="19" t="b">
        <f>IF(D850="x",H$2,H$1)</f>
        <v>0</v>
      </c>
    </row>
    <row r="850" spans="2:8" x14ac:dyDescent="0.25">
      <c r="B850" s="75" t="s">
        <v>15</v>
      </c>
      <c r="C850" s="107" t="s">
        <v>509</v>
      </c>
      <c r="D850" s="128"/>
      <c r="E850" s="126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 x14ac:dyDescent="0.25">
      <c r="B851" s="75" t="s">
        <v>15</v>
      </c>
      <c r="C851" s="107" t="s">
        <v>506</v>
      </c>
      <c r="D851" s="128"/>
      <c r="E851" s="126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5" t="s">
        <v>15</v>
      </c>
      <c r="C852" s="107" t="s">
        <v>508</v>
      </c>
      <c r="D852" s="128"/>
      <c r="E852" s="126" t="s">
        <v>12</v>
      </c>
      <c r="F852" s="18"/>
      <c r="G852" s="24"/>
      <c r="H852" s="22"/>
    </row>
    <row r="853" spans="2:8" x14ac:dyDescent="0.25">
      <c r="B853" s="100"/>
      <c r="C853" s="16" t="s">
        <v>539</v>
      </c>
      <c r="D853" s="128"/>
      <c r="E853" s="126" t="s">
        <v>13</v>
      </c>
      <c r="F853" s="18"/>
      <c r="G853" s="17"/>
      <c r="H853" s="22"/>
    </row>
    <row r="854" spans="2:8" x14ac:dyDescent="0.25">
      <c r="B854" s="42"/>
      <c r="C854" s="5"/>
      <c r="D854" s="5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0"/>
      <c r="C856" s="16"/>
      <c r="D856" s="48"/>
      <c r="E856" s="54"/>
      <c r="F856" s="18"/>
      <c r="G856" s="17"/>
      <c r="H856" s="22"/>
    </row>
    <row r="857" spans="2:8" x14ac:dyDescent="0.25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39"/>
      <c r="E858" s="139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 x14ac:dyDescent="0.3">
      <c r="B859" s="64"/>
      <c r="C859" s="65"/>
      <c r="D859" s="31"/>
      <c r="E859" s="9"/>
      <c r="F859" s="32" t="str">
        <f>IF(F858&gt;G858,G857,H857)</f>
        <v>APROBADO</v>
      </c>
      <c r="G859" s="17"/>
      <c r="H859" s="17"/>
    </row>
    <row r="860" spans="2:8" ht="28.5" x14ac:dyDescent="0.45">
      <c r="B860" s="59" t="s">
        <v>31</v>
      </c>
      <c r="C860" s="132" t="s">
        <v>564</v>
      </c>
      <c r="D860" s="132"/>
      <c r="E860" s="132"/>
      <c r="F860" s="133"/>
    </row>
    <row r="861" spans="2:8" x14ac:dyDescent="0.25">
      <c r="B861" s="115" t="s">
        <v>17</v>
      </c>
      <c r="C861" s="122" t="s">
        <v>565</v>
      </c>
      <c r="D861" s="129"/>
      <c r="E861" s="12"/>
      <c r="F861" s="14"/>
      <c r="G861" s="26"/>
      <c r="H861" s="13"/>
    </row>
    <row r="862" spans="2:8" x14ac:dyDescent="0.25">
      <c r="B862" s="75" t="s">
        <v>15</v>
      </c>
      <c r="C862" s="107" t="s">
        <v>566</v>
      </c>
      <c r="D862" s="135"/>
      <c r="E862" s="131" t="s">
        <v>9</v>
      </c>
      <c r="F862" s="18"/>
      <c r="G862" s="24"/>
      <c r="H862" s="19" t="b">
        <f>IF(D865="x",H$2,H$1)</f>
        <v>0</v>
      </c>
    </row>
    <row r="863" spans="2:8" x14ac:dyDescent="0.25">
      <c r="B863" s="75" t="s">
        <v>15</v>
      </c>
      <c r="C863" s="107" t="s">
        <v>567</v>
      </c>
      <c r="D863" s="128"/>
      <c r="E863" s="131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 x14ac:dyDescent="0.25">
      <c r="B864" s="75" t="s">
        <v>15</v>
      </c>
      <c r="C864" s="107" t="s">
        <v>568</v>
      </c>
      <c r="D864" s="128"/>
      <c r="E864" s="131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 x14ac:dyDescent="0.25">
      <c r="B865" s="75" t="s">
        <v>15</v>
      </c>
      <c r="C865" s="107" t="s">
        <v>272</v>
      </c>
      <c r="D865" s="135"/>
      <c r="E865" s="131" t="s">
        <v>12</v>
      </c>
      <c r="F865" s="18"/>
      <c r="G865" s="24"/>
      <c r="H865" s="22"/>
    </row>
    <row r="866" spans="2:8" x14ac:dyDescent="0.25">
      <c r="B866" s="42"/>
      <c r="C866" s="16"/>
      <c r="D866" s="128"/>
      <c r="E866" s="131" t="s">
        <v>13</v>
      </c>
      <c r="F866" s="18"/>
      <c r="G866" s="17"/>
      <c r="H866" s="22"/>
    </row>
    <row r="867" spans="2:8" x14ac:dyDescent="0.25">
      <c r="B867" s="121" t="s">
        <v>16</v>
      </c>
      <c r="C867" s="122" t="s">
        <v>329</v>
      </c>
      <c r="D867" s="129"/>
      <c r="E867" s="12"/>
      <c r="F867" s="14"/>
      <c r="G867" s="26"/>
      <c r="H867" s="13"/>
    </row>
    <row r="868" spans="2:8" x14ac:dyDescent="0.25">
      <c r="B868" s="75" t="s">
        <v>15</v>
      </c>
      <c r="C868" s="107" t="s">
        <v>333</v>
      </c>
      <c r="D868" s="128"/>
      <c r="E868" s="131" t="s">
        <v>9</v>
      </c>
      <c r="F868" s="18"/>
      <c r="G868" s="24"/>
      <c r="H868" s="19" t="b">
        <f>IF(D871="x",H$2,H$1)</f>
        <v>0</v>
      </c>
    </row>
    <row r="869" spans="2:8" x14ac:dyDescent="0.25">
      <c r="B869" s="75" t="s">
        <v>15</v>
      </c>
      <c r="C869" s="107" t="s">
        <v>331</v>
      </c>
      <c r="D869" s="128"/>
      <c r="E869" s="131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 x14ac:dyDescent="0.25">
      <c r="B870" s="75" t="s">
        <v>15</v>
      </c>
      <c r="C870" s="107" t="s">
        <v>330</v>
      </c>
      <c r="D870" s="128"/>
      <c r="E870" s="131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5" t="s">
        <v>15</v>
      </c>
      <c r="C871" s="107" t="s">
        <v>332</v>
      </c>
      <c r="D871" s="128"/>
      <c r="E871" s="131" t="s">
        <v>12</v>
      </c>
      <c r="F871" s="18"/>
      <c r="G871" s="24"/>
      <c r="H871" s="22"/>
    </row>
    <row r="872" spans="2:8" x14ac:dyDescent="0.25">
      <c r="B872" s="75"/>
      <c r="C872" s="16"/>
      <c r="D872" s="128"/>
      <c r="E872" s="131" t="s">
        <v>13</v>
      </c>
      <c r="F872" s="18"/>
      <c r="G872" s="17"/>
      <c r="H872" s="22"/>
    </row>
    <row r="873" spans="2:8" x14ac:dyDescent="0.25">
      <c r="B873" s="121" t="s">
        <v>18</v>
      </c>
      <c r="C873" s="122" t="s">
        <v>569</v>
      </c>
      <c r="D873" s="129"/>
      <c r="E873" s="12"/>
      <c r="F873" s="14"/>
      <c r="G873" s="26"/>
      <c r="H873" s="13"/>
    </row>
    <row r="874" spans="2:8" x14ac:dyDescent="0.25">
      <c r="B874" s="75" t="s">
        <v>15</v>
      </c>
      <c r="C874" s="107" t="s">
        <v>292</v>
      </c>
      <c r="D874" s="128"/>
      <c r="E874" s="131" t="s">
        <v>9</v>
      </c>
      <c r="F874" s="18"/>
      <c r="G874" s="24"/>
      <c r="H874" s="19" t="b">
        <f>IF(D876="x",H$2,H$1)</f>
        <v>0</v>
      </c>
    </row>
    <row r="875" spans="2:8" x14ac:dyDescent="0.25">
      <c r="B875" s="75" t="s">
        <v>15</v>
      </c>
      <c r="C875" s="107" t="s">
        <v>570</v>
      </c>
      <c r="D875" s="128"/>
      <c r="E875" s="131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 x14ac:dyDescent="0.25">
      <c r="B876" s="75" t="s">
        <v>15</v>
      </c>
      <c r="C876" s="107" t="s">
        <v>571</v>
      </c>
      <c r="D876" s="135"/>
      <c r="E876" s="131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 x14ac:dyDescent="0.25">
      <c r="B877" s="75" t="s">
        <v>15</v>
      </c>
      <c r="C877" s="107" t="s">
        <v>572</v>
      </c>
      <c r="D877" s="128"/>
      <c r="E877" s="131" t="s">
        <v>12</v>
      </c>
      <c r="F877" s="18"/>
      <c r="G877" s="24"/>
      <c r="H877" s="22"/>
    </row>
    <row r="878" spans="2:8" x14ac:dyDescent="0.25">
      <c r="B878" s="75"/>
      <c r="C878" s="16"/>
      <c r="D878" s="128"/>
      <c r="E878" s="131" t="s">
        <v>13</v>
      </c>
      <c r="F878" s="18"/>
      <c r="G878" s="17"/>
      <c r="H878" s="22"/>
    </row>
    <row r="879" spans="2:8" x14ac:dyDescent="0.25">
      <c r="B879" s="121" t="s">
        <v>19</v>
      </c>
      <c r="C879" s="122" t="s">
        <v>573</v>
      </c>
      <c r="D879" s="129"/>
      <c r="E879" s="12"/>
      <c r="F879" s="14"/>
      <c r="G879" s="26"/>
      <c r="H879" s="13"/>
    </row>
    <row r="880" spans="2:8" x14ac:dyDescent="0.25">
      <c r="B880" s="75" t="s">
        <v>15</v>
      </c>
      <c r="C880" s="107" t="s">
        <v>574</v>
      </c>
      <c r="D880" s="128"/>
      <c r="E880" s="131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5" t="s">
        <v>15</v>
      </c>
      <c r="C881" s="107" t="s">
        <v>575</v>
      </c>
      <c r="D881" s="128"/>
      <c r="E881" s="131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 x14ac:dyDescent="0.25">
      <c r="B882" s="75" t="s">
        <v>15</v>
      </c>
      <c r="C882" s="107" t="s">
        <v>576</v>
      </c>
      <c r="D882" s="128"/>
      <c r="E882" s="131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5" t="s">
        <v>15</v>
      </c>
      <c r="C883" s="107" t="s">
        <v>577</v>
      </c>
      <c r="D883" s="128"/>
      <c r="E883" s="131" t="s">
        <v>12</v>
      </c>
      <c r="F883" s="18"/>
      <c r="G883" s="24"/>
      <c r="H883" s="22"/>
    </row>
    <row r="884" spans="2:8" x14ac:dyDescent="0.25">
      <c r="B884" s="75"/>
      <c r="C884" s="16"/>
      <c r="D884" s="128"/>
      <c r="E884" s="131" t="s">
        <v>13</v>
      </c>
      <c r="F884" s="18"/>
      <c r="G884" s="17"/>
      <c r="H884" s="22"/>
    </row>
    <row r="885" spans="2:8" x14ac:dyDescent="0.25">
      <c r="B885" s="121" t="s">
        <v>20</v>
      </c>
      <c r="C885" s="122" t="s">
        <v>579</v>
      </c>
      <c r="D885" s="129"/>
      <c r="E885" s="12"/>
      <c r="F885" s="14"/>
      <c r="G885" s="26"/>
      <c r="H885" s="13"/>
    </row>
    <row r="886" spans="2:8" x14ac:dyDescent="0.25">
      <c r="B886" s="75" t="s">
        <v>15</v>
      </c>
      <c r="C886" s="107" t="s">
        <v>581</v>
      </c>
      <c r="D886" s="128"/>
      <c r="E886" s="131" t="s">
        <v>9</v>
      </c>
      <c r="F886" s="18"/>
      <c r="G886" s="24"/>
      <c r="H886" s="19" t="b">
        <f>IF(D886="x",H$2,H$1)</f>
        <v>0</v>
      </c>
    </row>
    <row r="887" spans="2:8" x14ac:dyDescent="0.25">
      <c r="B887" s="75" t="s">
        <v>15</v>
      </c>
      <c r="C887" s="107" t="s">
        <v>582</v>
      </c>
      <c r="D887" s="128"/>
      <c r="E887" s="131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 x14ac:dyDescent="0.25">
      <c r="B888" s="75" t="s">
        <v>15</v>
      </c>
      <c r="C888" s="107" t="s">
        <v>580</v>
      </c>
      <c r="D888" s="128"/>
      <c r="E888" s="131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5" t="s">
        <v>15</v>
      </c>
      <c r="C889" s="107" t="s">
        <v>583</v>
      </c>
      <c r="D889" s="128"/>
      <c r="E889" s="131" t="s">
        <v>12</v>
      </c>
      <c r="F889" s="18"/>
      <c r="G889" s="24"/>
      <c r="H889" s="22"/>
    </row>
    <row r="890" spans="2:8" x14ac:dyDescent="0.25">
      <c r="B890" s="75"/>
      <c r="C890" s="16"/>
      <c r="D890" s="128"/>
      <c r="E890" s="131" t="s">
        <v>13</v>
      </c>
      <c r="F890" s="18"/>
      <c r="G890" s="17"/>
      <c r="H890" s="22"/>
    </row>
    <row r="891" spans="2:8" x14ac:dyDescent="0.25">
      <c r="B891" s="121" t="s">
        <v>21</v>
      </c>
      <c r="C891" s="122" t="s">
        <v>584</v>
      </c>
      <c r="D891" s="129"/>
      <c r="E891" s="12"/>
      <c r="F891" s="14"/>
      <c r="G891" s="26"/>
      <c r="H891" s="13"/>
    </row>
    <row r="892" spans="2:8" x14ac:dyDescent="0.25">
      <c r="B892" s="75" t="s">
        <v>15</v>
      </c>
      <c r="C892" s="107" t="s">
        <v>585</v>
      </c>
      <c r="D892" s="128"/>
      <c r="E892" s="131" t="s">
        <v>9</v>
      </c>
      <c r="F892" s="18"/>
      <c r="G892" s="24"/>
      <c r="H892" s="19" t="b">
        <f>IF(D893="x",H$2,H$1)</f>
        <v>0</v>
      </c>
    </row>
    <row r="893" spans="2:8" x14ac:dyDescent="0.25">
      <c r="B893" s="75" t="s">
        <v>15</v>
      </c>
      <c r="C893" s="107" t="s">
        <v>586</v>
      </c>
      <c r="D893" s="128"/>
      <c r="E893" s="131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 x14ac:dyDescent="0.25">
      <c r="B894" s="75" t="s">
        <v>15</v>
      </c>
      <c r="C894" s="107" t="s">
        <v>587</v>
      </c>
      <c r="D894" s="128"/>
      <c r="E894" s="131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5" t="s">
        <v>15</v>
      </c>
      <c r="C895" s="107" t="s">
        <v>588</v>
      </c>
      <c r="D895" s="128"/>
      <c r="E895" s="131" t="s">
        <v>12</v>
      </c>
      <c r="F895" s="18"/>
      <c r="G895" s="24"/>
      <c r="H895" s="22"/>
    </row>
    <row r="896" spans="2:8" x14ac:dyDescent="0.25">
      <c r="B896" s="42"/>
      <c r="C896" s="16"/>
      <c r="D896" s="128"/>
      <c r="E896" s="131" t="s">
        <v>13</v>
      </c>
      <c r="F896" s="18"/>
      <c r="G896" s="17"/>
      <c r="H896" s="22"/>
    </row>
    <row r="897" spans="2:8" x14ac:dyDescent="0.25">
      <c r="B897" s="121" t="s">
        <v>22</v>
      </c>
      <c r="C897" s="122" t="s">
        <v>578</v>
      </c>
      <c r="D897" s="129"/>
      <c r="E897" s="12"/>
      <c r="F897" s="14"/>
      <c r="G897" s="26"/>
      <c r="H897" s="13"/>
    </row>
    <row r="898" spans="2:8" x14ac:dyDescent="0.25">
      <c r="B898" s="75" t="s">
        <v>15</v>
      </c>
      <c r="C898" s="107" t="s">
        <v>352</v>
      </c>
      <c r="D898" s="128"/>
      <c r="E898" s="131" t="s">
        <v>9</v>
      </c>
      <c r="F898" s="18"/>
      <c r="G898" s="24"/>
      <c r="H898" s="19" t="b">
        <f>IF(D901="x",H$2,H$1)</f>
        <v>0</v>
      </c>
    </row>
    <row r="899" spans="2:8" x14ac:dyDescent="0.25">
      <c r="B899" s="75" t="s">
        <v>15</v>
      </c>
      <c r="C899" s="107" t="s">
        <v>351</v>
      </c>
      <c r="D899" s="128"/>
      <c r="E899" s="131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 x14ac:dyDescent="0.25">
      <c r="B900" s="75" t="s">
        <v>15</v>
      </c>
      <c r="C900" s="107" t="s">
        <v>350</v>
      </c>
      <c r="D900" s="128"/>
      <c r="E900" s="131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5" t="s">
        <v>15</v>
      </c>
      <c r="C901" s="107" t="s">
        <v>353</v>
      </c>
      <c r="D901" s="128"/>
      <c r="E901" s="131" t="s">
        <v>12</v>
      </c>
      <c r="F901" s="18"/>
      <c r="G901" s="24"/>
      <c r="H901" s="22"/>
    </row>
    <row r="902" spans="2:8" x14ac:dyDescent="0.25">
      <c r="B902" s="42"/>
      <c r="C902" s="16"/>
      <c r="D902" s="128"/>
      <c r="E902" s="131" t="s">
        <v>13</v>
      </c>
      <c r="F902" s="18"/>
      <c r="G902" s="17"/>
      <c r="H902" s="22"/>
    </row>
    <row r="903" spans="2:8" x14ac:dyDescent="0.25">
      <c r="B903" s="121" t="s">
        <v>23</v>
      </c>
      <c r="C903" s="122" t="s">
        <v>589</v>
      </c>
      <c r="D903" s="129"/>
      <c r="E903" s="12"/>
      <c r="F903" s="12"/>
      <c r="G903" s="26"/>
      <c r="H903" s="13"/>
    </row>
    <row r="904" spans="2:8" x14ac:dyDescent="0.25">
      <c r="B904" s="75" t="s">
        <v>15</v>
      </c>
      <c r="C904" s="107" t="s">
        <v>292</v>
      </c>
      <c r="D904" s="128"/>
      <c r="E904" s="131" t="s">
        <v>9</v>
      </c>
      <c r="F904" s="18"/>
      <c r="G904" s="24"/>
      <c r="H904" s="19" t="b">
        <f>IF(D906="x",H$2,H$1)</f>
        <v>0</v>
      </c>
    </row>
    <row r="905" spans="2:8" x14ac:dyDescent="0.25">
      <c r="B905" s="75" t="s">
        <v>15</v>
      </c>
      <c r="C905" s="107" t="s">
        <v>590</v>
      </c>
      <c r="D905" s="128"/>
      <c r="E905" s="131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 x14ac:dyDescent="0.25">
      <c r="B906" s="75" t="s">
        <v>15</v>
      </c>
      <c r="C906" s="107" t="s">
        <v>591</v>
      </c>
      <c r="D906" s="128"/>
      <c r="E906" s="131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5" t="s">
        <v>15</v>
      </c>
      <c r="C907" s="107" t="s">
        <v>592</v>
      </c>
      <c r="D907" s="128"/>
      <c r="E907" s="131" t="s">
        <v>12</v>
      </c>
      <c r="F907" s="18"/>
      <c r="G907" s="24"/>
      <c r="H907" s="22"/>
    </row>
    <row r="908" spans="2:8" x14ac:dyDescent="0.25">
      <c r="B908" s="100"/>
      <c r="C908" s="16"/>
      <c r="D908" s="128"/>
      <c r="E908" s="131" t="s">
        <v>13</v>
      </c>
      <c r="F908" s="18"/>
      <c r="G908" s="17"/>
      <c r="H908" s="22"/>
    </row>
    <row r="909" spans="2:8" x14ac:dyDescent="0.25">
      <c r="B909" s="100"/>
      <c r="C909" s="122"/>
      <c r="E909" s="131"/>
      <c r="F909" s="18"/>
      <c r="G909" s="17"/>
      <c r="H909" s="22"/>
    </row>
    <row r="910" spans="2:8" x14ac:dyDescent="0.25">
      <c r="B910" s="121" t="s">
        <v>27</v>
      </c>
      <c r="C910" s="107" t="s">
        <v>593</v>
      </c>
      <c r="D910" s="129"/>
      <c r="E910" s="12"/>
      <c r="F910" s="14"/>
      <c r="G910" s="26"/>
      <c r="H910" s="13"/>
    </row>
    <row r="911" spans="2:8" x14ac:dyDescent="0.25">
      <c r="B911" s="75" t="s">
        <v>15</v>
      </c>
      <c r="C911" s="107" t="s">
        <v>292</v>
      </c>
      <c r="D911" s="128"/>
      <c r="E911" s="131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5" t="s">
        <v>15</v>
      </c>
      <c r="C912" s="107" t="s">
        <v>594</v>
      </c>
      <c r="D912" s="128"/>
      <c r="E912" s="131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 x14ac:dyDescent="0.25">
      <c r="B913" s="75" t="s">
        <v>15</v>
      </c>
      <c r="C913" s="107" t="s">
        <v>595</v>
      </c>
      <c r="D913" s="128"/>
      <c r="E913" s="131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5" t="s">
        <v>15</v>
      </c>
      <c r="C914" s="16" t="s">
        <v>596</v>
      </c>
      <c r="D914" s="128"/>
      <c r="E914" s="131" t="s">
        <v>12</v>
      </c>
      <c r="F914" s="18"/>
      <c r="G914" s="24"/>
      <c r="H914" s="22"/>
    </row>
    <row r="915" spans="2:8" x14ac:dyDescent="0.25">
      <c r="B915" s="100"/>
      <c r="C915" s="16"/>
      <c r="D915" s="128"/>
      <c r="E915" s="131" t="s">
        <v>13</v>
      </c>
      <c r="F915" s="18"/>
      <c r="G915" s="17"/>
      <c r="H915" s="22"/>
    </row>
    <row r="916" spans="2:8" x14ac:dyDescent="0.25">
      <c r="B916" s="100"/>
      <c r="E916" s="131"/>
      <c r="F916" s="18"/>
      <c r="G916" s="17"/>
      <c r="H916" s="22"/>
    </row>
    <row r="917" spans="2:8" ht="17.25" x14ac:dyDescent="0.25">
      <c r="B917" s="121" t="s">
        <v>25</v>
      </c>
      <c r="C917" s="122" t="s">
        <v>597</v>
      </c>
      <c r="D917" s="129"/>
      <c r="E917" s="12"/>
      <c r="F917" s="14"/>
      <c r="G917" s="26"/>
      <c r="H917" s="13"/>
    </row>
    <row r="918" spans="2:8" x14ac:dyDescent="0.25">
      <c r="B918" s="75" t="s">
        <v>15</v>
      </c>
      <c r="C918" s="107" t="s">
        <v>356</v>
      </c>
      <c r="D918" s="128"/>
      <c r="E918" s="131" t="s">
        <v>9</v>
      </c>
      <c r="F918" s="18"/>
      <c r="G918" s="24"/>
      <c r="H918" s="19" t="b">
        <f>IF(D919="x",H$2,H$1)</f>
        <v>0</v>
      </c>
    </row>
    <row r="919" spans="2:8" x14ac:dyDescent="0.25">
      <c r="B919" s="75" t="s">
        <v>15</v>
      </c>
      <c r="C919" s="107" t="s">
        <v>357</v>
      </c>
      <c r="D919" s="128"/>
      <c r="E919" s="131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 x14ac:dyDescent="0.25">
      <c r="B920" s="75" t="s">
        <v>15</v>
      </c>
      <c r="C920" s="107" t="s">
        <v>358</v>
      </c>
      <c r="D920" s="128"/>
      <c r="E920" s="131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5" t="s">
        <v>15</v>
      </c>
      <c r="C921" s="107" t="s">
        <v>355</v>
      </c>
      <c r="D921" s="128"/>
      <c r="E921" s="131" t="s">
        <v>12</v>
      </c>
      <c r="F921" s="18"/>
      <c r="G921" s="24"/>
      <c r="H921" s="22"/>
    </row>
    <row r="922" spans="2:8" x14ac:dyDescent="0.25">
      <c r="B922" s="100"/>
      <c r="C922" s="16"/>
      <c r="D922" s="128"/>
      <c r="E922" s="131" t="s">
        <v>13</v>
      </c>
      <c r="F922" s="18"/>
      <c r="G922" s="17"/>
      <c r="H922" s="22"/>
    </row>
    <row r="923" spans="2:8" x14ac:dyDescent="0.25">
      <c r="B923" s="121" t="s">
        <v>366</v>
      </c>
      <c r="C923" s="122" t="s">
        <v>598</v>
      </c>
      <c r="D923" s="129"/>
      <c r="E923" s="12"/>
      <c r="F923" s="14"/>
      <c r="G923" s="26"/>
      <c r="H923" s="13"/>
    </row>
    <row r="924" spans="2:8" ht="110.25" x14ac:dyDescent="0.25">
      <c r="B924" s="75" t="s">
        <v>15</v>
      </c>
      <c r="C924" s="107" t="s">
        <v>601</v>
      </c>
      <c r="D924" s="128"/>
      <c r="E924" s="131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5" t="s">
        <v>15</v>
      </c>
      <c r="C925" s="107" t="s">
        <v>599</v>
      </c>
      <c r="D925" s="128"/>
      <c r="E925" s="131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 x14ac:dyDescent="0.25">
      <c r="B926" s="75" t="s">
        <v>15</v>
      </c>
      <c r="C926" s="107" t="s">
        <v>600</v>
      </c>
      <c r="D926" s="128"/>
      <c r="E926" s="131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5" t="s">
        <v>15</v>
      </c>
      <c r="C927" s="107" t="s">
        <v>602</v>
      </c>
      <c r="D927" s="128"/>
      <c r="E927" s="131" t="s">
        <v>12</v>
      </c>
      <c r="F927" s="18"/>
      <c r="G927" s="24"/>
      <c r="H927" s="22"/>
    </row>
    <row r="928" spans="2:8" x14ac:dyDescent="0.25">
      <c r="B928" s="100"/>
      <c r="C928" s="16"/>
      <c r="D928" s="128"/>
      <c r="E928" s="131" t="s">
        <v>13</v>
      </c>
      <c r="F928" s="18"/>
      <c r="G928" s="17"/>
      <c r="H928" s="22"/>
    </row>
    <row r="929" spans="2:8" x14ac:dyDescent="0.25">
      <c r="B929" s="121" t="s">
        <v>367</v>
      </c>
      <c r="C929" s="122" t="s">
        <v>603</v>
      </c>
      <c r="D929" s="129"/>
      <c r="E929" s="12"/>
      <c r="F929" s="14"/>
      <c r="G929" s="26"/>
      <c r="H929" s="13"/>
    </row>
    <row r="930" spans="2:8" x14ac:dyDescent="0.25">
      <c r="B930" s="75" t="s">
        <v>15</v>
      </c>
      <c r="C930" s="107" t="s">
        <v>328</v>
      </c>
      <c r="D930" s="128"/>
      <c r="E930" s="131" t="s">
        <v>9</v>
      </c>
      <c r="F930" s="18"/>
      <c r="G930" s="24"/>
      <c r="H930" s="19" t="b">
        <f>IF(D933="x",H$2,H$1)</f>
        <v>0</v>
      </c>
    </row>
    <row r="931" spans="2:8" x14ac:dyDescent="0.25">
      <c r="B931" s="75" t="s">
        <v>15</v>
      </c>
      <c r="C931" s="107" t="s">
        <v>325</v>
      </c>
      <c r="D931" s="128"/>
      <c r="E931" s="131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 x14ac:dyDescent="0.25">
      <c r="B932" s="75" t="s">
        <v>15</v>
      </c>
      <c r="C932" s="107" t="s">
        <v>326</v>
      </c>
      <c r="D932" s="128"/>
      <c r="E932" s="131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5" t="s">
        <v>15</v>
      </c>
      <c r="C933" s="107" t="s">
        <v>327</v>
      </c>
      <c r="D933" s="128"/>
      <c r="E933" s="131" t="s">
        <v>12</v>
      </c>
      <c r="F933" s="18"/>
      <c r="G933" s="24"/>
      <c r="H933" s="22"/>
    </row>
    <row r="934" spans="2:8" x14ac:dyDescent="0.25">
      <c r="B934" s="100"/>
      <c r="C934" s="16"/>
      <c r="D934" s="128"/>
      <c r="E934" s="131" t="s">
        <v>13</v>
      </c>
      <c r="F934" s="18"/>
      <c r="G934" s="17"/>
      <c r="H934" s="22"/>
    </row>
    <row r="935" spans="2:8" ht="17.25" x14ac:dyDescent="0.25">
      <c r="B935" s="121" t="s">
        <v>368</v>
      </c>
      <c r="C935" s="122" t="s">
        <v>604</v>
      </c>
      <c r="D935" s="129"/>
      <c r="E935" s="12"/>
      <c r="F935" s="14"/>
      <c r="G935" s="26"/>
      <c r="H935" s="13"/>
    </row>
    <row r="936" spans="2:8" x14ac:dyDescent="0.25">
      <c r="B936" s="75" t="s">
        <v>15</v>
      </c>
      <c r="C936" s="107" t="s">
        <v>605</v>
      </c>
      <c r="D936" s="128"/>
      <c r="E936" s="131" t="s">
        <v>9</v>
      </c>
      <c r="F936" s="18"/>
      <c r="G936" s="24"/>
      <c r="H936" s="19" t="b">
        <f>IF(D937="x",H$2,H$1)</f>
        <v>0</v>
      </c>
    </row>
    <row r="937" spans="2:8" x14ac:dyDescent="0.25">
      <c r="B937" s="75" t="s">
        <v>15</v>
      </c>
      <c r="C937" s="107" t="s">
        <v>606</v>
      </c>
      <c r="D937" s="128"/>
      <c r="E937" s="131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 x14ac:dyDescent="0.25">
      <c r="B938" s="75" t="s">
        <v>15</v>
      </c>
      <c r="C938" s="107" t="s">
        <v>607</v>
      </c>
      <c r="D938" s="128"/>
      <c r="E938" s="131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5" t="s">
        <v>15</v>
      </c>
      <c r="C939" s="107" t="s">
        <v>608</v>
      </c>
      <c r="D939" s="128"/>
      <c r="E939" s="131" t="s">
        <v>12</v>
      </c>
      <c r="F939" s="18"/>
      <c r="G939" s="24"/>
      <c r="H939" s="22"/>
    </row>
    <row r="940" spans="2:8" x14ac:dyDescent="0.25">
      <c r="B940" s="100"/>
      <c r="C940" s="16"/>
      <c r="D940" s="128"/>
      <c r="E940" s="131" t="s">
        <v>13</v>
      </c>
      <c r="F940" s="18"/>
      <c r="G940" s="17"/>
      <c r="H940" s="22"/>
    </row>
    <row r="941" spans="2:8" x14ac:dyDescent="0.25">
      <c r="B941" s="121" t="s">
        <v>369</v>
      </c>
      <c r="C941" s="122" t="s">
        <v>334</v>
      </c>
      <c r="D941" s="129"/>
      <c r="E941" s="12"/>
      <c r="F941" s="14"/>
      <c r="G941" s="26"/>
      <c r="H941" s="13"/>
    </row>
    <row r="942" spans="2:8" x14ac:dyDescent="0.25">
      <c r="B942" s="75" t="s">
        <v>15</v>
      </c>
      <c r="C942" s="107" t="s">
        <v>338</v>
      </c>
      <c r="D942" s="128"/>
      <c r="E942" s="131" t="s">
        <v>9</v>
      </c>
      <c r="F942" s="18"/>
      <c r="G942" s="24"/>
      <c r="H942" s="19" t="b">
        <f>IF(D942="x",H$2,H$1)</f>
        <v>0</v>
      </c>
    </row>
    <row r="943" spans="2:8" x14ac:dyDescent="0.25">
      <c r="B943" s="75" t="s">
        <v>15</v>
      </c>
      <c r="C943" s="107" t="s">
        <v>337</v>
      </c>
      <c r="D943" s="128"/>
      <c r="E943" s="131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 x14ac:dyDescent="0.25">
      <c r="B944" s="75" t="s">
        <v>15</v>
      </c>
      <c r="C944" s="107" t="s">
        <v>336</v>
      </c>
      <c r="D944" s="128"/>
      <c r="E944" s="131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5" t="s">
        <v>15</v>
      </c>
      <c r="C945" s="107" t="s">
        <v>335</v>
      </c>
      <c r="D945" s="128"/>
      <c r="E945" s="131" t="s">
        <v>12</v>
      </c>
      <c r="F945" s="18"/>
      <c r="G945" s="24"/>
      <c r="H945" s="22"/>
    </row>
    <row r="946" spans="2:8" x14ac:dyDescent="0.25">
      <c r="B946" s="100"/>
      <c r="C946" s="16"/>
      <c r="D946" s="128"/>
      <c r="E946" s="131" t="s">
        <v>13</v>
      </c>
      <c r="F946" s="18"/>
      <c r="G946" s="17"/>
      <c r="H946" s="22"/>
    </row>
    <row r="947" spans="2:8" x14ac:dyDescent="0.25">
      <c r="B947" s="121" t="s">
        <v>370</v>
      </c>
      <c r="C947" s="122" t="s">
        <v>613</v>
      </c>
      <c r="D947" s="129"/>
      <c r="E947" s="12"/>
      <c r="F947" s="14"/>
      <c r="G947" s="26"/>
      <c r="H947" s="13"/>
    </row>
    <row r="948" spans="2:8" x14ac:dyDescent="0.25">
      <c r="B948" s="75" t="s">
        <v>15</v>
      </c>
      <c r="C948" s="107" t="s">
        <v>609</v>
      </c>
      <c r="D948" s="128"/>
      <c r="E948" s="131" t="s">
        <v>9</v>
      </c>
      <c r="F948" s="18"/>
      <c r="G948" s="24"/>
      <c r="H948" s="19" t="b">
        <f>IF(D951="x",H$2,H$1)</f>
        <v>0</v>
      </c>
    </row>
    <row r="949" spans="2:8" x14ac:dyDescent="0.25">
      <c r="B949" s="75" t="s">
        <v>15</v>
      </c>
      <c r="C949" s="107" t="s">
        <v>610</v>
      </c>
      <c r="D949" s="128"/>
      <c r="E949" s="131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 x14ac:dyDescent="0.25">
      <c r="B950" s="75" t="s">
        <v>15</v>
      </c>
      <c r="C950" s="107" t="s">
        <v>611</v>
      </c>
      <c r="D950" s="128"/>
      <c r="E950" s="131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5" t="s">
        <v>15</v>
      </c>
      <c r="C951" s="107" t="s">
        <v>612</v>
      </c>
      <c r="D951" s="128"/>
      <c r="E951" s="131" t="s">
        <v>12</v>
      </c>
      <c r="F951" s="18"/>
      <c r="G951" s="24"/>
      <c r="H951" s="22"/>
    </row>
    <row r="952" spans="2:8" x14ac:dyDescent="0.25">
      <c r="B952" s="100"/>
      <c r="C952" s="16"/>
      <c r="D952" s="128"/>
      <c r="E952" s="131" t="s">
        <v>13</v>
      </c>
      <c r="F952" s="18"/>
      <c r="G952" s="17"/>
      <c r="H952" s="22"/>
    </row>
    <row r="953" spans="2:8" x14ac:dyDescent="0.25">
      <c r="B953" s="121" t="s">
        <v>371</v>
      </c>
      <c r="C953" s="122" t="s">
        <v>614</v>
      </c>
      <c r="D953" s="129"/>
      <c r="E953" s="12"/>
      <c r="F953" s="14"/>
      <c r="G953" s="26"/>
      <c r="H953" s="13"/>
    </row>
    <row r="954" spans="2:8" x14ac:dyDescent="0.25">
      <c r="B954" s="75" t="s">
        <v>15</v>
      </c>
      <c r="C954" s="107" t="s">
        <v>615</v>
      </c>
      <c r="D954" s="128"/>
      <c r="E954" s="131" t="s">
        <v>9</v>
      </c>
      <c r="F954" s="18"/>
      <c r="G954" s="24"/>
      <c r="H954" s="19" t="b">
        <f>IF(D956="x",H$2,H$1)</f>
        <v>0</v>
      </c>
    </row>
    <row r="955" spans="2:8" x14ac:dyDescent="0.25">
      <c r="B955" s="75" t="s">
        <v>15</v>
      </c>
      <c r="C955" s="107" t="s">
        <v>616</v>
      </c>
      <c r="D955" s="128"/>
      <c r="E955" s="131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 x14ac:dyDescent="0.25">
      <c r="B956" s="75" t="s">
        <v>15</v>
      </c>
      <c r="C956" s="107" t="s">
        <v>272</v>
      </c>
      <c r="D956" s="128"/>
      <c r="E956" s="131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5" t="s">
        <v>15</v>
      </c>
      <c r="C957" s="107" t="s">
        <v>617</v>
      </c>
      <c r="D957" s="128"/>
      <c r="E957" s="131" t="s">
        <v>12</v>
      </c>
      <c r="F957" s="18"/>
      <c r="G957" s="24"/>
      <c r="H957" s="22"/>
    </row>
    <row r="958" spans="2:8" x14ac:dyDescent="0.25">
      <c r="B958" s="100"/>
      <c r="C958" s="16"/>
      <c r="D958" s="128"/>
      <c r="E958" s="131" t="s">
        <v>13</v>
      </c>
      <c r="F958" s="18"/>
      <c r="G958" s="17"/>
      <c r="H958" s="22"/>
    </row>
    <row r="959" spans="2:8" x14ac:dyDescent="0.25">
      <c r="B959" s="121" t="s">
        <v>372</v>
      </c>
      <c r="C959" s="122" t="s">
        <v>618</v>
      </c>
      <c r="D959" s="129"/>
      <c r="E959" s="12"/>
      <c r="F959" s="14"/>
      <c r="G959" s="26"/>
      <c r="H959" s="13"/>
    </row>
    <row r="960" spans="2:8" ht="31.5" x14ac:dyDescent="0.25">
      <c r="B960" s="75" t="s">
        <v>15</v>
      </c>
      <c r="C960" s="107" t="s">
        <v>619</v>
      </c>
      <c r="D960" s="128"/>
      <c r="E960" s="131" t="s">
        <v>9</v>
      </c>
      <c r="F960" s="18"/>
      <c r="G960" s="24"/>
      <c r="H960" s="19" t="b">
        <f>IF(D963="x",H$2,H$1)</f>
        <v>0</v>
      </c>
    </row>
    <row r="961" spans="2:8" x14ac:dyDescent="0.25">
      <c r="B961" s="75" t="s">
        <v>15</v>
      </c>
      <c r="C961" s="107" t="s">
        <v>272</v>
      </c>
      <c r="D961" s="128"/>
      <c r="E961" s="131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 x14ac:dyDescent="0.25">
      <c r="B962" s="75" t="s">
        <v>15</v>
      </c>
      <c r="C962" s="107" t="s">
        <v>620</v>
      </c>
      <c r="D962" s="128"/>
      <c r="E962" s="131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5" t="s">
        <v>15</v>
      </c>
      <c r="C963" s="107" t="s">
        <v>621</v>
      </c>
      <c r="D963" s="128"/>
      <c r="E963" s="131" t="s">
        <v>12</v>
      </c>
      <c r="F963" s="18"/>
      <c r="G963" s="24"/>
      <c r="H963" s="22"/>
    </row>
    <row r="964" spans="2:8" x14ac:dyDescent="0.25">
      <c r="B964" s="100"/>
      <c r="C964" s="16"/>
      <c r="D964" s="128"/>
      <c r="E964" s="131" t="s">
        <v>13</v>
      </c>
      <c r="F964" s="18"/>
      <c r="G964" s="17"/>
      <c r="H964" s="22"/>
    </row>
    <row r="965" spans="2:8" x14ac:dyDescent="0.25">
      <c r="B965" s="121" t="s">
        <v>373</v>
      </c>
      <c r="C965" s="122" t="s">
        <v>281</v>
      </c>
      <c r="D965" s="129"/>
      <c r="E965" s="12"/>
      <c r="F965" s="14"/>
      <c r="G965" s="26"/>
      <c r="H965" s="13"/>
    </row>
    <row r="966" spans="2:8" x14ac:dyDescent="0.25">
      <c r="B966" s="75" t="s">
        <v>15</v>
      </c>
      <c r="C966" s="107" t="s">
        <v>282</v>
      </c>
      <c r="D966" s="128"/>
      <c r="E966" s="131" t="s">
        <v>9</v>
      </c>
      <c r="F966" s="18"/>
      <c r="G966" s="24"/>
      <c r="H966" s="19" t="b">
        <f>IF(D967="x",H$2,H$1)</f>
        <v>0</v>
      </c>
    </row>
    <row r="967" spans="2:8" x14ac:dyDescent="0.25">
      <c r="B967" s="75" t="s">
        <v>15</v>
      </c>
      <c r="C967" s="107" t="s">
        <v>623</v>
      </c>
      <c r="D967" s="128"/>
      <c r="E967" s="131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 x14ac:dyDescent="0.25">
      <c r="B968" s="75" t="s">
        <v>15</v>
      </c>
      <c r="C968" s="107" t="s">
        <v>283</v>
      </c>
      <c r="D968" s="128"/>
      <c r="E968" s="131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5" t="s">
        <v>15</v>
      </c>
      <c r="C969" s="107" t="s">
        <v>272</v>
      </c>
      <c r="D969" s="128"/>
      <c r="E969" s="131" t="s">
        <v>12</v>
      </c>
      <c r="F969" s="18"/>
      <c r="G969" s="24"/>
      <c r="H969" s="22"/>
    </row>
    <row r="970" spans="2:8" x14ac:dyDescent="0.25">
      <c r="B970" s="100"/>
      <c r="C970" s="16"/>
      <c r="D970" s="128"/>
      <c r="E970" s="131" t="s">
        <v>13</v>
      </c>
      <c r="F970" s="18"/>
      <c r="G970" s="17"/>
      <c r="H970" s="22"/>
    </row>
    <row r="971" spans="2:8" ht="17.25" x14ac:dyDescent="0.25">
      <c r="B971" s="121" t="s">
        <v>374</v>
      </c>
      <c r="C971" s="122" t="s">
        <v>622</v>
      </c>
      <c r="D971" s="129"/>
      <c r="E971" s="12"/>
      <c r="F971" s="14"/>
      <c r="G971" s="26"/>
      <c r="H971" s="13"/>
    </row>
    <row r="972" spans="2:8" ht="133.5" customHeight="1" x14ac:dyDescent="0.25">
      <c r="B972" s="75" t="s">
        <v>15</v>
      </c>
      <c r="C972" s="107" t="s">
        <v>599</v>
      </c>
      <c r="D972" s="128"/>
      <c r="E972" s="131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5" t="s">
        <v>15</v>
      </c>
      <c r="C973" s="107" t="s">
        <v>602</v>
      </c>
      <c r="D973" s="128"/>
      <c r="E973" s="131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 x14ac:dyDescent="0.25">
      <c r="B974" s="75" t="s">
        <v>15</v>
      </c>
      <c r="C974" s="107" t="s">
        <v>600</v>
      </c>
      <c r="D974" s="128"/>
      <c r="E974" s="131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5" t="s">
        <v>15</v>
      </c>
      <c r="C975" s="107" t="s">
        <v>601</v>
      </c>
      <c r="D975" s="128"/>
      <c r="E975" s="131" t="s">
        <v>12</v>
      </c>
      <c r="F975" s="18"/>
      <c r="G975" s="24"/>
      <c r="H975" s="22"/>
    </row>
    <row r="976" spans="2:8" x14ac:dyDescent="0.25">
      <c r="B976" s="100"/>
      <c r="C976" s="16"/>
      <c r="D976" s="128"/>
      <c r="E976" s="131" t="s">
        <v>13</v>
      </c>
      <c r="F976" s="18"/>
      <c r="G976" s="17"/>
      <c r="H976" s="22"/>
    </row>
    <row r="977" spans="2:8" x14ac:dyDescent="0.25">
      <c r="B977" s="121" t="s">
        <v>375</v>
      </c>
      <c r="C977" s="122" t="s">
        <v>624</v>
      </c>
      <c r="D977" s="129"/>
      <c r="E977" s="12"/>
      <c r="F977" s="14"/>
      <c r="G977" s="26"/>
      <c r="H977" s="13"/>
    </row>
    <row r="978" spans="2:8" x14ac:dyDescent="0.25">
      <c r="B978" s="75" t="s">
        <v>15</v>
      </c>
      <c r="C978" s="107" t="s">
        <v>312</v>
      </c>
      <c r="D978" s="128"/>
      <c r="E978" s="131" t="s">
        <v>9</v>
      </c>
      <c r="F978" s="18"/>
      <c r="G978" s="24"/>
      <c r="H978" s="19" t="b">
        <f>IF(D980="x",H$2,H$1)</f>
        <v>0</v>
      </c>
    </row>
    <row r="979" spans="2:8" x14ac:dyDescent="0.25">
      <c r="B979" s="75" t="s">
        <v>15</v>
      </c>
      <c r="C979" s="107" t="s">
        <v>272</v>
      </c>
      <c r="D979" s="128"/>
      <c r="E979" s="131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 x14ac:dyDescent="0.25">
      <c r="B980" s="75" t="s">
        <v>15</v>
      </c>
      <c r="C980" s="107" t="s">
        <v>313</v>
      </c>
      <c r="D980" s="128"/>
      <c r="E980" s="131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5" t="s">
        <v>15</v>
      </c>
      <c r="C981" s="107" t="s">
        <v>314</v>
      </c>
      <c r="D981" s="128"/>
      <c r="E981" s="131" t="s">
        <v>12</v>
      </c>
      <c r="F981" s="18"/>
      <c r="G981" s="24"/>
      <c r="H981" s="22"/>
    </row>
    <row r="982" spans="2:8" x14ac:dyDescent="0.25">
      <c r="B982" s="100"/>
      <c r="C982" s="16"/>
      <c r="D982" s="128"/>
      <c r="E982" s="131" t="s">
        <v>13</v>
      </c>
      <c r="F982" s="18"/>
      <c r="G982" s="17"/>
      <c r="H982" s="22"/>
    </row>
    <row r="983" spans="2:8" x14ac:dyDescent="0.25">
      <c r="B983" s="121" t="s">
        <v>376</v>
      </c>
      <c r="C983" s="122" t="s">
        <v>625</v>
      </c>
      <c r="D983" s="129"/>
      <c r="E983" s="12"/>
      <c r="F983" s="14"/>
      <c r="G983" s="26"/>
      <c r="H983" s="13"/>
    </row>
    <row r="984" spans="2:8" ht="94.5" x14ac:dyDescent="0.25">
      <c r="B984" s="75" t="s">
        <v>15</v>
      </c>
      <c r="C984" s="107" t="s">
        <v>600</v>
      </c>
      <c r="D984" s="128"/>
      <c r="E984" s="131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5" t="s">
        <v>15</v>
      </c>
      <c r="C985" s="107" t="s">
        <v>602</v>
      </c>
      <c r="D985" s="128"/>
      <c r="E985" s="131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 x14ac:dyDescent="0.25">
      <c r="B986" s="75" t="s">
        <v>15</v>
      </c>
      <c r="C986" s="107" t="s">
        <v>626</v>
      </c>
      <c r="D986" s="128"/>
      <c r="E986" s="131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5" t="s">
        <v>15</v>
      </c>
      <c r="C987" s="107" t="s">
        <v>601</v>
      </c>
      <c r="D987" s="128"/>
      <c r="E987" s="131" t="s">
        <v>12</v>
      </c>
      <c r="F987" s="18"/>
      <c r="G987" s="24"/>
      <c r="H987" s="22"/>
    </row>
    <row r="988" spans="2:8" x14ac:dyDescent="0.25">
      <c r="B988" s="100"/>
      <c r="C988" s="16"/>
      <c r="D988" s="128"/>
      <c r="E988" s="131" t="s">
        <v>13</v>
      </c>
      <c r="F988" s="18"/>
      <c r="G988" s="17"/>
      <c r="H988" s="22"/>
    </row>
    <row r="989" spans="2:8" x14ac:dyDescent="0.25">
      <c r="B989" s="121" t="s">
        <v>377</v>
      </c>
      <c r="C989" s="122" t="s">
        <v>627</v>
      </c>
      <c r="D989" s="129"/>
      <c r="E989" s="12"/>
      <c r="F989" s="14"/>
      <c r="G989" s="26"/>
      <c r="H989" s="13"/>
    </row>
    <row r="990" spans="2:8" x14ac:dyDescent="0.25">
      <c r="B990" s="75" t="s">
        <v>15</v>
      </c>
      <c r="C990" s="107" t="s">
        <v>628</v>
      </c>
      <c r="D990" s="128"/>
      <c r="E990" s="131" t="s">
        <v>9</v>
      </c>
      <c r="F990" s="18"/>
      <c r="G990" s="24"/>
      <c r="H990" s="19" t="b">
        <f>IF(D990="x",H$2,H$1)</f>
        <v>0</v>
      </c>
    </row>
    <row r="991" spans="2:8" x14ac:dyDescent="0.25">
      <c r="B991" s="75" t="s">
        <v>15</v>
      </c>
      <c r="C991" s="107" t="s">
        <v>629</v>
      </c>
      <c r="D991" s="128"/>
      <c r="E991" s="131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 x14ac:dyDescent="0.25">
      <c r="B992" s="75" t="s">
        <v>15</v>
      </c>
      <c r="C992" s="107" t="s">
        <v>630</v>
      </c>
      <c r="D992" s="128"/>
      <c r="E992" s="131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5" t="s">
        <v>15</v>
      </c>
      <c r="C993" s="107" t="s">
        <v>631</v>
      </c>
      <c r="D993" s="128"/>
      <c r="E993" s="131" t="s">
        <v>12</v>
      </c>
      <c r="F993" s="18"/>
      <c r="G993" s="24"/>
      <c r="H993" s="22"/>
    </row>
    <row r="994" spans="2:8" x14ac:dyDescent="0.25">
      <c r="B994" s="100"/>
      <c r="C994" s="16"/>
      <c r="D994" s="128"/>
      <c r="E994" s="131" t="s">
        <v>13</v>
      </c>
      <c r="F994" s="18"/>
      <c r="G994" s="17"/>
      <c r="H994" s="22"/>
    </row>
    <row r="995" spans="2:8" x14ac:dyDescent="0.25">
      <c r="B995" s="121" t="s">
        <v>378</v>
      </c>
      <c r="C995" s="122" t="s">
        <v>632</v>
      </c>
      <c r="D995" s="129"/>
      <c r="E995" s="12"/>
      <c r="F995" s="14"/>
      <c r="G995" s="26"/>
      <c r="H995" s="13"/>
    </row>
    <row r="996" spans="2:8" x14ac:dyDescent="0.25">
      <c r="B996" s="75" t="s">
        <v>15</v>
      </c>
      <c r="C996" s="107" t="s">
        <v>609</v>
      </c>
      <c r="D996" s="128"/>
      <c r="E996" s="131" t="s">
        <v>9</v>
      </c>
      <c r="F996" s="18"/>
      <c r="G996" s="24"/>
      <c r="H996" s="19" t="b">
        <f>IF(D998="x",H$2,H$1)</f>
        <v>0</v>
      </c>
    </row>
    <row r="997" spans="2:8" x14ac:dyDescent="0.25">
      <c r="B997" s="75" t="s">
        <v>15</v>
      </c>
      <c r="C997" s="107" t="s">
        <v>611</v>
      </c>
      <c r="D997" s="128"/>
      <c r="E997" s="131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 x14ac:dyDescent="0.25">
      <c r="B998" s="75" t="s">
        <v>15</v>
      </c>
      <c r="C998" s="107" t="s">
        <v>612</v>
      </c>
      <c r="D998" s="128"/>
      <c r="E998" s="131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5" t="s">
        <v>15</v>
      </c>
      <c r="C999" s="107" t="s">
        <v>610</v>
      </c>
      <c r="D999" s="128"/>
      <c r="E999" s="131" t="s">
        <v>12</v>
      </c>
      <c r="F999" s="18"/>
      <c r="G999" s="24"/>
      <c r="H999" s="22"/>
    </row>
    <row r="1000" spans="2:8" x14ac:dyDescent="0.25">
      <c r="B1000" s="100"/>
      <c r="C1000" s="16"/>
      <c r="D1000" s="128"/>
      <c r="E1000" s="131" t="s">
        <v>13</v>
      </c>
      <c r="F1000" s="18"/>
      <c r="G1000" s="17"/>
      <c r="H1000" s="22"/>
    </row>
    <row r="1001" spans="2:8" x14ac:dyDescent="0.25">
      <c r="B1001" s="121" t="s">
        <v>379</v>
      </c>
      <c r="C1001" s="122" t="s">
        <v>633</v>
      </c>
      <c r="D1001" s="129"/>
      <c r="E1001" s="12"/>
      <c r="F1001" s="14"/>
      <c r="G1001" s="26"/>
      <c r="H1001" s="13"/>
    </row>
    <row r="1002" spans="2:8" x14ac:dyDescent="0.25">
      <c r="B1002" s="75" t="s">
        <v>15</v>
      </c>
      <c r="C1002" s="107" t="s">
        <v>629</v>
      </c>
      <c r="D1002" s="128"/>
      <c r="E1002" s="131" t="s">
        <v>9</v>
      </c>
      <c r="F1002" s="18"/>
      <c r="G1002" s="24"/>
      <c r="H1002" s="19" t="b">
        <f>IF(D1004="x",H$2,H$1)</f>
        <v>0</v>
      </c>
    </row>
    <row r="1003" spans="2:8" x14ac:dyDescent="0.25">
      <c r="B1003" s="75" t="s">
        <v>15</v>
      </c>
      <c r="C1003" s="107" t="s">
        <v>634</v>
      </c>
      <c r="D1003" s="128"/>
      <c r="E1003" s="131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 x14ac:dyDescent="0.25">
      <c r="B1004" s="75" t="s">
        <v>15</v>
      </c>
      <c r="C1004" s="107" t="s">
        <v>635</v>
      </c>
      <c r="D1004" s="128"/>
      <c r="E1004" s="131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5" t="s">
        <v>15</v>
      </c>
      <c r="C1005" s="107" t="s">
        <v>636</v>
      </c>
      <c r="D1005" s="128"/>
      <c r="E1005" s="131" t="s">
        <v>12</v>
      </c>
      <c r="F1005" s="18"/>
      <c r="G1005" s="24"/>
      <c r="H1005" s="22"/>
    </row>
    <row r="1006" spans="2:8" x14ac:dyDescent="0.25">
      <c r="B1006" s="100"/>
      <c r="C1006" s="16"/>
      <c r="D1006" s="128"/>
      <c r="E1006" s="131" t="s">
        <v>13</v>
      </c>
      <c r="F1006" s="18"/>
      <c r="G1006" s="17"/>
      <c r="H1006" s="22"/>
    </row>
    <row r="1007" spans="2:8" x14ac:dyDescent="0.25">
      <c r="B1007" s="121" t="s">
        <v>380</v>
      </c>
      <c r="C1007" s="122" t="s">
        <v>303</v>
      </c>
      <c r="D1007" s="129"/>
      <c r="E1007" s="12"/>
      <c r="F1007" s="14"/>
      <c r="G1007" s="26"/>
      <c r="H1007" s="13"/>
    </row>
    <row r="1008" spans="2:8" x14ac:dyDescent="0.25">
      <c r="B1008" s="75" t="s">
        <v>15</v>
      </c>
      <c r="C1008" s="107" t="s">
        <v>272</v>
      </c>
      <c r="D1008" s="128"/>
      <c r="E1008" s="131" t="s">
        <v>9</v>
      </c>
      <c r="F1008" s="18"/>
      <c r="G1008" s="24"/>
      <c r="H1008" s="19" t="b">
        <f>IF(D1010="x",H$2,H$1)</f>
        <v>0</v>
      </c>
    </row>
    <row r="1009" spans="2:8" x14ac:dyDescent="0.25">
      <c r="B1009" s="75" t="s">
        <v>15</v>
      </c>
      <c r="C1009" s="107" t="s">
        <v>305</v>
      </c>
      <c r="D1009" s="128"/>
      <c r="E1009" s="131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 x14ac:dyDescent="0.25">
      <c r="B1010" s="75" t="s">
        <v>15</v>
      </c>
      <c r="C1010" s="107" t="s">
        <v>304</v>
      </c>
      <c r="D1010" s="128"/>
      <c r="E1010" s="131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5" t="s">
        <v>15</v>
      </c>
      <c r="C1011" s="107" t="s">
        <v>306</v>
      </c>
      <c r="D1011" s="128"/>
      <c r="E1011" s="131" t="s">
        <v>12</v>
      </c>
      <c r="F1011" s="18"/>
      <c r="G1011" s="24"/>
      <c r="H1011" s="22"/>
    </row>
    <row r="1012" spans="2:8" x14ac:dyDescent="0.25">
      <c r="B1012" s="100"/>
      <c r="C1012" s="16"/>
      <c r="D1012" s="128"/>
      <c r="E1012" s="131" t="s">
        <v>13</v>
      </c>
      <c r="F1012" s="18"/>
      <c r="G1012" s="17"/>
      <c r="H1012" s="22"/>
    </row>
    <row r="1013" spans="2:8" x14ac:dyDescent="0.25">
      <c r="B1013" s="121" t="s">
        <v>381</v>
      </c>
      <c r="C1013" s="122" t="s">
        <v>637</v>
      </c>
      <c r="D1013" s="129"/>
      <c r="E1013" s="12"/>
      <c r="F1013" s="14"/>
      <c r="G1013" s="26"/>
      <c r="H1013" s="13"/>
    </row>
    <row r="1014" spans="2:8" x14ac:dyDescent="0.25">
      <c r="B1014" s="75" t="s">
        <v>15</v>
      </c>
      <c r="C1014" s="107" t="s">
        <v>572</v>
      </c>
      <c r="D1014" s="128"/>
      <c r="E1014" s="131" t="s">
        <v>9</v>
      </c>
      <c r="F1014" s="18"/>
      <c r="G1014" s="24"/>
      <c r="H1014" s="19" t="b">
        <f>IF(D1014="x",H$2,H$1)</f>
        <v>0</v>
      </c>
    </row>
    <row r="1015" spans="2:8" x14ac:dyDescent="0.25">
      <c r="B1015" s="75" t="s">
        <v>15</v>
      </c>
      <c r="C1015" s="107" t="s">
        <v>571</v>
      </c>
      <c r="D1015" s="128"/>
      <c r="E1015" s="131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 x14ac:dyDescent="0.25">
      <c r="B1016" s="75" t="s">
        <v>15</v>
      </c>
      <c r="C1016" s="107" t="s">
        <v>570</v>
      </c>
      <c r="D1016" s="128"/>
      <c r="E1016" s="131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5" t="s">
        <v>15</v>
      </c>
      <c r="C1017" s="107" t="s">
        <v>292</v>
      </c>
      <c r="D1017" s="128"/>
      <c r="E1017" s="131" t="s">
        <v>12</v>
      </c>
      <c r="F1017" s="18"/>
      <c r="G1017" s="24"/>
      <c r="H1017" s="22"/>
    </row>
    <row r="1018" spans="2:8" x14ac:dyDescent="0.25">
      <c r="B1018" s="100"/>
      <c r="C1018" s="16"/>
      <c r="D1018" s="128"/>
      <c r="E1018" s="131" t="s">
        <v>13</v>
      </c>
      <c r="F1018" s="18"/>
      <c r="G1018" s="17"/>
      <c r="H1018" s="22"/>
    </row>
    <row r="1019" spans="2:8" x14ac:dyDescent="0.25">
      <c r="B1019" s="121" t="s">
        <v>382</v>
      </c>
      <c r="C1019" s="122" t="s">
        <v>298</v>
      </c>
      <c r="D1019" s="129"/>
      <c r="E1019" s="12"/>
      <c r="F1019" s="14"/>
      <c r="G1019" s="26"/>
      <c r="H1019" s="13"/>
    </row>
    <row r="1020" spans="2:8" x14ac:dyDescent="0.25">
      <c r="B1020" s="75" t="s">
        <v>15</v>
      </c>
      <c r="C1020" s="107" t="s">
        <v>301</v>
      </c>
      <c r="D1020" s="128"/>
      <c r="E1020" s="131" t="s">
        <v>9</v>
      </c>
      <c r="F1020" s="18"/>
      <c r="G1020" s="24"/>
      <c r="H1020" s="19" t="b">
        <f>IF(D1020="x",H$2,H$1)</f>
        <v>0</v>
      </c>
    </row>
    <row r="1021" spans="2:8" x14ac:dyDescent="0.25">
      <c r="B1021" s="75" t="s">
        <v>15</v>
      </c>
      <c r="C1021" s="107" t="s">
        <v>300</v>
      </c>
      <c r="D1021" s="128"/>
      <c r="E1021" s="131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 x14ac:dyDescent="0.25">
      <c r="B1022" s="75" t="s">
        <v>15</v>
      </c>
      <c r="C1022" s="107" t="s">
        <v>302</v>
      </c>
      <c r="D1022" s="128"/>
      <c r="E1022" s="131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5" t="s">
        <v>15</v>
      </c>
      <c r="C1023" s="107" t="s">
        <v>299</v>
      </c>
      <c r="D1023" s="128"/>
      <c r="E1023" s="131" t="s">
        <v>12</v>
      </c>
      <c r="F1023" s="18"/>
      <c r="G1023" s="24"/>
      <c r="H1023" s="22"/>
    </row>
    <row r="1024" spans="2:8" x14ac:dyDescent="0.25">
      <c r="B1024" s="100"/>
      <c r="C1024" s="16"/>
      <c r="D1024" s="128"/>
      <c r="E1024" s="131" t="s">
        <v>13</v>
      </c>
      <c r="F1024" s="18"/>
      <c r="G1024" s="17"/>
      <c r="H1024" s="22"/>
    </row>
    <row r="1025" spans="2:8" x14ac:dyDescent="0.25">
      <c r="B1025" s="121" t="s">
        <v>383</v>
      </c>
      <c r="C1025" s="122" t="s">
        <v>638</v>
      </c>
      <c r="D1025" s="129"/>
      <c r="E1025" s="12"/>
      <c r="F1025" s="14"/>
      <c r="G1025" s="26"/>
      <c r="H1025" s="13"/>
    </row>
    <row r="1026" spans="2:8" ht="63" x14ac:dyDescent="0.25">
      <c r="B1026" s="75" t="s">
        <v>15</v>
      </c>
      <c r="C1026" s="107" t="s">
        <v>639</v>
      </c>
      <c r="D1026" s="128"/>
      <c r="E1026" s="131" t="s">
        <v>9</v>
      </c>
      <c r="F1026" s="18"/>
      <c r="G1026" s="24"/>
      <c r="H1026" s="19" t="b">
        <f>IF(D1028="x",H$2,H$1)</f>
        <v>0</v>
      </c>
    </row>
    <row r="1027" spans="2:8" x14ac:dyDescent="0.25">
      <c r="B1027" s="75" t="s">
        <v>15</v>
      </c>
      <c r="C1027" s="107" t="s">
        <v>292</v>
      </c>
      <c r="D1027" s="128"/>
      <c r="E1027" s="131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 x14ac:dyDescent="0.25">
      <c r="B1028" s="75" t="s">
        <v>15</v>
      </c>
      <c r="C1028" s="107" t="s">
        <v>640</v>
      </c>
      <c r="D1028" s="128"/>
      <c r="E1028" s="131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5" t="s">
        <v>15</v>
      </c>
      <c r="C1029" s="107" t="s">
        <v>641</v>
      </c>
      <c r="D1029" s="128"/>
      <c r="E1029" s="131" t="s">
        <v>12</v>
      </c>
      <c r="F1029" s="18"/>
      <c r="G1029" s="24"/>
      <c r="H1029" s="22"/>
    </row>
    <row r="1030" spans="2:8" x14ac:dyDescent="0.25">
      <c r="B1030" s="100"/>
      <c r="C1030" s="16"/>
      <c r="D1030" s="128"/>
      <c r="E1030" s="131" t="s">
        <v>13</v>
      </c>
      <c r="F1030" s="18"/>
      <c r="G1030" s="17"/>
      <c r="H1030" s="22"/>
    </row>
    <row r="1031" spans="2:8" x14ac:dyDescent="0.25">
      <c r="B1031" s="121" t="s">
        <v>384</v>
      </c>
      <c r="C1031" s="122" t="s">
        <v>642</v>
      </c>
      <c r="D1031" s="129"/>
      <c r="E1031" s="12"/>
      <c r="F1031" s="14"/>
      <c r="G1031" s="26"/>
      <c r="H1031" s="13"/>
    </row>
    <row r="1032" spans="2:8" ht="157.5" x14ac:dyDescent="0.25">
      <c r="B1032" s="75" t="s">
        <v>15</v>
      </c>
      <c r="C1032" s="107" t="s">
        <v>643</v>
      </c>
      <c r="D1032" s="128"/>
      <c r="E1032" s="131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5" t="s">
        <v>15</v>
      </c>
      <c r="C1033" s="107" t="s">
        <v>644</v>
      </c>
      <c r="D1033" s="128"/>
      <c r="E1033" s="131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 x14ac:dyDescent="0.25">
      <c r="B1034" s="75" t="s">
        <v>15</v>
      </c>
      <c r="C1034" s="107" t="s">
        <v>645</v>
      </c>
      <c r="D1034" s="128"/>
      <c r="E1034" s="131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5" t="s">
        <v>15</v>
      </c>
      <c r="C1035" s="107" t="s">
        <v>646</v>
      </c>
      <c r="D1035" s="128"/>
      <c r="E1035" s="131" t="s">
        <v>12</v>
      </c>
      <c r="F1035" s="18"/>
      <c r="G1035" s="24"/>
      <c r="H1035" s="22"/>
    </row>
    <row r="1036" spans="2:8" x14ac:dyDescent="0.25">
      <c r="B1036" s="100"/>
      <c r="C1036" s="16"/>
      <c r="D1036" s="128"/>
      <c r="E1036" s="131" t="s">
        <v>13</v>
      </c>
      <c r="F1036" s="18"/>
      <c r="G1036" s="17"/>
      <c r="H1036" s="22"/>
    </row>
    <row r="1037" spans="2:8" x14ac:dyDescent="0.25">
      <c r="B1037" s="121" t="s">
        <v>385</v>
      </c>
      <c r="C1037" s="122" t="s">
        <v>285</v>
      </c>
      <c r="D1037" s="129"/>
      <c r="E1037" s="12"/>
      <c r="F1037" s="14"/>
      <c r="G1037" s="26"/>
      <c r="H1037" s="13"/>
    </row>
    <row r="1038" spans="2:8" x14ac:dyDescent="0.25">
      <c r="B1038" s="75" t="s">
        <v>15</v>
      </c>
      <c r="C1038" s="107" t="s">
        <v>286</v>
      </c>
      <c r="D1038" s="128"/>
      <c r="E1038" s="131" t="s">
        <v>9</v>
      </c>
      <c r="F1038" s="18"/>
      <c r="G1038" s="24"/>
      <c r="H1038" s="19" t="b">
        <f>IF(D1038="x",H$2,H$1)</f>
        <v>0</v>
      </c>
    </row>
    <row r="1039" spans="2:8" x14ac:dyDescent="0.25">
      <c r="B1039" s="75" t="s">
        <v>15</v>
      </c>
      <c r="C1039" s="107" t="s">
        <v>272</v>
      </c>
      <c r="D1039" s="128"/>
      <c r="E1039" s="131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 x14ac:dyDescent="0.25">
      <c r="B1040" s="75" t="s">
        <v>15</v>
      </c>
      <c r="C1040" s="107" t="s">
        <v>288</v>
      </c>
      <c r="D1040" s="128"/>
      <c r="E1040" s="131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5" t="s">
        <v>15</v>
      </c>
      <c r="C1041" s="107" t="s">
        <v>287</v>
      </c>
      <c r="D1041" s="128"/>
      <c r="E1041" s="131" t="s">
        <v>12</v>
      </c>
      <c r="F1041" s="18"/>
      <c r="G1041" s="24"/>
      <c r="H1041" s="22"/>
    </row>
    <row r="1042" spans="2:8" x14ac:dyDescent="0.25">
      <c r="B1042" s="100"/>
      <c r="C1042" s="16"/>
      <c r="D1042" s="128"/>
      <c r="E1042" s="131" t="s">
        <v>13</v>
      </c>
      <c r="F1042" s="18"/>
      <c r="G1042" s="17"/>
      <c r="H1042" s="22"/>
    </row>
    <row r="1043" spans="2:8" x14ac:dyDescent="0.25">
      <c r="B1043" s="121" t="s">
        <v>386</v>
      </c>
      <c r="C1043" s="122" t="s">
        <v>668</v>
      </c>
      <c r="D1043" s="129"/>
      <c r="E1043" s="12"/>
      <c r="F1043" s="14"/>
      <c r="G1043" s="26"/>
      <c r="H1043" s="13"/>
    </row>
    <row r="1044" spans="2:8" x14ac:dyDescent="0.25">
      <c r="B1044" s="75" t="s">
        <v>15</v>
      </c>
      <c r="C1044" s="107" t="s">
        <v>665</v>
      </c>
      <c r="D1044" s="128"/>
      <c r="E1044" s="131" t="s">
        <v>9</v>
      </c>
      <c r="F1044" s="18"/>
      <c r="G1044" s="24"/>
      <c r="H1044" s="19" t="b">
        <f>IF(D1046="x",H$2,H$1)</f>
        <v>0</v>
      </c>
    </row>
    <row r="1045" spans="2:8" x14ac:dyDescent="0.25">
      <c r="B1045" s="75" t="s">
        <v>15</v>
      </c>
      <c r="C1045" s="107" t="s">
        <v>666</v>
      </c>
      <c r="D1045" s="128"/>
      <c r="E1045" s="131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 x14ac:dyDescent="0.25">
      <c r="B1046" s="75" t="s">
        <v>15</v>
      </c>
      <c r="C1046" s="107" t="s">
        <v>667</v>
      </c>
      <c r="D1046" s="128"/>
      <c r="E1046" s="131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5" t="s">
        <v>15</v>
      </c>
      <c r="C1047" s="107" t="s">
        <v>292</v>
      </c>
      <c r="D1047" s="128"/>
      <c r="E1047" s="131" t="s">
        <v>12</v>
      </c>
      <c r="F1047" s="18"/>
      <c r="G1047" s="24"/>
      <c r="H1047" s="22"/>
    </row>
    <row r="1048" spans="2:8" x14ac:dyDescent="0.25">
      <c r="B1048" s="100"/>
      <c r="C1048" s="16"/>
      <c r="D1048" s="128"/>
      <c r="E1048" s="131" t="s">
        <v>13</v>
      </c>
      <c r="F1048" s="18"/>
      <c r="G1048" s="17"/>
      <c r="H1048" s="22"/>
    </row>
    <row r="1049" spans="2:8" x14ac:dyDescent="0.25">
      <c r="B1049" s="121" t="s">
        <v>387</v>
      </c>
      <c r="C1049" s="122" t="s">
        <v>669</v>
      </c>
      <c r="D1049" s="129"/>
      <c r="E1049" s="12"/>
      <c r="F1049" s="14"/>
      <c r="G1049" s="26"/>
      <c r="H1049" s="13"/>
    </row>
    <row r="1050" spans="2:8" x14ac:dyDescent="0.25">
      <c r="B1050" s="75" t="s">
        <v>15</v>
      </c>
      <c r="C1050" s="107" t="s">
        <v>670</v>
      </c>
      <c r="D1050" s="128"/>
      <c r="E1050" s="131" t="s">
        <v>9</v>
      </c>
      <c r="F1050" s="18"/>
      <c r="G1050" s="24"/>
      <c r="H1050" s="19" t="b">
        <f>IF(D1053="x",H$2,H$1)</f>
        <v>0</v>
      </c>
    </row>
    <row r="1051" spans="2:8" x14ac:dyDescent="0.25">
      <c r="B1051" s="75" t="s">
        <v>15</v>
      </c>
      <c r="C1051" s="107" t="s">
        <v>671</v>
      </c>
      <c r="D1051" s="128"/>
      <c r="E1051" s="131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 x14ac:dyDescent="0.25">
      <c r="B1052" s="75" t="s">
        <v>15</v>
      </c>
      <c r="C1052" s="107" t="s">
        <v>672</v>
      </c>
      <c r="D1052" s="128"/>
      <c r="E1052" s="131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5" t="s">
        <v>15</v>
      </c>
      <c r="C1053" s="107" t="s">
        <v>673</v>
      </c>
      <c r="D1053" s="128"/>
      <c r="E1053" s="131" t="s">
        <v>12</v>
      </c>
      <c r="F1053" s="18"/>
      <c r="G1053" s="24"/>
      <c r="H1053" s="22"/>
    </row>
    <row r="1054" spans="2:8" x14ac:dyDescent="0.25">
      <c r="B1054" s="100"/>
      <c r="C1054" s="16"/>
      <c r="D1054" s="128"/>
      <c r="E1054" s="131" t="s">
        <v>13</v>
      </c>
      <c r="F1054" s="18"/>
      <c r="G1054" s="17"/>
      <c r="H1054" s="22"/>
    </row>
    <row r="1055" spans="2:8" x14ac:dyDescent="0.25">
      <c r="B1055" s="121" t="s">
        <v>388</v>
      </c>
      <c r="C1055" s="122" t="s">
        <v>276</v>
      </c>
      <c r="D1055" s="129"/>
      <c r="E1055" s="12"/>
      <c r="F1055" s="14"/>
      <c r="G1055" s="26"/>
      <c r="H1055" s="13"/>
    </row>
    <row r="1056" spans="2:8" x14ac:dyDescent="0.25">
      <c r="B1056" s="75" t="s">
        <v>15</v>
      </c>
      <c r="C1056" s="107" t="s">
        <v>674</v>
      </c>
      <c r="D1056" s="128"/>
      <c r="E1056" s="131" t="s">
        <v>9</v>
      </c>
      <c r="F1056" s="18"/>
      <c r="G1056" s="24"/>
      <c r="H1056" s="19" t="b">
        <f>IF(D1057="x",H$2,H$1)</f>
        <v>0</v>
      </c>
    </row>
    <row r="1057" spans="2:8" x14ac:dyDescent="0.25">
      <c r="B1057" s="75" t="s">
        <v>15</v>
      </c>
      <c r="C1057" s="107" t="s">
        <v>675</v>
      </c>
      <c r="D1057" s="128"/>
      <c r="E1057" s="131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 x14ac:dyDescent="0.25">
      <c r="B1058" s="75" t="s">
        <v>15</v>
      </c>
      <c r="C1058" s="107" t="s">
        <v>676</v>
      </c>
      <c r="D1058" s="128"/>
      <c r="E1058" s="131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5" t="s">
        <v>15</v>
      </c>
      <c r="C1059" s="107" t="s">
        <v>277</v>
      </c>
      <c r="D1059" s="128"/>
      <c r="E1059" s="131" t="s">
        <v>12</v>
      </c>
      <c r="F1059" s="18"/>
      <c r="G1059" s="24"/>
      <c r="H1059" s="22"/>
    </row>
    <row r="1060" spans="2:8" x14ac:dyDescent="0.25">
      <c r="B1060" s="100"/>
      <c r="C1060" s="16"/>
      <c r="D1060" s="128"/>
      <c r="E1060" s="131" t="s">
        <v>13</v>
      </c>
      <c r="F1060" s="18"/>
      <c r="G1060" s="17"/>
      <c r="H1060" s="22"/>
    </row>
    <row r="1061" spans="2:8" x14ac:dyDescent="0.25">
      <c r="B1061" s="121" t="s">
        <v>389</v>
      </c>
      <c r="C1061" s="122" t="s">
        <v>652</v>
      </c>
      <c r="D1061" s="129"/>
      <c r="E1061" s="12"/>
      <c r="F1061" s="14"/>
      <c r="G1061" s="26"/>
      <c r="H1061" s="13"/>
    </row>
    <row r="1062" spans="2:8" x14ac:dyDescent="0.25">
      <c r="B1062" s="75" t="s">
        <v>15</v>
      </c>
      <c r="C1062" s="107" t="s">
        <v>677</v>
      </c>
      <c r="D1062" s="128"/>
      <c r="E1062" s="131" t="s">
        <v>9</v>
      </c>
      <c r="F1062" s="18"/>
      <c r="G1062" s="24"/>
      <c r="H1062" s="19" t="b">
        <f>IF(D1064="x",H$2,H$1)</f>
        <v>0</v>
      </c>
    </row>
    <row r="1063" spans="2:8" x14ac:dyDescent="0.25">
      <c r="B1063" s="75" t="s">
        <v>15</v>
      </c>
      <c r="C1063" s="107" t="s">
        <v>678</v>
      </c>
      <c r="D1063" s="128"/>
      <c r="E1063" s="131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 x14ac:dyDescent="0.25">
      <c r="B1064" s="75" t="s">
        <v>15</v>
      </c>
      <c r="C1064" s="107" t="s">
        <v>679</v>
      </c>
      <c r="D1064" s="128"/>
      <c r="E1064" s="131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5" t="s">
        <v>15</v>
      </c>
      <c r="C1065" s="107" t="s">
        <v>655</v>
      </c>
      <c r="D1065" s="128"/>
      <c r="E1065" s="131" t="s">
        <v>12</v>
      </c>
      <c r="F1065" s="18"/>
      <c r="G1065" s="24"/>
      <c r="H1065" s="22"/>
    </row>
    <row r="1066" spans="2:8" x14ac:dyDescent="0.25">
      <c r="B1066" s="100"/>
      <c r="C1066" s="16"/>
      <c r="D1066" s="128"/>
      <c r="E1066" s="131" t="s">
        <v>13</v>
      </c>
      <c r="F1066" s="18"/>
      <c r="G1066" s="17"/>
      <c r="H1066" s="22"/>
    </row>
    <row r="1067" spans="2:8" x14ac:dyDescent="0.25">
      <c r="B1067" s="121" t="s">
        <v>390</v>
      </c>
      <c r="C1067" s="122" t="s">
        <v>680</v>
      </c>
      <c r="D1067" s="129"/>
      <c r="E1067" s="12"/>
      <c r="F1067" s="14"/>
      <c r="G1067" s="26"/>
      <c r="H1067" s="13"/>
    </row>
    <row r="1068" spans="2:8" x14ac:dyDescent="0.25">
      <c r="B1068" s="75" t="s">
        <v>15</v>
      </c>
      <c r="C1068" s="107" t="s">
        <v>681</v>
      </c>
      <c r="D1068" s="128"/>
      <c r="E1068" s="131" t="s">
        <v>9</v>
      </c>
      <c r="F1068" s="18"/>
      <c r="G1068" s="24"/>
      <c r="H1068" s="19" t="b">
        <f>IF(D1069="x",H$2,H$1)</f>
        <v>0</v>
      </c>
    </row>
    <row r="1069" spans="2:8" x14ac:dyDescent="0.25">
      <c r="B1069" s="75" t="s">
        <v>15</v>
      </c>
      <c r="C1069" s="107" t="s">
        <v>682</v>
      </c>
      <c r="D1069" s="128"/>
      <c r="E1069" s="131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 x14ac:dyDescent="0.25">
      <c r="B1070" s="75" t="s">
        <v>15</v>
      </c>
      <c r="C1070" s="107" t="s">
        <v>683</v>
      </c>
      <c r="D1070" s="128"/>
      <c r="E1070" s="131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5" t="s">
        <v>15</v>
      </c>
      <c r="C1071" s="107" t="s">
        <v>340</v>
      </c>
      <c r="D1071" s="128"/>
      <c r="E1071" s="131" t="s">
        <v>12</v>
      </c>
      <c r="F1071" s="18"/>
      <c r="G1071" s="24"/>
      <c r="H1071" s="22"/>
    </row>
    <row r="1072" spans="2:8" x14ac:dyDescent="0.25">
      <c r="B1072" s="100"/>
      <c r="C1072" s="16"/>
      <c r="D1072" s="128"/>
      <c r="E1072" s="131" t="s">
        <v>13</v>
      </c>
      <c r="F1072" s="18"/>
      <c r="G1072" s="17"/>
      <c r="H1072" s="22"/>
    </row>
    <row r="1073" spans="2:8" x14ac:dyDescent="0.25">
      <c r="B1073" s="121" t="s">
        <v>391</v>
      </c>
      <c r="C1073" s="122" t="s">
        <v>319</v>
      </c>
      <c r="D1073" s="129"/>
      <c r="E1073" s="12"/>
      <c r="F1073" s="14"/>
      <c r="G1073" s="26"/>
      <c r="H1073" s="13"/>
    </row>
    <row r="1074" spans="2:8" x14ac:dyDescent="0.25">
      <c r="B1074" s="75" t="s">
        <v>15</v>
      </c>
      <c r="C1074" s="107" t="s">
        <v>684</v>
      </c>
      <c r="D1074" s="128"/>
      <c r="E1074" s="131" t="s">
        <v>9</v>
      </c>
      <c r="F1074" s="18"/>
      <c r="G1074" s="24"/>
      <c r="H1074" s="19" t="b">
        <f>IF(D1076="x",H$2,H$1)</f>
        <v>0</v>
      </c>
    </row>
    <row r="1075" spans="2:8" x14ac:dyDescent="0.25">
      <c r="B1075" s="75" t="s">
        <v>15</v>
      </c>
      <c r="C1075" s="107" t="s">
        <v>685</v>
      </c>
      <c r="D1075" s="128"/>
      <c r="E1075" s="131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 x14ac:dyDescent="0.25">
      <c r="B1076" s="75" t="s">
        <v>15</v>
      </c>
      <c r="C1076" s="107" t="s">
        <v>686</v>
      </c>
      <c r="D1076" s="128"/>
      <c r="E1076" s="131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5" t="s">
        <v>15</v>
      </c>
      <c r="C1077" s="107" t="s">
        <v>321</v>
      </c>
      <c r="D1077" s="128"/>
      <c r="E1077" s="131" t="s">
        <v>12</v>
      </c>
      <c r="F1077" s="18"/>
      <c r="G1077" s="24"/>
      <c r="H1077" s="22"/>
    </row>
    <row r="1078" spans="2:8" x14ac:dyDescent="0.25">
      <c r="B1078" s="100"/>
      <c r="C1078" s="16"/>
      <c r="D1078" s="128"/>
      <c r="E1078" s="131" t="s">
        <v>13</v>
      </c>
      <c r="F1078" s="18"/>
      <c r="G1078" s="17"/>
      <c r="H1078" s="22"/>
    </row>
    <row r="1079" spans="2:8" x14ac:dyDescent="0.25">
      <c r="B1079" s="121" t="s">
        <v>392</v>
      </c>
      <c r="C1079" s="122" t="s">
        <v>344</v>
      </c>
      <c r="D1079" s="129"/>
      <c r="E1079" s="12"/>
      <c r="F1079" s="14"/>
      <c r="G1079" s="26"/>
      <c r="H1079" s="13"/>
    </row>
    <row r="1080" spans="2:8" x14ac:dyDescent="0.25">
      <c r="B1080" s="75" t="s">
        <v>15</v>
      </c>
      <c r="C1080" s="107" t="s">
        <v>687</v>
      </c>
      <c r="D1080" s="128"/>
      <c r="E1080" s="131" t="s">
        <v>9</v>
      </c>
      <c r="F1080" s="18"/>
      <c r="G1080" s="24"/>
      <c r="H1080" s="19" t="b">
        <f>IF(D1080="x",H$2,H$1)</f>
        <v>0</v>
      </c>
    </row>
    <row r="1081" spans="2:8" x14ac:dyDescent="0.25">
      <c r="B1081" s="75" t="s">
        <v>15</v>
      </c>
      <c r="C1081" s="107" t="s">
        <v>688</v>
      </c>
      <c r="D1081" s="128"/>
      <c r="E1081" s="131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 x14ac:dyDescent="0.25">
      <c r="B1082" s="75" t="s">
        <v>15</v>
      </c>
      <c r="C1082" s="107" t="s">
        <v>689</v>
      </c>
      <c r="D1082" s="128"/>
      <c r="E1082" s="131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5" t="s">
        <v>15</v>
      </c>
      <c r="C1083" s="107" t="s">
        <v>348</v>
      </c>
      <c r="D1083" s="128"/>
      <c r="E1083" s="131" t="s">
        <v>12</v>
      </c>
      <c r="F1083" s="18"/>
      <c r="G1083" s="24"/>
      <c r="H1083" s="22"/>
    </row>
    <row r="1084" spans="2:8" x14ac:dyDescent="0.25">
      <c r="B1084" s="100"/>
      <c r="C1084" s="16"/>
      <c r="D1084" s="128"/>
      <c r="E1084" s="131" t="s">
        <v>13</v>
      </c>
      <c r="F1084" s="18"/>
      <c r="G1084" s="17"/>
      <c r="H1084" s="22"/>
    </row>
    <row r="1085" spans="2:8" x14ac:dyDescent="0.25">
      <c r="B1085" s="121" t="s">
        <v>393</v>
      </c>
      <c r="C1085" s="122" t="s">
        <v>690</v>
      </c>
      <c r="D1085" s="129"/>
      <c r="E1085" s="12"/>
      <c r="F1085" s="14"/>
      <c r="G1085" s="26"/>
      <c r="H1085" s="13"/>
    </row>
    <row r="1086" spans="2:8" x14ac:dyDescent="0.25">
      <c r="B1086" s="75" t="s">
        <v>15</v>
      </c>
      <c r="C1086" s="107" t="s">
        <v>691</v>
      </c>
      <c r="D1086" s="128"/>
      <c r="E1086" s="131" t="s">
        <v>9</v>
      </c>
      <c r="F1086" s="18"/>
      <c r="G1086" s="24"/>
      <c r="H1086" s="19" t="b">
        <f>IF(D1088="x",H$2,H$1)</f>
        <v>0</v>
      </c>
    </row>
    <row r="1087" spans="2:8" x14ac:dyDescent="0.25">
      <c r="B1087" s="75" t="s">
        <v>15</v>
      </c>
      <c r="C1087" s="107" t="s">
        <v>692</v>
      </c>
      <c r="D1087" s="128"/>
      <c r="E1087" s="131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 x14ac:dyDescent="0.25">
      <c r="B1088" s="75" t="s">
        <v>15</v>
      </c>
      <c r="C1088" s="107" t="s">
        <v>693</v>
      </c>
      <c r="D1088" s="128"/>
      <c r="E1088" s="131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5" t="s">
        <v>15</v>
      </c>
      <c r="C1089" s="107" t="s">
        <v>272</v>
      </c>
      <c r="D1089" s="128"/>
      <c r="E1089" s="131" t="s">
        <v>12</v>
      </c>
      <c r="F1089" s="18"/>
      <c r="G1089" s="24"/>
      <c r="H1089" s="22"/>
    </row>
    <row r="1090" spans="2:8" x14ac:dyDescent="0.25">
      <c r="B1090" s="100"/>
      <c r="C1090" s="16"/>
      <c r="D1090" s="128"/>
      <c r="E1090" s="131" t="s">
        <v>13</v>
      </c>
      <c r="F1090" s="18"/>
      <c r="G1090" s="17"/>
      <c r="H1090" s="22"/>
    </row>
    <row r="1091" spans="2:8" x14ac:dyDescent="0.25">
      <c r="B1091" s="121" t="s">
        <v>394</v>
      </c>
      <c r="C1091" s="122" t="s">
        <v>694</v>
      </c>
      <c r="D1091" s="129"/>
      <c r="E1091" s="12"/>
      <c r="F1091" s="14"/>
      <c r="G1091" s="26"/>
      <c r="H1091" s="13"/>
    </row>
    <row r="1092" spans="2:8" x14ac:dyDescent="0.25">
      <c r="B1092" s="75" t="s">
        <v>15</v>
      </c>
      <c r="C1092" s="107" t="s">
        <v>695</v>
      </c>
      <c r="D1092" s="128"/>
      <c r="E1092" s="131" t="s">
        <v>9</v>
      </c>
      <c r="F1092" s="18"/>
      <c r="G1092" s="24"/>
      <c r="H1092" s="19" t="b">
        <f>IF(D1092="x",H$2,H$1)</f>
        <v>0</v>
      </c>
    </row>
    <row r="1093" spans="2:8" x14ac:dyDescent="0.25">
      <c r="B1093" s="75" t="s">
        <v>15</v>
      </c>
      <c r="C1093" s="107" t="s">
        <v>696</v>
      </c>
      <c r="D1093" s="128"/>
      <c r="E1093" s="131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 x14ac:dyDescent="0.25">
      <c r="B1094" s="75" t="s">
        <v>15</v>
      </c>
      <c r="C1094" s="107" t="s">
        <v>697</v>
      </c>
      <c r="D1094" s="128"/>
      <c r="E1094" s="131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5" t="s">
        <v>15</v>
      </c>
      <c r="C1095" s="107" t="s">
        <v>272</v>
      </c>
      <c r="D1095" s="128"/>
      <c r="E1095" s="131" t="s">
        <v>12</v>
      </c>
      <c r="F1095" s="18"/>
      <c r="G1095" s="24"/>
      <c r="H1095" s="22"/>
    </row>
    <row r="1096" spans="2:8" x14ac:dyDescent="0.25">
      <c r="B1096" s="100"/>
      <c r="C1096" s="16"/>
      <c r="D1096" s="128"/>
      <c r="E1096" s="131" t="s">
        <v>13</v>
      </c>
      <c r="F1096" s="18"/>
      <c r="G1096" s="17"/>
      <c r="H1096" s="22"/>
    </row>
    <row r="1097" spans="2:8" x14ac:dyDescent="0.25">
      <c r="B1097" s="121" t="s">
        <v>395</v>
      </c>
      <c r="C1097" s="122" t="s">
        <v>698</v>
      </c>
      <c r="D1097" s="129"/>
      <c r="E1097" s="12"/>
      <c r="F1097" s="14"/>
      <c r="G1097" s="26"/>
      <c r="H1097" s="13"/>
    </row>
    <row r="1098" spans="2:8" x14ac:dyDescent="0.25">
      <c r="B1098" s="75" t="s">
        <v>15</v>
      </c>
      <c r="C1098" s="107" t="s">
        <v>699</v>
      </c>
      <c r="D1098" s="128"/>
      <c r="E1098" s="131" t="s">
        <v>9</v>
      </c>
      <c r="F1098" s="18"/>
      <c r="G1098" s="24"/>
      <c r="H1098" s="19" t="b">
        <f>IF(D1101="x",H$2,H$1)</f>
        <v>0</v>
      </c>
    </row>
    <row r="1099" spans="2:8" x14ac:dyDescent="0.25">
      <c r="B1099" s="75" t="s">
        <v>15</v>
      </c>
      <c r="C1099" s="107" t="s">
        <v>700</v>
      </c>
      <c r="D1099" s="128"/>
      <c r="E1099" s="131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 x14ac:dyDescent="0.25">
      <c r="B1100" s="75" t="s">
        <v>15</v>
      </c>
      <c r="C1100" s="107" t="s">
        <v>679</v>
      </c>
      <c r="D1100" s="128"/>
      <c r="E1100" s="131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5" t="s">
        <v>15</v>
      </c>
      <c r="C1101" s="107" t="s">
        <v>310</v>
      </c>
      <c r="D1101" s="128"/>
      <c r="E1101" s="131" t="s">
        <v>12</v>
      </c>
      <c r="F1101" s="18"/>
      <c r="G1101" s="24"/>
      <c r="H1101" s="22"/>
    </row>
    <row r="1102" spans="2:8" x14ac:dyDescent="0.25">
      <c r="B1102" s="100"/>
      <c r="C1102" s="16"/>
      <c r="D1102" s="128"/>
      <c r="E1102" s="131" t="s">
        <v>13</v>
      </c>
      <c r="F1102" s="18"/>
      <c r="G1102" s="17"/>
      <c r="H1102" s="22"/>
    </row>
    <row r="1103" spans="2:8" x14ac:dyDescent="0.25">
      <c r="B1103" s="121" t="s">
        <v>396</v>
      </c>
      <c r="C1103" s="122" t="s">
        <v>701</v>
      </c>
      <c r="D1103" s="129"/>
      <c r="E1103" s="12"/>
      <c r="F1103" s="14"/>
      <c r="G1103" s="26"/>
      <c r="H1103" s="13"/>
    </row>
    <row r="1104" spans="2:8" ht="31.5" x14ac:dyDescent="0.25">
      <c r="B1104" s="75" t="s">
        <v>15</v>
      </c>
      <c r="C1104" s="107" t="s">
        <v>702</v>
      </c>
      <c r="D1104" s="128"/>
      <c r="E1104" s="131" t="s">
        <v>9</v>
      </c>
      <c r="F1104" s="18"/>
      <c r="G1104" s="24"/>
      <c r="H1104" s="19" t="b">
        <f>IF(D1106="x",H$2,H$1)</f>
        <v>0</v>
      </c>
    </row>
    <row r="1105" spans="2:8" x14ac:dyDescent="0.25">
      <c r="B1105" s="75" t="s">
        <v>15</v>
      </c>
      <c r="C1105" s="107" t="s">
        <v>703</v>
      </c>
      <c r="D1105" s="128"/>
      <c r="E1105" s="131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 x14ac:dyDescent="0.25">
      <c r="B1106" s="75" t="s">
        <v>15</v>
      </c>
      <c r="C1106" s="107" t="s">
        <v>704</v>
      </c>
      <c r="D1106" s="128"/>
      <c r="E1106" s="131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5" t="s">
        <v>15</v>
      </c>
      <c r="C1107" s="107" t="s">
        <v>705</v>
      </c>
      <c r="D1107" s="128"/>
      <c r="E1107" s="131" t="s">
        <v>12</v>
      </c>
      <c r="F1107" s="18"/>
      <c r="G1107" s="24"/>
      <c r="H1107" s="22"/>
    </row>
    <row r="1108" spans="2:8" x14ac:dyDescent="0.25">
      <c r="B1108" s="100"/>
      <c r="C1108" s="16"/>
      <c r="D1108" s="128"/>
      <c r="E1108" s="131" t="s">
        <v>13</v>
      </c>
      <c r="F1108" s="18"/>
      <c r="G1108" s="17"/>
      <c r="H1108" s="22"/>
    </row>
    <row r="1109" spans="2:8" x14ac:dyDescent="0.25">
      <c r="B1109" s="121" t="s">
        <v>397</v>
      </c>
      <c r="C1109" s="122" t="s">
        <v>706</v>
      </c>
      <c r="D1109" s="129"/>
      <c r="E1109" s="12"/>
      <c r="F1109" s="14"/>
      <c r="G1109" s="26"/>
      <c r="H1109" s="13"/>
    </row>
    <row r="1110" spans="2:8" x14ac:dyDescent="0.25">
      <c r="B1110" s="75" t="s">
        <v>15</v>
      </c>
      <c r="C1110" s="107" t="s">
        <v>707</v>
      </c>
      <c r="D1110" s="128"/>
      <c r="E1110" s="131" t="s">
        <v>9</v>
      </c>
      <c r="F1110" s="18"/>
      <c r="G1110" s="24"/>
      <c r="H1110" s="19" t="b">
        <f>IF(D1112="x",H$2,H$1)</f>
        <v>0</v>
      </c>
    </row>
    <row r="1111" spans="2:8" x14ac:dyDescent="0.25">
      <c r="B1111" s="75" t="s">
        <v>15</v>
      </c>
      <c r="C1111" s="107" t="s">
        <v>679</v>
      </c>
      <c r="D1111" s="128"/>
      <c r="E1111" s="131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 x14ac:dyDescent="0.25">
      <c r="B1112" s="75" t="s">
        <v>15</v>
      </c>
      <c r="C1112" s="107" t="s">
        <v>708</v>
      </c>
      <c r="D1112" s="128"/>
      <c r="E1112" s="131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5" t="s">
        <v>15</v>
      </c>
      <c r="C1113" s="107" t="s">
        <v>659</v>
      </c>
      <c r="D1113" s="128"/>
      <c r="E1113" s="131" t="s">
        <v>12</v>
      </c>
      <c r="F1113" s="18"/>
      <c r="G1113" s="24"/>
      <c r="H1113" s="22"/>
    </row>
    <row r="1114" spans="2:8" x14ac:dyDescent="0.25">
      <c r="B1114" s="100"/>
      <c r="C1114" s="16"/>
      <c r="D1114" s="128"/>
      <c r="E1114" s="131" t="s">
        <v>13</v>
      </c>
      <c r="F1114" s="18"/>
      <c r="G1114" s="17"/>
      <c r="H1114" s="22"/>
    </row>
    <row r="1115" spans="2:8" x14ac:dyDescent="0.25">
      <c r="B1115" s="121" t="s">
        <v>398</v>
      </c>
      <c r="C1115" s="122"/>
      <c r="D1115" s="129"/>
      <c r="E1115" s="12"/>
      <c r="F1115" s="14"/>
      <c r="G1115" s="26"/>
      <c r="H1115" s="13"/>
    </row>
    <row r="1116" spans="2:8" x14ac:dyDescent="0.25">
      <c r="B1116" s="75" t="s">
        <v>15</v>
      </c>
      <c r="C1116" s="107"/>
      <c r="D1116" s="128"/>
      <c r="E1116" s="131" t="s">
        <v>9</v>
      </c>
      <c r="F1116" s="18"/>
      <c r="G1116" s="24"/>
      <c r="H1116" s="19" t="b">
        <f>IF(D1118="x",H$2,H$1)</f>
        <v>0</v>
      </c>
    </row>
    <row r="1117" spans="2:8" x14ac:dyDescent="0.25">
      <c r="B1117" s="75" t="s">
        <v>15</v>
      </c>
      <c r="C1117" s="107"/>
      <c r="D1117" s="128"/>
      <c r="E1117" s="131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x14ac:dyDescent="0.25">
      <c r="B1118" s="75" t="s">
        <v>15</v>
      </c>
      <c r="C1118" s="107"/>
      <c r="D1118" s="128"/>
      <c r="E1118" s="131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x14ac:dyDescent="0.25">
      <c r="B1119" s="75" t="s">
        <v>15</v>
      </c>
      <c r="C1119" s="107"/>
      <c r="D1119" s="128"/>
      <c r="E1119" s="131" t="s">
        <v>12</v>
      </c>
      <c r="F1119" s="18"/>
      <c r="G1119" s="24"/>
      <c r="H1119" s="22"/>
    </row>
    <row r="1120" spans="2:8" x14ac:dyDescent="0.25">
      <c r="B1120" s="100"/>
      <c r="C1120" s="16" t="s">
        <v>532</v>
      </c>
      <c r="D1120" s="128"/>
      <c r="E1120" s="131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100"/>
      <c r="C1122" s="16"/>
      <c r="D1122" s="48"/>
      <c r="E1122" s="54"/>
      <c r="F1122" s="18"/>
      <c r="G1122" s="17"/>
      <c r="H1122" s="22"/>
    </row>
    <row r="1123" spans="2:8" x14ac:dyDescent="0.25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39"/>
      <c r="E1124" s="139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 x14ac:dyDescent="0.3">
      <c r="B1125" s="64"/>
      <c r="C1125" s="65"/>
      <c r="D1125" s="31"/>
      <c r="E1125" s="9"/>
      <c r="F1125" s="32" t="str">
        <f>IF(F1124&gt;G1124,G1123,H1123)</f>
        <v>APROBADO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2018-05-29T19:57:38Z</dcterms:modified>
  <cp:category/>
  <cp:contentStatus/>
</cp:coreProperties>
</file>