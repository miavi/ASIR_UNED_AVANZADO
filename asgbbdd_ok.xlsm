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D:\Gitkraken\ASIR_UNED_AVANZADO\"/>
    </mc:Choice>
  </mc:AlternateContent>
  <xr:revisionPtr revIDLastSave="0" documentId="13_ncr:1_{A8E78DB4-CFAD-4515-B3A6-42315F7656C5}" xr6:coauthVersionLast="32" xr6:coauthVersionMax="32" xr10:uidLastSave="{00000000-0000-0000-0000-000000000000}"/>
  <bookViews>
    <workbookView xWindow="0" yWindow="0" windowWidth="21570" windowHeight="7485" tabRatio="500" xr2:uid="{00000000-000D-0000-FFFF-FFFF00000000}"/>
  </bookViews>
  <sheets>
    <sheet name="Seguridad" sheetId="7" r:id="rId1"/>
  </sheets>
  <definedNames>
    <definedName name="_xlnm.Print_Area" localSheetId="0">Seguridad!$B$1:$H$70</definedName>
    <definedName name="OLE_LINK2" localSheetId="0">Seguridad!$B$72</definedName>
  </definedNames>
  <calcPr calcId="179017"/>
  <extLst>
    <ext xmlns:x14="http://schemas.microsoft.com/office/spreadsheetml/2009/9/main" uri="{79F54976-1DA5-4618-B147-4CDE4B953A38}">
      <x14:workbookPr defaultImageDpi="32767"/>
    </ext>
  </extLst>
</workbook>
</file>

<file path=xl/calcChain.xml><?xml version="1.0" encoding="utf-8"?>
<calcChain xmlns="http://schemas.openxmlformats.org/spreadsheetml/2006/main">
  <c r="H1038" i="7" l="1"/>
  <c r="H1032" i="7"/>
  <c r="H1027" i="7"/>
  <c r="H1028" i="7" s="1"/>
  <c r="F1027" i="7" s="1"/>
  <c r="H1026" i="7"/>
  <c r="H1020" i="7"/>
  <c r="H1014" i="7"/>
  <c r="H1008" i="7"/>
  <c r="H1002" i="7"/>
  <c r="H996" i="7"/>
  <c r="H990" i="7"/>
  <c r="H984" i="7"/>
  <c r="H1033" i="7"/>
  <c r="H1034" i="7" s="1"/>
  <c r="H869" i="7"/>
  <c r="H870" i="7" s="1"/>
  <c r="H863" i="7"/>
  <c r="H864" i="7" s="1"/>
  <c r="H875" i="7"/>
  <c r="H876" i="7" s="1"/>
  <c r="H881" i="7"/>
  <c r="H882" i="7" s="1"/>
  <c r="F881" i="7" s="1"/>
  <c r="H874" i="7"/>
  <c r="H972" i="7"/>
  <c r="H978" i="7"/>
  <c r="H966" i="7"/>
  <c r="H954" i="7"/>
  <c r="H960" i="7"/>
  <c r="H942" i="7"/>
  <c r="H948" i="7"/>
  <c r="H936" i="7"/>
  <c r="H930" i="7"/>
  <c r="H918" i="7"/>
  <c r="H924" i="7"/>
  <c r="H911" i="7"/>
  <c r="H904" i="7"/>
  <c r="H898" i="7"/>
  <c r="H892" i="7"/>
  <c r="H886" i="7"/>
  <c r="H868" i="7"/>
  <c r="H880" i="7"/>
  <c r="H862" i="7"/>
  <c r="H887" i="7"/>
  <c r="H888" i="7" s="1"/>
  <c r="H893" i="7"/>
  <c r="H894" i="7" s="1"/>
  <c r="H899" i="7"/>
  <c r="H900" i="7" s="1"/>
  <c r="F900" i="7" s="1"/>
  <c r="H905" i="7"/>
  <c r="H906" i="7"/>
  <c r="F905" i="7" s="1"/>
  <c r="H912" i="7"/>
  <c r="H913" i="7" s="1"/>
  <c r="H919" i="7"/>
  <c r="H920" i="7" s="1"/>
  <c r="H925" i="7"/>
  <c r="H926" i="7"/>
  <c r="F926" i="7" s="1"/>
  <c r="H931" i="7"/>
  <c r="H932" i="7" s="1"/>
  <c r="F931" i="7" s="1"/>
  <c r="H937" i="7"/>
  <c r="H938" i="7" s="1"/>
  <c r="H943" i="7"/>
  <c r="H944" i="7" s="1"/>
  <c r="H949" i="7"/>
  <c r="H950" i="7" s="1"/>
  <c r="H955" i="7"/>
  <c r="H956" i="7" s="1"/>
  <c r="F955" i="7" s="1"/>
  <c r="H961" i="7"/>
  <c r="H962" i="7" s="1"/>
  <c r="H967" i="7"/>
  <c r="H968" i="7" s="1"/>
  <c r="H973" i="7"/>
  <c r="H974" i="7" s="1"/>
  <c r="H979" i="7"/>
  <c r="H980" i="7" s="1"/>
  <c r="F979" i="7" s="1"/>
  <c r="H985" i="7"/>
  <c r="H986" i="7" s="1"/>
  <c r="H991" i="7"/>
  <c r="H992" i="7" s="1"/>
  <c r="H997" i="7"/>
  <c r="H998" i="7" s="1"/>
  <c r="F998" i="7" s="1"/>
  <c r="H1003" i="7"/>
  <c r="H1004" i="7"/>
  <c r="F1003" i="7" s="1"/>
  <c r="H1009" i="7"/>
  <c r="H1010" i="7" s="1"/>
  <c r="H1015" i="7"/>
  <c r="H1016" i="7" s="1"/>
  <c r="H1021" i="7"/>
  <c r="H1022" i="7" s="1"/>
  <c r="F1022" i="7" s="1"/>
  <c r="H1039" i="7"/>
  <c r="H1040" i="7" s="1"/>
  <c r="H1044" i="7"/>
  <c r="H1045" i="7"/>
  <c r="H1046" i="7" s="1"/>
  <c r="H1050" i="7"/>
  <c r="H1051" i="7"/>
  <c r="H1052" i="7" s="1"/>
  <c r="F1051" i="7" s="1"/>
  <c r="H1056" i="7"/>
  <c r="H1057" i="7"/>
  <c r="H1058" i="7" s="1"/>
  <c r="H1062" i="7"/>
  <c r="H1063" i="7"/>
  <c r="H1064" i="7" s="1"/>
  <c r="H1068" i="7"/>
  <c r="H1069" i="7"/>
  <c r="H1070" i="7" s="1"/>
  <c r="H1074" i="7"/>
  <c r="H1075" i="7"/>
  <c r="H1076" i="7"/>
  <c r="F1075" i="7" s="1"/>
  <c r="H1080" i="7"/>
  <c r="H1081" i="7"/>
  <c r="H1082" i="7" s="1"/>
  <c r="H1086" i="7"/>
  <c r="H1087" i="7"/>
  <c r="H1088" i="7" s="1"/>
  <c r="H1092" i="7"/>
  <c r="H1093" i="7"/>
  <c r="H1094" i="7"/>
  <c r="F1094" i="7" s="1"/>
  <c r="H1098" i="7"/>
  <c r="H1099" i="7"/>
  <c r="H1100" i="7" s="1"/>
  <c r="F1099" i="7" s="1"/>
  <c r="H1104" i="7"/>
  <c r="H1105" i="7"/>
  <c r="H1106" i="7" s="1"/>
  <c r="H1110" i="7"/>
  <c r="H1111" i="7"/>
  <c r="H1112" i="7" s="1"/>
  <c r="H1116" i="7"/>
  <c r="H1117" i="7"/>
  <c r="H1118" i="7" s="1"/>
  <c r="G1124" i="7"/>
  <c r="F1124" i="7" l="1"/>
  <c r="F1125" i="7" s="1"/>
  <c r="F1118" i="7"/>
  <c r="F1117" i="7"/>
  <c r="F1021" i="7"/>
  <c r="F925" i="7"/>
  <c r="F1070" i="7"/>
  <c r="F1069" i="7"/>
  <c r="F1046" i="7"/>
  <c r="F1045" i="7"/>
  <c r="F974" i="7"/>
  <c r="F973" i="7"/>
  <c r="F950" i="7"/>
  <c r="F949" i="7"/>
  <c r="F876" i="7"/>
  <c r="F875" i="7"/>
  <c r="F1093" i="7"/>
  <c r="F997" i="7"/>
  <c r="F899" i="7"/>
  <c r="F1105" i="7"/>
  <c r="F1106" i="7"/>
  <c r="F1010" i="7"/>
  <c r="F1009" i="7"/>
  <c r="F1088" i="7"/>
  <c r="F1087" i="7"/>
  <c r="F1033" i="7"/>
  <c r="F1034" i="7"/>
  <c r="F992" i="7"/>
  <c r="F991" i="7"/>
  <c r="F937" i="7"/>
  <c r="F938" i="7"/>
  <c r="F894" i="7"/>
  <c r="F893" i="7"/>
  <c r="F1064" i="7"/>
  <c r="F1063" i="7"/>
  <c r="F968" i="7"/>
  <c r="F967" i="7"/>
  <c r="F1112" i="7"/>
  <c r="F1111" i="7"/>
  <c r="F1016" i="7"/>
  <c r="F1015" i="7"/>
  <c r="F962" i="7"/>
  <c r="F961" i="7"/>
  <c r="F920" i="7"/>
  <c r="F919" i="7"/>
  <c r="F864" i="7"/>
  <c r="F863" i="7"/>
  <c r="F913" i="7"/>
  <c r="F912" i="7"/>
  <c r="F870" i="7"/>
  <c r="F869" i="7"/>
  <c r="F1057" i="7"/>
  <c r="F1058" i="7"/>
  <c r="F1082" i="7"/>
  <c r="F1081" i="7"/>
  <c r="F1040" i="7"/>
  <c r="F1039" i="7"/>
  <c r="F985" i="7"/>
  <c r="F986" i="7"/>
  <c r="F944" i="7"/>
  <c r="F943" i="7"/>
  <c r="F887" i="7"/>
  <c r="F888" i="7"/>
  <c r="F1052" i="7"/>
  <c r="F1028" i="7"/>
  <c r="F1004" i="7"/>
  <c r="F980" i="7"/>
  <c r="F956" i="7"/>
  <c r="F932" i="7"/>
  <c r="F906" i="7"/>
  <c r="F882" i="7"/>
  <c r="F1100" i="7"/>
  <c r="F1076" i="7"/>
  <c r="H559" i="7"/>
  <c r="H553" i="7"/>
  <c r="H547" i="7"/>
  <c r="H541" i="7"/>
  <c r="H585" i="7"/>
  <c r="H622" i="7"/>
  <c r="H628" i="7"/>
  <c r="H634" i="7"/>
  <c r="H640" i="7"/>
  <c r="H652" i="7"/>
  <c r="H706" i="7"/>
  <c r="H712" i="7"/>
  <c r="H718" i="7"/>
  <c r="H742" i="7"/>
  <c r="H743" i="7" s="1"/>
  <c r="F742" i="7" s="1"/>
  <c r="H754" i="7"/>
  <c r="H760" i="7"/>
  <c r="H766" i="7"/>
  <c r="H796" i="7"/>
  <c r="H797" i="7" s="1"/>
  <c r="H802" i="7"/>
  <c r="H808" i="7"/>
  <c r="H814" i="7"/>
  <c r="H820" i="7"/>
  <c r="H821" i="7" s="1"/>
  <c r="H826" i="7"/>
  <c r="H832" i="7"/>
  <c r="H610" i="7"/>
  <c r="H611" i="7" s="1"/>
  <c r="F610" i="7" s="1"/>
  <c r="H604" i="7"/>
  <c r="H605" i="7" s="1"/>
  <c r="H598" i="7"/>
  <c r="H592" i="7"/>
  <c r="H565" i="7"/>
  <c r="H571" i="7"/>
  <c r="H577" i="7"/>
  <c r="H584" i="7"/>
  <c r="H591" i="7"/>
  <c r="H597" i="7"/>
  <c r="H603" i="7"/>
  <c r="H609" i="7"/>
  <c r="H657" i="7"/>
  <c r="H651" i="7"/>
  <c r="H645" i="7"/>
  <c r="H639" i="7"/>
  <c r="H633" i="7"/>
  <c r="H627" i="7"/>
  <c r="H621" i="7"/>
  <c r="H615" i="7"/>
  <c r="H616" i="7"/>
  <c r="H646" i="7"/>
  <c r="H658" i="7"/>
  <c r="H675" i="7"/>
  <c r="H669" i="7"/>
  <c r="H663" i="7"/>
  <c r="H664" i="7"/>
  <c r="H670" i="7"/>
  <c r="H676" i="7"/>
  <c r="H687" i="7"/>
  <c r="H681" i="7"/>
  <c r="H682" i="7"/>
  <c r="H688" i="7"/>
  <c r="H694" i="7"/>
  <c r="H695" i="7" s="1"/>
  <c r="F694" i="7" s="1"/>
  <c r="H700" i="7"/>
  <c r="H701" i="7" s="1"/>
  <c r="H693" i="7"/>
  <c r="H699" i="7"/>
  <c r="H705" i="7"/>
  <c r="H711" i="7"/>
  <c r="H717" i="7"/>
  <c r="H723" i="7"/>
  <c r="H724" i="7"/>
  <c r="H729" i="7"/>
  <c r="H735" i="7"/>
  <c r="H741" i="7"/>
  <c r="H747" i="7"/>
  <c r="H753" i="7"/>
  <c r="H759" i="7"/>
  <c r="H765" i="7"/>
  <c r="H771" i="7"/>
  <c r="H772" i="7"/>
  <c r="H730" i="7"/>
  <c r="H736" i="7"/>
  <c r="H748" i="7"/>
  <c r="H790" i="7"/>
  <c r="H791" i="7" s="1"/>
  <c r="F790" i="7" s="1"/>
  <c r="H778" i="7"/>
  <c r="H779" i="7" s="1"/>
  <c r="F778" i="7" s="1"/>
  <c r="H784" i="7"/>
  <c r="H785" i="7" s="1"/>
  <c r="F784" i="7" s="1"/>
  <c r="H777" i="7"/>
  <c r="H783" i="7"/>
  <c r="H789" i="7"/>
  <c r="H795" i="7"/>
  <c r="H801" i="7"/>
  <c r="H807" i="7"/>
  <c r="H813" i="7"/>
  <c r="H819" i="7"/>
  <c r="H825" i="7"/>
  <c r="H844" i="7"/>
  <c r="H845" i="7" s="1"/>
  <c r="H850" i="7"/>
  <c r="H851" i="7" s="1"/>
  <c r="F851" i="7" s="1"/>
  <c r="H849" i="7"/>
  <c r="H843" i="7"/>
  <c r="H838" i="7"/>
  <c r="H837" i="7"/>
  <c r="H831" i="7"/>
  <c r="H578" i="7"/>
  <c r="H572" i="7"/>
  <c r="H566" i="7"/>
  <c r="H560" i="7"/>
  <c r="H554" i="7"/>
  <c r="H548" i="7"/>
  <c r="H542" i="7"/>
  <c r="H536" i="7"/>
  <c r="G858" i="7"/>
  <c r="H392" i="7"/>
  <c r="H623" i="7" l="1"/>
  <c r="F622" i="7" s="1"/>
  <c r="H767" i="7"/>
  <c r="F766" i="7" s="1"/>
  <c r="H809" i="7"/>
  <c r="F808" i="7" s="1"/>
  <c r="H815" i="7"/>
  <c r="F814" i="7" s="1"/>
  <c r="H599" i="7"/>
  <c r="F598" i="7" s="1"/>
  <c r="H659" i="7"/>
  <c r="F658" i="7" s="1"/>
  <c r="H647" i="7"/>
  <c r="F646" i="7" s="1"/>
  <c r="H617" i="7"/>
  <c r="F617" i="7" s="1"/>
  <c r="H677" i="7"/>
  <c r="H671" i="7"/>
  <c r="F670" i="7" s="1"/>
  <c r="H665" i="7"/>
  <c r="F664" i="7" s="1"/>
  <c r="H683" i="7"/>
  <c r="F682" i="7" s="1"/>
  <c r="H725" i="7"/>
  <c r="F724" i="7" s="1"/>
  <c r="H731" i="7"/>
  <c r="F730" i="7" s="1"/>
  <c r="H737" i="7"/>
  <c r="F736" i="7" s="1"/>
  <c r="H749" i="7"/>
  <c r="F749" i="7" s="1"/>
  <c r="H773" i="7"/>
  <c r="F773" i="7" s="1"/>
  <c r="H827" i="7"/>
  <c r="F826" i="7" s="1"/>
  <c r="H635" i="7"/>
  <c r="F634" i="7" s="1"/>
  <c r="H839" i="7"/>
  <c r="F838" i="7" s="1"/>
  <c r="H653" i="7"/>
  <c r="F653" i="7" s="1"/>
  <c r="H707" i="7"/>
  <c r="F706" i="7" s="1"/>
  <c r="H761" i="7"/>
  <c r="F760" i="7" s="1"/>
  <c r="H755" i="7"/>
  <c r="F754" i="7" s="1"/>
  <c r="H803" i="7"/>
  <c r="F802" i="7" s="1"/>
  <c r="H641" i="7"/>
  <c r="F640" i="7" s="1"/>
  <c r="H689" i="7"/>
  <c r="F688" i="7" s="1"/>
  <c r="H713" i="7"/>
  <c r="F713" i="7" s="1"/>
  <c r="H833" i="7"/>
  <c r="F832" i="7" s="1"/>
  <c r="H719" i="7"/>
  <c r="F718" i="7" s="1"/>
  <c r="H629" i="7"/>
  <c r="F629" i="7" s="1"/>
  <c r="F850" i="7"/>
  <c r="F820" i="7"/>
  <c r="F821" i="7"/>
  <c r="F796" i="7"/>
  <c r="F797" i="7"/>
  <c r="F700" i="7"/>
  <c r="F701" i="7"/>
  <c r="F772" i="7"/>
  <c r="F676" i="7"/>
  <c r="F677" i="7"/>
  <c r="F844" i="7"/>
  <c r="F845" i="7"/>
  <c r="F748" i="7"/>
  <c r="F604" i="7"/>
  <c r="F605" i="7"/>
  <c r="F785" i="7"/>
  <c r="F737" i="7"/>
  <c r="F791" i="7"/>
  <c r="F779" i="7"/>
  <c r="F743" i="7"/>
  <c r="F695" i="7"/>
  <c r="F671" i="7"/>
  <c r="F659" i="7"/>
  <c r="F623" i="7"/>
  <c r="F611" i="7"/>
  <c r="F531" i="7"/>
  <c r="G531" i="7"/>
  <c r="H535" i="7"/>
  <c r="H537" i="7" s="1"/>
  <c r="F536" i="7" s="1"/>
  <c r="H543" i="7"/>
  <c r="H549" i="7"/>
  <c r="H555" i="7"/>
  <c r="F555" i="7" s="1"/>
  <c r="H561" i="7"/>
  <c r="F560" i="7" s="1"/>
  <c r="H567" i="7"/>
  <c r="H573" i="7"/>
  <c r="H579" i="7"/>
  <c r="H586" i="7"/>
  <c r="F585" i="7" s="1"/>
  <c r="H593" i="7"/>
  <c r="F592" i="7" s="1"/>
  <c r="H386" i="7"/>
  <c r="H380" i="7"/>
  <c r="H374" i="7"/>
  <c r="H368" i="7"/>
  <c r="H362" i="7"/>
  <c r="H350" i="7"/>
  <c r="H338" i="7"/>
  <c r="H457" i="7"/>
  <c r="H451" i="7"/>
  <c r="H445" i="7"/>
  <c r="H439" i="7"/>
  <c r="H433" i="7"/>
  <c r="H421" i="7"/>
  <c r="H415" i="7"/>
  <c r="F647" i="7" l="1"/>
  <c r="F731" i="7"/>
  <c r="F827" i="7"/>
  <c r="F839" i="7"/>
  <c r="F616" i="7"/>
  <c r="F815" i="7"/>
  <c r="F652" i="7"/>
  <c r="F767" i="7"/>
  <c r="F809" i="7"/>
  <c r="F599" i="7"/>
  <c r="F635" i="7"/>
  <c r="F665" i="7"/>
  <c r="F683" i="7"/>
  <c r="F712" i="7"/>
  <c r="F725" i="7"/>
  <c r="F755" i="7"/>
  <c r="F707" i="7"/>
  <c r="F761" i="7"/>
  <c r="F833" i="7"/>
  <c r="F719" i="7"/>
  <c r="F628" i="7"/>
  <c r="F803" i="7"/>
  <c r="F641" i="7"/>
  <c r="F689" i="7"/>
  <c r="F858" i="7"/>
  <c r="F859" i="7" s="1"/>
  <c r="F532" i="7"/>
  <c r="F554" i="7"/>
  <c r="F579" i="7"/>
  <c r="F578" i="7"/>
  <c r="F542" i="7"/>
  <c r="F543" i="7"/>
  <c r="F567" i="7"/>
  <c r="F566" i="7"/>
  <c r="F593" i="7"/>
  <c r="F549" i="7"/>
  <c r="F548" i="7"/>
  <c r="F573" i="7"/>
  <c r="F572" i="7"/>
  <c r="F586" i="7"/>
  <c r="F561" i="7"/>
  <c r="F537" i="7"/>
  <c r="H326" i="7"/>
  <c r="H320" i="7"/>
  <c r="H314" i="7"/>
  <c r="H308" i="7"/>
  <c r="H302" i="7"/>
  <c r="H296" i="7"/>
  <c r="H290" i="7"/>
  <c r="H284" i="7"/>
  <c r="H278" i="7"/>
  <c r="H271" i="7"/>
  <c r="H257" i="7"/>
  <c r="H251" i="7"/>
  <c r="H245" i="7"/>
  <c r="H239" i="7"/>
  <c r="H215" i="7"/>
  <c r="H209" i="7"/>
  <c r="H203" i="7"/>
  <c r="G199" i="7" l="1"/>
  <c r="H193" i="7"/>
  <c r="H192" i="7"/>
  <c r="H187" i="7"/>
  <c r="H188" i="7" s="1"/>
  <c r="H186" i="7"/>
  <c r="H181" i="7"/>
  <c r="H182" i="7" s="1"/>
  <c r="H180" i="7"/>
  <c r="H175" i="7"/>
  <c r="H176" i="7" s="1"/>
  <c r="H174" i="7"/>
  <c r="H169" i="7"/>
  <c r="H168" i="7"/>
  <c r="H163" i="7"/>
  <c r="H164" i="7" s="1"/>
  <c r="H162" i="7"/>
  <c r="H157" i="7"/>
  <c r="H158" i="7" s="1"/>
  <c r="H156" i="7"/>
  <c r="H151" i="7"/>
  <c r="H152" i="7" s="1"/>
  <c r="H150" i="7"/>
  <c r="H145" i="7"/>
  <c r="H144" i="7"/>
  <c r="H139" i="7"/>
  <c r="H138" i="7"/>
  <c r="G134" i="7"/>
  <c r="F134" i="7"/>
  <c r="H117" i="7"/>
  <c r="F117" i="7" s="1"/>
  <c r="H116" i="7"/>
  <c r="H115" i="7"/>
  <c r="H110" i="7"/>
  <c r="H111" i="7" s="1"/>
  <c r="H109" i="7"/>
  <c r="H104" i="7"/>
  <c r="H105" i="7" s="1"/>
  <c r="H103" i="7"/>
  <c r="H98" i="7"/>
  <c r="H99" i="7" s="1"/>
  <c r="F99" i="7" s="1"/>
  <c r="H97" i="7"/>
  <c r="H92" i="7"/>
  <c r="H93" i="7" s="1"/>
  <c r="H91" i="7"/>
  <c r="H86" i="7"/>
  <c r="H87" i="7" s="1"/>
  <c r="H85" i="7"/>
  <c r="H80" i="7"/>
  <c r="H81" i="7" s="1"/>
  <c r="H79" i="7"/>
  <c r="H74" i="7"/>
  <c r="H75" i="7" s="1"/>
  <c r="F75" i="7" s="1"/>
  <c r="H73" i="7"/>
  <c r="G69" i="7"/>
  <c r="H63" i="7"/>
  <c r="H64" i="7" s="1"/>
  <c r="F64" i="7" s="1"/>
  <c r="H62" i="7"/>
  <c r="H57" i="7"/>
  <c r="H58" i="7" s="1"/>
  <c r="H56" i="7"/>
  <c r="H51" i="7"/>
  <c r="H52" i="7" s="1"/>
  <c r="H50" i="7"/>
  <c r="H45" i="7"/>
  <c r="H46" i="7" s="1"/>
  <c r="H44" i="7"/>
  <c r="H39" i="7"/>
  <c r="H40" i="7" s="1"/>
  <c r="F40" i="7" s="1"/>
  <c r="H38" i="7"/>
  <c r="H33" i="7"/>
  <c r="H34" i="7" s="1"/>
  <c r="H32" i="7"/>
  <c r="H27" i="7"/>
  <c r="H28" i="7" s="1"/>
  <c r="H26" i="7"/>
  <c r="H21" i="7"/>
  <c r="H22" i="7" s="1"/>
  <c r="H20" i="7"/>
  <c r="H15" i="7"/>
  <c r="H16" i="7" s="1"/>
  <c r="F16" i="7" s="1"/>
  <c r="H14" i="7"/>
  <c r="H9" i="7"/>
  <c r="H10" i="7" s="1"/>
  <c r="F10" i="7" s="1"/>
  <c r="H8" i="7"/>
  <c r="F135" i="7" l="1"/>
  <c r="F93" i="7"/>
  <c r="F92" i="7"/>
  <c r="F116" i="7"/>
  <c r="H146" i="7"/>
  <c r="F145" i="7" s="1"/>
  <c r="H170" i="7"/>
  <c r="F170" i="7" s="1"/>
  <c r="H194" i="7"/>
  <c r="F193" i="7" s="1"/>
  <c r="H140" i="7"/>
  <c r="F140" i="7" s="1"/>
  <c r="F69" i="7"/>
  <c r="F70" i="7" s="1"/>
  <c r="F58" i="7"/>
  <c r="F57" i="7"/>
  <c r="F34" i="7"/>
  <c r="F33" i="7"/>
  <c r="F9" i="7"/>
  <c r="F51" i="7"/>
  <c r="F52" i="7"/>
  <c r="F164" i="7"/>
  <c r="F163" i="7"/>
  <c r="F86" i="7"/>
  <c r="F87" i="7"/>
  <c r="F146" i="7"/>
  <c r="F169" i="7"/>
  <c r="F199" i="7"/>
  <c r="F200" i="7" s="1"/>
  <c r="F110" i="7"/>
  <c r="F111" i="7"/>
  <c r="F175" i="7"/>
  <c r="F176" i="7"/>
  <c r="F27" i="7"/>
  <c r="F28" i="7"/>
  <c r="F46" i="7"/>
  <c r="F45" i="7"/>
  <c r="F104" i="7"/>
  <c r="F105" i="7"/>
  <c r="F157" i="7"/>
  <c r="F158" i="7"/>
  <c r="F181" i="7"/>
  <c r="F182" i="7"/>
  <c r="F151" i="7"/>
  <c r="F152" i="7"/>
  <c r="F188" i="7"/>
  <c r="F187" i="7"/>
  <c r="F21" i="7"/>
  <c r="F22" i="7"/>
  <c r="F80" i="7"/>
  <c r="F81" i="7"/>
  <c r="F15" i="7"/>
  <c r="F39" i="7"/>
  <c r="F63" i="7"/>
  <c r="F74" i="7"/>
  <c r="F98" i="7"/>
  <c r="H524" i="7"/>
  <c r="H517" i="7"/>
  <c r="H504" i="7"/>
  <c r="H498" i="7"/>
  <c r="H486" i="7"/>
  <c r="H474" i="7"/>
  <c r="H468" i="7"/>
  <c r="H427" i="7"/>
  <c r="H409" i="7"/>
  <c r="H403" i="7"/>
  <c r="H356" i="7"/>
  <c r="H344" i="7"/>
  <c r="H272" i="7"/>
  <c r="H273" i="7" s="1"/>
  <c r="F272" i="7" s="1"/>
  <c r="H221" i="7"/>
  <c r="H511" i="7"/>
  <c r="H512" i="7" s="1"/>
  <c r="H510" i="7"/>
  <c r="H505" i="7"/>
  <c r="H506" i="7" s="1"/>
  <c r="F505" i="7" s="1"/>
  <c r="H499" i="7"/>
  <c r="H500" i="7" s="1"/>
  <c r="F499" i="7" s="1"/>
  <c r="H493" i="7"/>
  <c r="H494" i="7" s="1"/>
  <c r="H492" i="7"/>
  <c r="H487" i="7"/>
  <c r="H488" i="7" s="1"/>
  <c r="H481" i="7"/>
  <c r="H482" i="7" s="1"/>
  <c r="F482" i="7" s="1"/>
  <c r="H480" i="7"/>
  <c r="H475" i="7"/>
  <c r="H476" i="7" s="1"/>
  <c r="H469" i="7"/>
  <c r="H470" i="7" s="1"/>
  <c r="F470" i="7" s="1"/>
  <c r="H518" i="7"/>
  <c r="H519" i="7" s="1"/>
  <c r="H525" i="7"/>
  <c r="H526" i="7" s="1"/>
  <c r="F525" i="7" s="1"/>
  <c r="H404" i="7"/>
  <c r="H405" i="7" s="1"/>
  <c r="H410" i="7"/>
  <c r="H411" i="7" s="1"/>
  <c r="F464" i="7" s="1"/>
  <c r="H416" i="7"/>
  <c r="H417" i="7" s="1"/>
  <c r="H422" i="7"/>
  <c r="H423" i="7" s="1"/>
  <c r="H428" i="7"/>
  <c r="H429" i="7" s="1"/>
  <c r="H434" i="7"/>
  <c r="H435" i="7" s="1"/>
  <c r="H440" i="7"/>
  <c r="H441" i="7" s="1"/>
  <c r="H446" i="7"/>
  <c r="H447" i="7" s="1"/>
  <c r="H452" i="7"/>
  <c r="H453" i="7" s="1"/>
  <c r="H458" i="7"/>
  <c r="H459" i="7" s="1"/>
  <c r="F458" i="7" s="1"/>
  <c r="G464" i="7"/>
  <c r="H393" i="7"/>
  <c r="H394" i="7" s="1"/>
  <c r="H387" i="7"/>
  <c r="H388" i="7" s="1"/>
  <c r="H381" i="7"/>
  <c r="H382" i="7" s="1"/>
  <c r="H375" i="7"/>
  <c r="H376" i="7" s="1"/>
  <c r="H369" i="7"/>
  <c r="H370" i="7" s="1"/>
  <c r="H363" i="7"/>
  <c r="H364" i="7" s="1"/>
  <c r="H357" i="7"/>
  <c r="H351" i="7"/>
  <c r="H352" i="7" s="1"/>
  <c r="H345" i="7"/>
  <c r="H339" i="7"/>
  <c r="H340" i="7" s="1"/>
  <c r="G399" i="7"/>
  <c r="H327" i="7"/>
  <c r="H328" i="7" s="1"/>
  <c r="H321" i="7"/>
  <c r="H322" i="7" s="1"/>
  <c r="F321" i="7" s="1"/>
  <c r="H315" i="7"/>
  <c r="H316" i="7" s="1"/>
  <c r="F332" i="7" s="1"/>
  <c r="H309" i="7"/>
  <c r="H310" i="7" s="1"/>
  <c r="H303" i="7"/>
  <c r="H304" i="7" s="1"/>
  <c r="H297" i="7"/>
  <c r="H298" i="7" s="1"/>
  <c r="F297" i="7" s="1"/>
  <c r="H291" i="7"/>
  <c r="H292" i="7" s="1"/>
  <c r="H285" i="7"/>
  <c r="H286" i="7" s="1"/>
  <c r="H279" i="7"/>
  <c r="H280" i="7" s="1"/>
  <c r="G332" i="7"/>
  <c r="H258" i="7"/>
  <c r="H259" i="7" s="1"/>
  <c r="F264" i="7" s="1"/>
  <c r="H252" i="7"/>
  <c r="H253" i="7" s="1"/>
  <c r="H246" i="7"/>
  <c r="H247" i="7" s="1"/>
  <c r="H240" i="7"/>
  <c r="H241" i="7" s="1"/>
  <c r="H234" i="7"/>
  <c r="H235" i="7" s="1"/>
  <c r="H233" i="7"/>
  <c r="H228" i="7"/>
  <c r="H229" i="7" s="1"/>
  <c r="H227" i="7"/>
  <c r="H222" i="7"/>
  <c r="H223" i="7" s="1"/>
  <c r="H216" i="7"/>
  <c r="H217" i="7" s="1"/>
  <c r="F216" i="7" s="1"/>
  <c r="H210" i="7"/>
  <c r="H211" i="7" s="1"/>
  <c r="H204" i="7"/>
  <c r="H205" i="7" s="1"/>
  <c r="F204" i="7" s="1"/>
  <c r="G264" i="7"/>
  <c r="F493" i="7" l="1"/>
  <c r="F494" i="7"/>
  <c r="F194" i="7"/>
  <c r="F465" i="7"/>
  <c r="H358" i="7"/>
  <c r="F506" i="7"/>
  <c r="F475" i="7"/>
  <c r="F476" i="7"/>
  <c r="F511" i="7"/>
  <c r="F512" i="7"/>
  <c r="F518" i="7"/>
  <c r="F519" i="7"/>
  <c r="H346" i="7"/>
  <c r="F346" i="7" s="1"/>
  <c r="F387" i="7"/>
  <c r="F388" i="7"/>
  <c r="F339" i="7"/>
  <c r="F340" i="7"/>
  <c r="F139" i="7"/>
  <c r="F298" i="7"/>
  <c r="F309" i="7"/>
  <c r="F310" i="7"/>
  <c r="F286" i="7"/>
  <c r="F285" i="7"/>
  <c r="F205" i="7"/>
  <c r="F252" i="7"/>
  <c r="F253" i="7"/>
  <c r="F229" i="7"/>
  <c r="F228" i="7"/>
  <c r="F240" i="7"/>
  <c r="F241" i="7"/>
  <c r="F265" i="7"/>
  <c r="F211" i="7"/>
  <c r="F210" i="7"/>
  <c r="F351" i="7"/>
  <c r="F352" i="7"/>
  <c r="F375" i="7"/>
  <c r="F376" i="7"/>
  <c r="F453" i="7"/>
  <c r="F452" i="7"/>
  <c r="F429" i="7"/>
  <c r="F428" i="7"/>
  <c r="F405" i="7"/>
  <c r="F404" i="7"/>
  <c r="F487" i="7"/>
  <c r="F488" i="7"/>
  <c r="F333" i="7"/>
  <c r="F357" i="7"/>
  <c r="F446" i="7"/>
  <c r="F447" i="7"/>
  <c r="F422" i="7"/>
  <c r="F423" i="7"/>
  <c r="F217" i="7"/>
  <c r="F223" i="7"/>
  <c r="F222" i="7"/>
  <c r="F273" i="7"/>
  <c r="F280" i="7"/>
  <c r="F279" i="7"/>
  <c r="F292" i="7"/>
  <c r="F291" i="7"/>
  <c r="F304" i="7"/>
  <c r="F303" i="7"/>
  <c r="F316" i="7"/>
  <c r="F315" i="7"/>
  <c r="F328" i="7"/>
  <c r="F327" i="7"/>
  <c r="F363" i="7"/>
  <c r="F364" i="7"/>
  <c r="F382" i="7"/>
  <c r="F381" i="7"/>
  <c r="F394" i="7"/>
  <c r="F393" i="7"/>
  <c r="F441" i="7"/>
  <c r="F440" i="7"/>
  <c r="F417" i="7"/>
  <c r="F416" i="7"/>
  <c r="F235" i="7"/>
  <c r="F234" i="7"/>
  <c r="F247" i="7"/>
  <c r="F246" i="7"/>
  <c r="F259" i="7"/>
  <c r="F258" i="7"/>
  <c r="F322" i="7"/>
  <c r="F370" i="7"/>
  <c r="F369" i="7"/>
  <c r="F434" i="7"/>
  <c r="F435" i="7"/>
  <c r="F410" i="7"/>
  <c r="F411" i="7"/>
  <c r="F500" i="7"/>
  <c r="F469" i="7"/>
  <c r="F481" i="7"/>
  <c r="F459" i="7"/>
  <c r="F526" i="7"/>
  <c r="F399" i="7" l="1"/>
  <c r="F400" i="7" s="1"/>
  <c r="F345" i="7"/>
  <c r="F358" i="7"/>
</calcChain>
</file>

<file path=xl/sharedStrings.xml><?xml version="1.0" encoding="utf-8"?>
<sst xmlns="http://schemas.openxmlformats.org/spreadsheetml/2006/main" count="2569" uniqueCount="656">
  <si>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</si>
  <si>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</si>
  <si>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</si>
  <si>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</si>
  <si>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</si>
  <si>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</si>
  <si>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</si>
  <si>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</si>
  <si>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</si>
  <si>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</si>
  <si>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</si>
  <si>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</si>
  <si>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</si>
  <si>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</si>
  <si>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E</t>
  </si>
  <si>
    <t>•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</si>
  <si>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</si>
  <si>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</si>
  <si>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</si>
  <si>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</si>
  <si>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</si>
  <si>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</si>
  <si>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</si>
  <si>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</si>
  <si>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</si>
  <si>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</si>
  <si>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</si>
  <si>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</si>
  <si>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</si>
  <si>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</si>
  <si>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</si>
  <si>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SEG</t>
  </si>
  <si>
    <t>Confidencialidad</t>
  </si>
  <si>
    <t>Autenticación</t>
  </si>
  <si>
    <t>TEMA 2</t>
  </si>
  <si>
    <t>TEMA 3</t>
  </si>
  <si>
    <t xml:space="preserve">Almacenar las contraseñas de los usuarios de forma segura. </t>
  </si>
  <si>
    <t>TEMA 4</t>
  </si>
  <si>
    <t>TEMA 5</t>
  </si>
  <si>
    <t xml:space="preserve">TEMA 6 </t>
  </si>
  <si>
    <t>TEMA  7</t>
  </si>
  <si>
    <t>La independencia física</t>
  </si>
  <si>
    <t>Evita problemas de redundancia.</t>
  </si>
  <si>
    <t>Hace que podamos usar las bases de datos Independientemente del sistema operativo.</t>
  </si>
  <si>
    <t>Permite modificar los modelos independientemente de su almacenamiento.</t>
  </si>
  <si>
    <t>Hace que podamos acceder a los datos desde cualquier equipo.</t>
  </si>
  <si>
    <t>¿Qué es cierto respecto a los SGBD y bases de datos?</t>
  </si>
  <si>
    <t>Las bases de datos se crean necesariamente con un SGBD.</t>
  </si>
  <si>
    <t>Uno hace referencia a un software y una base es conceptual.</t>
  </si>
  <si>
    <t>Un SGBD es una herramienta CASE.</t>
  </si>
  <si>
    <t>No hay diferencia.</t>
  </si>
  <si>
    <t>¿Cuáles de los siguientes objetos no son equivalentes a una tabla?</t>
  </si>
  <si>
    <t>Consulta.</t>
  </si>
  <si>
    <t>Tupla.</t>
  </si>
  <si>
    <t>Procedimiento.</t>
  </si>
  <si>
    <t>Vista.</t>
  </si>
  <si>
    <t>¿Qué es una base de datos?</t>
  </si>
  <si>
    <t>Un programa para organizar datos.</t>
  </si>
  <si>
    <t>Todo lo anterior.</t>
  </si>
  <si>
    <t>Un software que facilita la gestión de datos.</t>
  </si>
  <si>
    <t>Un conjunto de datos organizados.</t>
  </si>
  <si>
    <t>Las bases de datos son</t>
  </si>
  <si>
    <t>Relacionales o jerárquicas.</t>
  </si>
  <si>
    <t>Primero eran en red y ahora son relacionales.</t>
  </si>
  <si>
    <t>La mayoría son relacionales.</t>
  </si>
  <si>
    <t>Relacionales.</t>
  </si>
  <si>
    <t>Un sistema de información</t>
  </si>
  <si>
    <t>Describe los datos de un sistema.</t>
  </si>
  <si>
    <t>Es el conjunto de elementos para gestionar la información de un sistema.</t>
  </si>
  <si>
    <t>Permite controlar la información de una empresa.</t>
  </si>
  <si>
    <t>¿Cuál es el significado de GPL en el contexto informático?</t>
  </si>
  <si>
    <t>General Public Library.</t>
  </si>
  <si>
    <t>Great Politic License.</t>
  </si>
  <si>
    <t>General Public License.</t>
  </si>
  <si>
    <t>Grupo de Procesado por Láser.</t>
  </si>
  <si>
    <t>¿Qué se quiere decir cuando se habla de nivel conceptual?</t>
  </si>
  <si>
    <t>La imagen de la base de datos vista por el ordenador.</t>
  </si>
  <si>
    <t>Una imagen de la base de datos independiente de la implementación física.</t>
  </si>
  <si>
    <t>Lo que percibe el usuario.</t>
  </si>
  <si>
    <t>El código para crear la base de datos.</t>
  </si>
  <si>
    <t>Los sistemas libres</t>
  </si>
  <si>
    <t>Ninguno de los anteriores necesariamente.</t>
  </si>
  <si>
    <t>Son más baratos.</t>
  </si>
  <si>
    <t>Son más difíciles.</t>
  </si>
  <si>
    <t>Son más potentes y mejores que los comerciales.</t>
  </si>
  <si>
    <t>Un modelo es</t>
  </si>
  <si>
    <t>Un programa para dibujar cajas y flechas.</t>
  </si>
  <si>
    <t>Una forma de representar un sistema.</t>
  </si>
  <si>
    <t>Una forma de representar información.</t>
  </si>
  <si>
    <t>Una representación de un conjunto de datos.</t>
  </si>
  <si>
    <t>El diccionario de datos en un SGBD es:</t>
  </si>
  <si>
    <t>Una BD donde se guardan los datos de las BDs del sistema.</t>
  </si>
  <si>
    <t>Lo que hay en la base de datos information_schema.</t>
  </si>
  <si>
    <t>Lo que hay en la base de datos mysql.</t>
  </si>
  <si>
    <t>La información sobre los datos almacenados en una base de datos.</t>
  </si>
  <si>
    <t>¿Qué hace la opción console cuando arrancamos el servidor?</t>
  </si>
  <si>
    <t>Volcar por pantalla la salida del comando del servidor.</t>
  </si>
  <si>
    <t>Activar los permisos en las bases de datos.</t>
  </si>
  <si>
    <t>Mostrar la versión.</t>
  </si>
  <si>
    <t>Reiniciar el servidor.</t>
  </si>
  <si>
    <t>La palabra engine en MySQL designa</t>
  </si>
  <si>
    <t>Un tipo de estructura en la que almacenar datos.</t>
  </si>
  <si>
    <t>Un motor de almacenamiento.</t>
  </si>
  <si>
    <t>Un tipo de tabla.</t>
  </si>
  <si>
    <t>Todas las anteriores.</t>
  </si>
  <si>
    <t>¿Cuál de los siguientes no es un campo de la tabla columns del diccionario de datos?</t>
  </si>
  <si>
    <t>Type.</t>
  </si>
  <si>
    <t>Extra.</t>
  </si>
  <si>
    <t>Numeric_scale.</t>
  </si>
  <si>
    <t>Table_schema.</t>
  </si>
  <si>
    <t>Si tenemos varias tarjetas de red en nuestro servidor, ¿cómo lo asociamos a una de ellas?</t>
  </si>
  <si>
    <t>Usando la opción bind</t>
  </si>
  <si>
    <t>Usando la opción bind-address.</t>
  </si>
  <si>
    <t>Usando la opción ipconfig.</t>
  </si>
  <si>
    <t>Poniendo en el fichero my.ini ip=ip-interfaz</t>
  </si>
  <si>
    <t>El comando purge:</t>
  </si>
  <si>
    <t>Vacía el registro de actualización de consultas.</t>
  </si>
  <si>
    <t>Permite reparar tablas.</t>
  </si>
  <si>
    <t>Elimina datos espurios.</t>
  </si>
  <si>
    <t>Es como flush pero más rápido.</t>
  </si>
  <si>
    <t>¿En qué directorio se almacenen los programas de MySQL?</t>
  </si>
  <si>
    <t>scripts.</t>
  </si>
  <si>
    <t>data.</t>
  </si>
  <si>
    <t>bin.</t>
  </si>
  <si>
    <t>tables</t>
  </si>
  <si>
    <t>¿Qué se entiende por SQL?</t>
  </si>
  <si>
    <t>Un gestor de bases de datos.</t>
  </si>
  <si>
    <t>Un estándar de SGBD.</t>
  </si>
  <si>
    <t>Un lenguaje de programación.</t>
  </si>
  <si>
    <t>Un lenguaje para la gestión de bases de datos.</t>
  </si>
  <si>
    <t>¿Qué permisos se requieren para otorgar permisos en una base de datos?</t>
  </si>
  <si>
    <t>revoque.</t>
  </si>
  <si>
    <t>process.</t>
  </si>
  <si>
    <t>reload.</t>
  </si>
  <si>
    <t>gran.</t>
  </si>
  <si>
    <t>¿De qué forma podemos activar los permisos?</t>
  </si>
  <si>
    <t>No hace falta, se activan siempre nada más crearlos.</t>
  </si>
  <si>
    <t>Con FLUSH PRIVILEGES o mysqladmin reload.</t>
  </si>
  <si>
    <t>Con mysqladmin solamente.</t>
  </si>
  <si>
    <t>Usando REVOKE.</t>
  </si>
  <si>
    <t>¿Qué conseguimos con el comando mysqladmin --flush threads?</t>
  </si>
  <si>
    <t>Registrar la sesión de un usuario.</t>
  </si>
  <si>
    <t>Reiniciar las conexiones de los usuarios remotos.</t>
  </si>
  <si>
    <t>Poner a cero las variables de sesión de los usuarios.</t>
  </si>
  <si>
    <t>Cancelar las conexiones de los usuarios remotos.</t>
  </si>
  <si>
    <t>El permiso procese permite:</t>
  </si>
  <si>
    <t>Mostrar los procesos activos del servidor.</t>
  </si>
  <si>
    <t>Ejecutar rutinas almacenadas.</t>
  </si>
  <si>
    <t>Ejecutar mysqladmin showprocesslist.</t>
  </si>
  <si>
    <t>Crear usuarios.</t>
  </si>
  <si>
    <t>SSL es:</t>
  </si>
  <si>
    <t>Un protocolo de la capa 3 len el modelo tcp/ip.</t>
  </si>
  <si>
    <t>Un sistema de seguridad en red.</t>
  </si>
  <si>
    <t>Un protocolo de la capa de aplicación.</t>
  </si>
  <si>
    <t>Un sistema de claves públicas y privadas.</t>
  </si>
  <si>
    <t>¿Podemos modificar manualmente la tabla user?</t>
  </si>
  <si>
    <t>Solo si tenemos permisos,</t>
  </si>
  <si>
    <t>No, solo se modifica. con GRANT y REVOKE.</t>
  </si>
  <si>
    <t>Solo si después hacemos flush.</t>
  </si>
  <si>
    <t>Siempre que después reiniciemos el servidor.</t>
  </si>
  <si>
    <t>¿Qué es una cuenta?</t>
  </si>
  <si>
    <t>Un usuario y una ip.</t>
  </si>
  <si>
    <t>Un permiso especial.</t>
  </si>
  <si>
    <t>Lo que te permite acceder a un sistema Linux.</t>
  </si>
  <si>
    <t>Un usuario de una base de datos.</t>
  </si>
  <si>
    <t>La tabla de permisos host contiene:</t>
  </si>
  <si>
    <t>Direcciones desde donde se puede acceder al servidor.</t>
  </si>
  <si>
    <t>Direcciones desde donde no se puede acceder al servidor.</t>
  </si>
  <si>
    <t>Equipos comentados al servidor.</t>
  </si>
  <si>
    <t>Equipos que pueden acceder a cierta base de datos.</t>
  </si>
  <si>
    <t>Verisign se conoce como:</t>
  </si>
  <si>
    <t>Una empresa de certificados digitales.</t>
  </si>
  <si>
    <t>Una autoridad de certificación.</t>
  </si>
  <si>
    <t>Un software que usa SSL.</t>
  </si>
  <si>
    <t>¿Cómo creo un usuario en mi servidor?</t>
  </si>
  <si>
    <t>CREATE USER.</t>
  </si>
  <si>
    <t>Con todos ellos.</t>
  </si>
  <si>
    <t>Con INSERT.</t>
  </si>
  <si>
    <t>Con GRANT.</t>
  </si>
  <si>
    <t>Un trigger:</t>
  </si>
  <si>
    <t>Es una función que se ejecuta cuando hay un cambio en una tabla.</t>
  </si>
  <si>
    <t>Se dispara cada vez que un usuario accede al sistema.</t>
  </si>
  <si>
    <t>Es una función para copias de seguridad.</t>
  </si>
  <si>
    <t>Ninguna de las anteriores.</t>
  </si>
  <si>
    <t>Diferencia entre procedimiento y función:</t>
  </si>
  <si>
    <t>Las funciones siempre devuelven un valor.</t>
  </si>
  <si>
    <t>Los procedimientos no permiten variables out.</t>
  </si>
  <si>
    <t>Las funciones no pueden acceder a tablas.</t>
  </si>
  <si>
    <t>Las funciones solo devuelven un valor como máximo.</t>
  </si>
  <si>
    <t>Las variables de sesión:</t>
  </si>
  <si>
    <t>Desparecen al cerrar la sesión.</t>
  </si>
  <si>
    <t>Permanecen asociadas a cada usuario siempre.</t>
  </si>
  <si>
    <t>Van precedidas por una arroba.</t>
  </si>
  <si>
    <t>Se reinician al cerrar la sesión.</t>
  </si>
  <si>
    <t>Una variable de entrada/salida:</t>
  </si>
  <si>
    <t>Entra y sale.</t>
  </si>
  <si>
    <t>No debe modificarse.</t>
  </si>
  <si>
    <t>Es actualizable.</t>
  </si>
  <si>
    <t>Es de solo lectura.</t>
  </si>
  <si>
    <t>Las vistas:</t>
  </si>
  <si>
    <t>Permiten monitorizar partes de una tabla.</t>
  </si>
  <si>
    <t>Permiten acceder a partes de una tabla.</t>
  </si>
  <si>
    <t>Es lo que usa la caché de MySQL.</t>
  </si>
  <si>
    <t>Facilitan la visualización de las tablas.</t>
  </si>
  <si>
    <t>Un evento:</t>
  </si>
  <si>
    <t>Ocurre a una hora dada.</t>
  </si>
  <si>
    <t>Se registra en cada consulta.</t>
  </si>
  <si>
    <t>Ocurre con cierta frecuencia.</t>
  </si>
  <si>
    <t>Es lo que ocurre cada vez que un usuario accede al servidor.</t>
  </si>
  <si>
    <t>Un trigger de tipo before:</t>
  </si>
  <si>
    <t>Solo se usa en consultas.</t>
  </si>
  <si>
    <t>No tiene sentido actualizaciones.</t>
  </si>
  <si>
    <t>No tiene sentido en borrados.</t>
  </si>
  <si>
    <t>Actúa solo antes de una actualización.</t>
  </si>
  <si>
    <t>La palabra reservada OLD:</t>
  </si>
  <si>
    <t>Permite guardar datos borrados.</t>
  </si>
  <si>
    <t>Se usa en triggers, especialmente para inserciones.</t>
  </si>
  <si>
    <t>Permite referirnos a campos que van a modificarse.</t>
  </si>
  <si>
    <t>Es muy útil en consultas.</t>
  </si>
  <si>
    <t>Una transacción en el contexto de MySQL:</t>
  </si>
  <si>
    <t>Describe una operación critica.</t>
  </si>
  <si>
    <t>Permite asegurar una serie de operaciones críticas sobre la BD.</t>
  </si>
  <si>
    <t>Debe incluir un commit y un rollback,</t>
  </si>
  <si>
    <t>Sirve para controlar errores.</t>
  </si>
  <si>
    <t>¿Cómo accedemos al código de una rutina?</t>
  </si>
  <si>
    <t>Consultado la base de datos infonnation_schema.</t>
  </si>
  <si>
    <t>Se guardan compiladas.</t>
  </si>
  <si>
    <t>Consultando la base de datos MySQL.</t>
  </si>
  <si>
    <t>Es imposible.</t>
  </si>
  <si>
    <t>¿Cómo se almacenan los índices en tablas lnnoDB?</t>
  </si>
  <si>
    <t>Solo los valores con su dirección de memoria.</t>
  </si>
  <si>
    <t>Se almacenan en ficheros separados.</t>
  </si>
  <si>
    <t>Las almacena directamente en el disco duro.</t>
  </si>
  <si>
    <t>Se guardan en un fichero junto con los de las tablas MylSAM.</t>
  </si>
  <si>
    <t>¿Cuál de los siguientes no es un tipo de índice?</t>
  </si>
  <si>
    <t>Fulltext.</t>
  </si>
  <si>
    <t>Spatial.</t>
  </si>
  <si>
    <t>Hash.</t>
  </si>
  <si>
    <t>Btree.</t>
  </si>
  <si>
    <t>¿Cuántos accesos a disco requiere la consulta: SELECT * FROM equipo, jugador, partido?</t>
  </si>
  <si>
    <t>3.</t>
  </si>
  <si>
    <t>Pocos.</t>
  </si>
  <si>
    <t>Muchos.</t>
  </si>
  <si>
    <t>2.</t>
  </si>
  <si>
    <t>¿Qué significa using temporary en el contexto del comando explain?</t>
  </si>
  <si>
    <t>Se requiere una tabla temporal en memoria.</t>
  </si>
  <si>
    <t>Necesita usar el directorio temporal.</t>
  </si>
  <si>
    <t>Que hay que esperar un poco.</t>
  </si>
  <si>
    <t>Se requiere una tabla temporal en disco.</t>
  </si>
  <si>
    <t>¿Por qué podría interesar no usar la caché en una consulta?</t>
  </si>
  <si>
    <t>Para tardar más tiempo.</t>
  </si>
  <si>
    <t>Porque cambian mucho los datos.</t>
  </si>
  <si>
    <t>Para obtener datos fiables.</t>
  </si>
  <si>
    <t>Los índices en MySQL:</t>
  </si>
  <si>
    <t>Solo se ordenan cuando se accede a ellos.</t>
  </si>
  <si>
    <t>Están ordenados descendentemente.</t>
  </si>
  <si>
    <t>Están ordenados ascendentemente.</t>
  </si>
  <si>
    <t>Se puede elegir el tipo de ordenación.</t>
  </si>
  <si>
    <t>Las tablas tipo memory:</t>
  </si>
  <si>
    <t>Están en desuso.</t>
  </si>
  <si>
    <t>Son copias de trozos de tablas.</t>
  </si>
  <si>
    <t>Guardan índices.</t>
  </si>
  <si>
    <t>Existen solo en memoria.</t>
  </si>
  <si>
    <t>¿Qué programas que sirvan para la monitorización reconoces?</t>
  </si>
  <si>
    <t>Mpop.</t>
  </si>
  <si>
    <t>Mysql sandbox.</t>
  </si>
  <si>
    <t>Mysqltest.</t>
  </si>
  <si>
    <t>Mytop.</t>
  </si>
  <si>
    <t>Tu memoria está saturada. ¿Qué variables de entorno deberías contemplar?</t>
  </si>
  <si>
    <t>thread_cache_size.</t>
  </si>
  <si>
    <t>key _buffer_size.</t>
  </si>
  <si>
    <t>read_buffer_size.</t>
  </si>
  <si>
    <t>net_buffer_length.</t>
  </si>
  <si>
    <t>Tu aplicación va a tener muchas consultas, ¿qué variables debes monitorizar?</t>
  </si>
  <si>
    <t>max_connections,</t>
  </si>
  <si>
    <t>threads_cached.</t>
  </si>
  <si>
    <t>threads_created.</t>
  </si>
  <si>
    <t>¿Qué instrucción nos permite hacer una copia de seguridad en local de las base de datos TIENDA y ALMACEN?</t>
  </si>
  <si>
    <t>Todas son correctas</t>
  </si>
  <si>
    <t>mysqldump -u root -p --opt --all-databases &gt; bk_Tienda_y_Almacen.sql</t>
  </si>
  <si>
    <t>mysqldump -u root -p --opt --databases TIENDA ALMACEN &gt; bk_Tienda_y_Almacen.sql</t>
  </si>
  <si>
    <t>mysqldump -u root -p --opt TIENDA &gt; bk_Tienda_y_Almacen.sql</t>
  </si>
  <si>
    <t>¿Qué necesita MySQL para poder hacer copias incrementales?</t>
  </si>
  <si>
    <t>No hay que hacer nada.</t>
  </si>
  <si>
    <t>Tener activado activado el registro de errores (-log-err).</t>
  </si>
  <si>
    <t>Tener activado activado el registro binario (-log-bin) y almacenar en la copia completa a partir de que fichero binario es la copia incremental (--master-data).</t>
  </si>
  <si>
    <t>Utilizar la opción --incremental en el comando mysqldump</t>
  </si>
  <si>
    <t>¿Qué instrucción nos permite hacer una copia de seguridad de la base de datos TIENDA que tenemos en local al servidor remoto cental.mistiendas.com con el nombre TIENDA_001?</t>
  </si>
  <si>
    <t>mysqldump -u root -p --opt --all-databases | mysql --host cental.mistiendas.com --u root --p</t>
  </si>
  <si>
    <t>mysqldump -u root -p --opt --databases TIENDA ALMACEN &gt; //cental.mistiendas.com/bk_Tienda.sql</t>
  </si>
  <si>
    <t>mysqldump -u root -p TIENDA | mysql --host cental.mistiendas.com --u root --p --database TIENDA_001</t>
  </si>
  <si>
    <t>¿Qué instrucción nos permite restaurar las copias incrementales, un vez restaurada la copia completa, sabiendo que el primer registro binario incremental es TIENDA.000004?</t>
  </si>
  <si>
    <t>mysqlbinlog TIENDA.000004 TIENDA.000005 TIENDA.000006 ... | mysql</t>
  </si>
  <si>
    <t>mysql -u root -p --restore TIENDA.000004</t>
  </si>
  <si>
    <t>mysqldump --restore TIENDA.000004</t>
  </si>
  <si>
    <t>¿Qué instrucción nos permite hacer una copia completa el Domingo de todas las bases de datos, si el resto de la semana vamos a utilizar copiar incrementales?</t>
  </si>
  <si>
    <t>mysqldump --databases  &gt; bk_Full_Domingo.sql</t>
  </si>
  <si>
    <t>mysqldump --all-databases --single-Transaction --flush-logs --master-data=2 &gt; bk_Full_Domingo.sql</t>
  </si>
  <si>
    <t>Ninguna es correcta</t>
  </si>
  <si>
    <t>mysqldump --all-databases  &gt; bk_Full_Domingo.sql</t>
  </si>
  <si>
    <t>¿Qué instrucción nos permite hacer una copia de seguridad en local de todas la base de datos que tenemos en servidor MySQL?</t>
  </si>
  <si>
    <t>mysqldump -u root -p --opt TIENDA Clientes Albaranes &gt; bk_TodasLasBD.sql</t>
  </si>
  <si>
    <t>mysqldump -u root -p --opt --all-databases &gt; bk_TodasLasBD.sql</t>
  </si>
  <si>
    <t>mysqldump -u root -p --opt --databases Clientes Albaranes &gt; bk_TodasLasBD.sql</t>
  </si>
  <si>
    <t>¿En que fichero se encuentra el nombre del registro binario a partir del cual empieza la copia incremental?</t>
  </si>
  <si>
    <t>El primero que aparezca en la carpeta designada para el registro binario.</t>
  </si>
  <si>
    <t>No hace falta saberlo.</t>
  </si>
  <si>
    <t>En cualquier fichero .sql de copia de seguridad.</t>
  </si>
  <si>
    <t>En el fichero .sql creado con --master-data</t>
  </si>
  <si>
    <t>¿Qué instrucción nos permite hacer una copia de seguridad en local de la base de datos TIENDA?</t>
  </si>
  <si>
    <t>mysqldump -u root -p --opt TIENDA &gt; bk_Tienda.sql</t>
  </si>
  <si>
    <t>mysqldump -u root -p --opt --all-databases &gt; bk_Tienda.sql</t>
  </si>
  <si>
    <t>mysqldump -u root -p --opt --databases TIENDA ALMACEN &gt; bk_Tienda.sql</t>
  </si>
  <si>
    <t>¿Qué instrucción nos permite restaurar una copia de seguridad que tenemos en bk_Full_Domingo.sql?</t>
  </si>
  <si>
    <t>mysql -u root -p -r bk_Full_Domingo.sql</t>
  </si>
  <si>
    <t>mysqldump --restore  bk_Full_Domingo.sql</t>
  </si>
  <si>
    <t>mysql -u root -p &lt; bk_Full_Domingo.sql</t>
  </si>
  <si>
    <t>¿Qué instrucción nos permite hacer una copia de seguridad en local de las tablas Clientes y Albaranes pertenecientes a la base de datos TIENDA?</t>
  </si>
  <si>
    <t>mysqldump -u root -p --opt --all-databases &gt; bk_Cli_y_Alba.sql</t>
  </si>
  <si>
    <t>mysqldump -u root -p --opt TIENDA Clientes Albaranes &gt; bk_Cli_y_Alba.sql</t>
  </si>
  <si>
    <t>mysqldump -u root -p --opt --databases Clientes Albaranes &gt; bk_Cli_y_Alba.sql</t>
  </si>
  <si>
    <t>Establece la memoria mínima del cluster.</t>
  </si>
  <si>
    <t>La caché de índices del cluster.</t>
  </si>
  <si>
    <t>La memoria máxima para almacenar índices de las tablas ndb-cluster.</t>
  </si>
  <si>
    <t>La memoria mínima del cluster para gestionar índices.</t>
  </si>
  <si>
    <t>La replicación en MySQL:</t>
  </si>
  <si>
    <t>Requiere al menos un maestro y un esclavo.</t>
  </si>
  <si>
    <t>Requiere al menos dos servidores MySQL.</t>
  </si>
  <si>
    <t>Sirve para hacer copias de seguridad.</t>
  </si>
  <si>
    <t>Permite optimizar las consultas.</t>
  </si>
  <si>
    <t>¿Por qué debemos bloquear las tablas MyISAM para lectura en una replicación?</t>
  </si>
  <si>
    <t>Para que nadie acceda a las tablas mientras se configura.</t>
  </si>
  <si>
    <t>Porque no son transaccionales.</t>
  </si>
  <si>
    <t>Porque podría haber una escritura en el proceso.</t>
  </si>
  <si>
    <t>Para que no se corrompan.</t>
  </si>
  <si>
    <t>¿Qué entendemos por coordenadas de una replicación?</t>
  </si>
  <si>
    <t>La IP y directorio de datos de replicación.</t>
  </si>
  <si>
    <t>La ubicación de los ficheros binarios.</t>
  </si>
  <si>
    <t>El desplazamiento y el último fichero de log binario.</t>
  </si>
  <si>
    <t>El desplazamiento del registro binario.</t>
  </si>
  <si>
    <t>La replicación de datos:</t>
  </si>
  <si>
    <t>No tiene sentido pues genera redundancia.</t>
  </si>
  <si>
    <t>Puede ser inconveniente para sistemas de muchas modificaciones.</t>
  </si>
  <si>
    <t>Es incompatible con la fragmentación.</t>
  </si>
  <si>
    <t>Favorece la disponibilidad.</t>
  </si>
  <si>
    <t>Un cluster en el contexto de sistemas gestores de bases de datos es:</t>
  </si>
  <si>
    <t>Un conjunto de servidores que trabaja con una sola copia de datos.</t>
  </si>
  <si>
    <t>Un conjunto de servidores replicados trabajando coordinadamente.</t>
  </si>
  <si>
    <t>Un conjunto de programas coordinados para proporcionar balanceo y alta disponibilidad.</t>
  </si>
  <si>
    <t>Un método para balancear la carga del gestor de bases de datos.</t>
  </si>
  <si>
    <t>¿Qué es el balanceo de carga?</t>
  </si>
  <si>
    <t>Repartir la carga entre varios servidores.</t>
  </si>
  <si>
    <t>Usar el mismo software en todos los servidores de BD.</t>
  </si>
  <si>
    <t>La gestión de clientes de una BD.</t>
  </si>
  <si>
    <t>Distribuir bien los datos entre distintos servidores esclavos.</t>
  </si>
  <si>
    <t>¿Qué privilegios se requieren para hacer una replicación?</t>
  </si>
  <si>
    <t>Process y load.</t>
  </si>
  <si>
    <t>Super y load.</t>
  </si>
  <si>
    <t>Super y load y select sobre las tablas implicadas.</t>
  </si>
  <si>
    <t>Super y process.</t>
  </si>
  <si>
    <t>Un cluster mínimo en MySQL incluye:</t>
  </si>
  <si>
    <t>Un servidor de BD y un nodo de datos.</t>
  </si>
  <si>
    <t>Un servidor replicado.</t>
  </si>
  <si>
    <t>Un servidor un nodo y un programa administrador.</t>
  </si>
  <si>
    <t>Al menos dos nodos de datos y un administrador.</t>
  </si>
  <si>
    <t>Cuando fragmentamos datos:</t>
  </si>
  <si>
    <t>Dividimos una tabla en varios grupos de columnas.</t>
  </si>
  <si>
    <t>Dividimos una tabla en grupos de filas.</t>
  </si>
  <si>
    <t>Las dos anteriores sirven.</t>
  </si>
  <si>
    <t>Los dividimos en trozos.</t>
  </si>
  <si>
    <t>La opción IndexMemory de MySQL:</t>
  </si>
  <si>
    <t>PEC-1 (Parte que no sale en las AUTOEVs)</t>
  </si>
  <si>
    <t>11 .-</t>
  </si>
  <si>
    <t>12 .-</t>
  </si>
  <si>
    <t>13 .-</t>
  </si>
  <si>
    <t>14 .-</t>
  </si>
  <si>
    <t>15 .-</t>
  </si>
  <si>
    <t>16 .-</t>
  </si>
  <si>
    <t>17 .-</t>
  </si>
  <si>
    <t>18 .-</t>
  </si>
  <si>
    <t>19 .-</t>
  </si>
  <si>
    <t>20 .-</t>
  </si>
  <si>
    <t>21 .-</t>
  </si>
  <si>
    <t>22 .-</t>
  </si>
  <si>
    <t>23 .-</t>
  </si>
  <si>
    <t>24 .-</t>
  </si>
  <si>
    <t>25 .-</t>
  </si>
  <si>
    <t>26 .-</t>
  </si>
  <si>
    <t>27 .-</t>
  </si>
  <si>
    <t>28 .-</t>
  </si>
  <si>
    <t>29 .-</t>
  </si>
  <si>
    <t>30 .-</t>
  </si>
  <si>
    <t>31 .-</t>
  </si>
  <si>
    <t>32 .-</t>
  </si>
  <si>
    <t>33 .-</t>
  </si>
  <si>
    <t>34 .-</t>
  </si>
  <si>
    <t>35 .-</t>
  </si>
  <si>
    <t>36 .-</t>
  </si>
  <si>
    <t>37 .-</t>
  </si>
  <si>
    <t>38 .-</t>
  </si>
  <si>
    <t>39 .-</t>
  </si>
  <si>
    <t>40 .-</t>
  </si>
  <si>
    <t>41 .-</t>
  </si>
  <si>
    <t>42 .-</t>
  </si>
  <si>
    <t>43 .-</t>
  </si>
  <si>
    <t>44 .-</t>
  </si>
  <si>
    <t>45 .-</t>
  </si>
  <si>
    <t>46 .-</t>
  </si>
  <si>
    <t>47 .-</t>
  </si>
  <si>
    <t>48 .-</t>
  </si>
  <si>
    <t>49 .-</t>
  </si>
  <si>
    <t>50 .-</t>
  </si>
  <si>
    <t>51 .-</t>
  </si>
  <si>
    <t>52 .-</t>
  </si>
  <si>
    <t>53 .-</t>
  </si>
  <si>
    <t>Los niveles de privilegios de base de datos …</t>
  </si>
  <si>
    <t>Se aplican a una columna en una tabla.</t>
  </si>
  <si>
    <t>Se aplican a todas las columnas de una tabla.</t>
  </si>
  <si>
    <t>Se refieren aplican a los elementos/objetos de una BD.</t>
  </si>
  <si>
    <t>Se aplican a todas las bases de datos en un servidor.  </t>
  </si>
  <si>
    <t>Que sentencia solo permite realizar consultas solo en algunos campos Clientes a la usuaria ana.</t>
  </si>
  <si>
    <t>GRANT ALL ON BDGSD.* TO ana@localhost;</t>
  </si>
  <si>
    <t>GRANT SELECT (NombreCliente, Telefono) ON Clientes TO ‘ana’@‘localhost’;</t>
  </si>
  <si>
    <t>GRANT SELECT, INSERT, UPDATE, DELETE ON BDGSD.Clientes TO ‘ana’;</t>
  </si>
  <si>
    <t>GRANT ALL ON * TO tania@localhost;</t>
  </si>
  <si>
    <t> Asigna todos los privilegios sobre todas tablas incluidas en todas las bases de datos del servidor al usuario ‘jose’, pero solo en local.</t>
  </si>
  <si>
    <t>GRANT ALL ON BDGSD.* TO jose@localhost;</t>
  </si>
  <si>
    <t>GRANT ALL ON * TO jose@localhost;</t>
  </si>
  <si>
    <t>GRANT SELECT, INSERT, UPDATE, DELETE ON BDGSD.Clientes TO ‘jose’;</t>
  </si>
  <si>
    <t>GRANT ALL ON *.* TO ‘jose@localhost’;</t>
  </si>
  <si>
    <t> ¿Que variable se utiliza para cambiar el motor de almacenamiento por defecto?</t>
  </si>
  <si>
    <t>default-storage-engine</t>
  </si>
  <si>
    <t>skip-grant-tables</t>
  </si>
  <si>
    <t>default-time-zone</t>
  </si>
  <si>
    <t>log_slow_admin_statements</t>
  </si>
  <si>
    <t>¿Qué elementos NO es necesarios para la seguridad completa en una conexión?</t>
  </si>
  <si>
    <t>Integridad entere.  </t>
  </si>
  <si>
    <t>Repudio</t>
  </si>
  <si>
    <t> ¿Para qué sirve el Log general?</t>
  </si>
  <si>
    <t>Registra problemas al Iniciar, ejecutar o parar mysqld.</t>
  </si>
  <si>
    <t>Registra todas las sentencias con al menos min_examined_row_limit filas y tardan más de long_query_time segundos en ejecutarse que utilizan índices.</t>
  </si>
  <si>
    <t>Registra todas las sentencias que cambian datos. Se utiliza para la replicación y/o restaurar la base de datos en caso de “desastre”.</t>
  </si>
  <si>
    <t>Registra las conexiones de clientes establecidas y las sentencias ejecutadas.</t>
  </si>
  <si>
    <t>¿Qué tipo de licencia tiene el SGBD MySQL?</t>
  </si>
  <si>
    <t>Apache</t>
  </si>
  <si>
    <t>GNU/GPL</t>
  </si>
  <si>
    <t>Dual Comercial y GNU/GPL</t>
  </si>
  <si>
    <t>Comercial</t>
  </si>
  <si>
    <t>¿Qué tipo de SGBD en Cassandra?</t>
  </si>
  <si>
    <t>Relacional.</t>
  </si>
  <si>
    <t>Relacional con objetos.</t>
  </si>
  <si>
    <t>noSQL</t>
  </si>
  <si>
    <t>Orientada a objeto.</t>
  </si>
  <si>
    <t> Los niveles de privilegios Globales …</t>
  </si>
  <si>
    <t>¿Qué es? “Lugar donde el SGBD almacena las descripciones de los datos de una BD (metadatos) incluyendo los distintos objetos con sus propiedades”.</t>
  </si>
  <si>
    <t>Todas son correctas.  </t>
  </si>
  <si>
    <t>El catálogo de una BD.</t>
  </si>
  <si>
    <t>El diccionario de datos de una BD.</t>
  </si>
  <si>
    <t>Las tablas de la BD information_schema.</t>
  </si>
  <si>
    <t>Que sentencia permite realizar modificaciones en el campo Teléfono de la tabla Clientes al usuario ‘jose’.</t>
  </si>
  <si>
    <t>GRANT ALL ON BDGSD.* TO alex@localhost;</t>
  </si>
  <si>
    <t>GRANT SELECT (NombreCliente, Telefono) ON Clientes TO ‘jose’@‘localhost’;</t>
  </si>
  <si>
    <t>¿Qué instrucción hay que ejecutar en Fedora para establecer la clave del usuario root y poder comenzar a trabajar con MySQL?</t>
  </si>
  <si>
    <t>sudo dnf install mysql-community-server</t>
  </si>
  <si>
    <t>sudo dnf install mysql-workbench-community</t>
  </si>
  <si>
    <t>mysql_secure_installation</t>
  </si>
  <si>
    <t>sudo dnf --assumeno update</t>
  </si>
  <si>
    <t>Asigna  todos  los  privilegios  sobre  todas  tablas  incluidas  en  la  base  de  datos actualmente en uso BDGSD a la usuaria tania@localhost.</t>
  </si>
  <si>
    <t>GRANT ALL ON BDGSD.* TO Tania@localhost;</t>
  </si>
  <si>
    <t>GRANT ALL ON *.* TO ‘Tania’</t>
  </si>
  <si>
    <t>¿Qué sistema operativo instala un asistente de configuración?</t>
  </si>
  <si>
    <t>Todas son correctas.</t>
  </si>
  <si>
    <t>Windows</t>
  </si>
  <si>
    <t>OSx</t>
  </si>
  <si>
    <t>Linux</t>
  </si>
  <si>
    <t>Para que se utiliza en variable –port</t>
  </si>
  <si>
    <t>Puerto de escucha para el protocolo TCP/IP.</t>
  </si>
  <si>
    <t>Nª de nombre de pipe para conexiones compartida.</t>
  </si>
  <si>
    <t>Nº de Socket para una conexión compartida.</t>
  </si>
  <si>
    <t>Nº máximos de conexiones por el puerto elegido.</t>
  </si>
  <si>
    <t>Asigna todos los privilegios sobre todas tablas incluidas en la base de datos BDGSD al usuario alex@localhost.</t>
  </si>
  <si>
    <t>GRANT SELECT, INSERT, UPDATE, DELETE ON BDGSD.Clientes TO ‘alex’;</t>
  </si>
  <si>
    <t>GRANT ALL ON *.* TO ‘jose’;</t>
  </si>
  <si>
    <t>GRANT ALL ON * TO alex@localhost;</t>
  </si>
  <si>
    <t>¿Cuál es el nombre de fichero de opciones por defecto de MySQL en Linux?</t>
  </si>
  <si>
    <t>my.jpg</t>
  </si>
  <si>
    <t>my.ini</t>
  </si>
  <si>
    <t>my.cnf</t>
  </si>
  <si>
    <t>my.reg</t>
  </si>
  <si>
    <t>Los niveles de privilegios e tabla …</t>
  </si>
  <si>
    <t>¿Para qué sirve el comando PURGE BINARY LOGS?</t>
  </si>
  <si>
    <t>Elimina los registros binarios anteriores al más reciente.</t>
  </si>
  <si>
    <t>Elimina los Log que han expirado.</t>
  </si>
  <si>
    <t>Fuerza al servidor para que comience a utilizar archivos de registro nuevos usando. La variable</t>
  </si>
  <si>
    <t>Vuelve a cargar la configuración de los Logs.</t>
  </si>
  <si>
    <t xml:space="preserve"> ¿Cuál es el motor de almacenamiento recomendaríamos para una empresa que necesita hacer modificaciones y necesitas que sean fiables?</t>
  </si>
  <si>
    <t>NBD Cluster</t>
  </si>
  <si>
    <t>MyISAM</t>
  </si>
  <si>
    <t>Memory</t>
  </si>
  <si>
    <t>InnoDB</t>
  </si>
  <si>
    <t>¿Qué es el MySQL Workbenck?</t>
  </si>
  <si>
    <t>Un cliente MySQL en modo comando.</t>
  </si>
  <si>
    <t>Ninguna de las anteriores es cierta.</t>
  </si>
  <si>
    <t>Un programa para monitorizar las bases de datos de MySQL</t>
  </si>
  <si>
    <t>Un cliente MySQL con una interfaz de usuario gráfica.</t>
  </si>
  <si>
    <t>¿Cuál es el motor de almacenamiento recomendaríamos para una empresa que hace muchas consultas del tipo SELECT y pocas modificaciones?</t>
  </si>
  <si>
    <t>¿Qué tipo de SGBD es MySQL?</t>
  </si>
  <si>
    <t>Relacional</t>
  </si>
  <si>
    <t xml:space="preserve"> ¿Para qué sirve el comando PURGE BINARY LOGS?</t>
  </si>
  <si>
    <t xml:space="preserve"> MySQL se puede instalar en:</t>
  </si>
  <si>
    <t>¿Cuál es el motor de almacenamiento que soporta transacciones ACID?</t>
  </si>
  <si>
    <t>Los discos duros pertenecen a:</t>
  </si>
  <si>
    <t>Interfaz SQL</t>
  </si>
  <si>
    <t>La capa física</t>
  </si>
  <si>
    <t>Optimizador</t>
  </si>
  <si>
    <t>Preprocesador</t>
  </si>
  <si>
    <t>¿Para qué sirve el Log de consultas lentas?</t>
  </si>
  <si>
    <t xml:space="preserve">Registra problemas al Iniciar, ejecutar o parar mysqld.  </t>
  </si>
  <si>
    <t>Asigna  todos  los  privilegios  sobre  todas  tablas  incluidas  en  la  base  de  datos actualmente en uso BDGSD a la usuaria tania@localhost.</t>
  </si>
  <si>
    <t xml:space="preserve"> ¿Para qué sirve el comando FLUSH LOGS?</t>
  </si>
  <si>
    <t xml:space="preserve"> ¿Qué hay que hacer tras la instalación de MySQL para que se puede ejecutar todos los comandos MySQL desde cualquier carpeta?</t>
  </si>
  <si>
    <t>Ejecutar el asistente de configuración de MySQL</t>
  </si>
  <si>
    <t>Ejecutar Workbenck, y configurar sus opciones relativas a los directorios</t>
  </si>
  <si>
    <t>No hace falta, funciona después de la instalación.</t>
  </si>
  <si>
    <t>Ver y/o incluir en la variable del SO PATH la ruta donde se encuentran los comandos a ejecutar.</t>
  </si>
  <si>
    <t>¿Cuál es el nombre de fichero de opciones por defecto de MySQL en Windows?</t>
  </si>
  <si>
    <t>¿Qué tipo de SGBD en MongoBD?</t>
  </si>
  <si>
    <t>¿Qué debemos ejecutar para entrar en el asistente de configuración de Windows?</t>
  </si>
  <si>
    <t>En Windows no hay asistente de configuración para MySQL Server</t>
  </si>
  <si>
    <t>Config Assist MySQL Server</t>
  </si>
  <si>
    <t>MySQL Instaler – Community, Reconfigure de MySQL Server</t>
  </si>
  <si>
    <t>Asistente de configuración MySQL Server</t>
  </si>
  <si>
    <t>A que lenguaje pertenecen las siguientes sentencias SQL (INSERT, SELECT, DELETE, UPDATE):</t>
  </si>
  <si>
    <t>DML</t>
  </si>
  <si>
    <t>DCL</t>
  </si>
  <si>
    <t>DDL</t>
  </si>
  <si>
    <t>¿Qué tipo de SGBD en Prostgre?</t>
  </si>
  <si>
    <t>Asigna todos los privilegios sobre todas tablas incluidas en todas las bases de datos del servidor al usuario ‘jose’.</t>
  </si>
  <si>
    <t xml:space="preserve">  </t>
  </si>
  <si>
    <t>¿Qué tipo de configuración cogemos si el servidor MySQL va a ser instalado en un servidor Windows junto a un servicio de correos, un servicio de páginas web?</t>
  </si>
  <si>
    <t>Ninguna de los anteriores</t>
  </si>
  <si>
    <t>Ordenador de desarrollo</t>
  </si>
  <si>
    <t>Servidor dedicado</t>
  </si>
  <si>
    <t>Servidor</t>
  </si>
  <si>
    <t>.-¿Cuál  es  el  motor  de  almacenamiento  recomendaríamos  para  una  empresa multinacional con oficinas en varios países y mucha concurrencia en todos los países?</t>
  </si>
  <si>
    <t xml:space="preserve"> </t>
  </si>
  <si>
    <t>.-¿Qué ventaja tienes ejecutar un conjunto de instrucción de manera independiente pero continua a ejecutarlas como una transacción de BD ACID?</t>
  </si>
  <si>
    <t>Su ejecución es más segura, porque ningún cambio se hace efectivo si no se termina de ejecutar todo el bloque de instrucciones.</t>
  </si>
  <si>
    <t>Su ejecución es más rápida, porque se ejecuta todo como un bloque</t>
  </si>
  <si>
    <t>Su ejecución es más rápida, porque todas las instrucciones se ejecutan en paralelo.</t>
  </si>
  <si>
    <t>Es falto que utilizar transacciones de BD ACID tenga alguna ventaja respecto a ejecutarlas de manera independiente.</t>
  </si>
  <si>
    <t>.-¿Qué tipo de SGBD en Cassandra?</t>
  </si>
  <si>
    <t xml:space="preserve"> noSQL </t>
  </si>
  <si>
    <t>.- ¿Qué hacen exactamente la ejecución de los ficheros que nos bajamos de la página oficial para la instalación de MySQL en Ubuntu y Fedora?</t>
  </si>
  <si>
    <t>Realizan la instalación a través de un asistente con una interfaz de texto.</t>
  </si>
  <si>
    <t>Realizan la instalación a través de un asistente con una interfaz gráfica.</t>
  </si>
  <si>
    <t>Actualiza a la última versión de MySQL existente para Linux.</t>
  </si>
  <si>
    <t>Añade la dirección de internet donde se encuentra el repositorio de la última versión MySQL.</t>
  </si>
  <si>
    <t>.-Asigna todos los privilegios sobre todas tablas incluidas en todas las bases de datos del servidor al usuario ‘jose’.</t>
  </si>
  <si>
    <t>.-A que lenguaje pertenecen las siguientes sentencias SQL (GRANT, REVOKE):</t>
  </si>
  <si>
    <t>SQL MyISAM</t>
  </si>
  <si>
    <t>.-Asigna  todos  los  privilegios  sobre  todas  tablas  incluidas  en  la  base  de  datos actualmente en uso BDGSD a la usuaria tania@localhost.</t>
  </si>
  <si>
    <t>.-A que lenguaje pertenecen las siguientes sentencias SQL (CREATE, DROP, CHECK, CONSTRAINT):</t>
  </si>
  <si>
    <t>.-¿Cuál es el motor de almacenamiento por defecto de las últimas versiones de MySQL?</t>
  </si>
  <si>
    <t>.-El lenguaje SQL pertenece a:</t>
  </si>
  <si>
    <t>.-¿Qué es? “Es un conjunto coordinado de programas, procedimientos, lenguajes, etc., que suministra a los distintos usuarios, los medios necesarios para definir, crear, manipular y mantener los datos almacenados en la base de datos conservando su integridad, confidencialidad y seguridad”.</t>
  </si>
  <si>
    <t>Un Sistema de Gestión de Base de datos.</t>
  </si>
  <si>
    <t>Un DBMS</t>
  </si>
  <si>
    <t>Un SGBD</t>
  </si>
  <si>
    <t>.-El encargado de dejar la consultas pre-compiladas o compiladas es el:</t>
  </si>
  <si>
    <t>TEMA 8 (Aun por abrirse)</t>
  </si>
  <si>
    <t>PEC-3</t>
  </si>
  <si>
    <t>comprobar</t>
  </si>
  <si>
    <t xml:space="preserve"> ¿Cuáles son la obligaciones básicas de cualquier persona o empresa que posea datos de carácter personal?</t>
  </si>
  <si>
    <t>Legitimar todos los datos de carácter personal recogidos.</t>
  </si>
  <si>
    <t>Legalizar todos los ficheros de datos de carácter personal deberán estar inscritos y legalizados ante la Agencia Española de Protección de Datos.</t>
  </si>
  <si>
    <t>Proteger todos los datos de carácter personal recogidos.</t>
  </si>
  <si>
    <t>x</t>
  </si>
  <si>
    <t>"Es una manifestación de voluntad,libre, inequívoca, específica e informada, mediante la cual el interesado consiente el tratamiento de los datos personales que son recabados." Corresponde al principio ...</t>
  </si>
  <si>
    <t>de calidad de los datos</t>
  </si>
  <si>
    <t>del consentimiento del afectado</t>
  </si>
  <si>
    <t>de información</t>
  </si>
  <si>
    <t>Ejercicio 2 del bloque Triggers ¿Cuál es la sentencia correcta?</t>
  </si>
  <si>
    <t>a.- Ninguna es correcta</t>
  </si>
  <si>
    <t>b.- CREATE OR REPLACE VIEW FacturasCalculadas AS
SELECT *, Cantidad*PrecioUnidad AS Importe
-- Importe * DTO/100
, (Cantidad*PrecioUnidad)*DTO/100 AS EurosDTO
-- Importe - EurosDTO *
IVA/100
, ((Cantidad*PrecioUnidad)-
(Cantidad*PrecioUnidad)*DTO/100)*IVA/100 AS EurosIVA
,
(Cantidad*PrecioUnidad) --
Importe
-((Cantidad*PrecioUnidad)*DTO/100)
-- - EurosDTO
+(((Cantidad*PrecioUnidad)-
(Cantidad*PrecioUnidad)*DTO/100)*IVA/100) -- + EurosIVA
+GastosEnvio AS
Total -- + GastosEnvio
FROM facturas;</t>
  </si>
  <si>
    <t>c.- CREATE OR REPLACE VIEW FacturasCalculadas AS SELECT
Cantidas*PrecioUnidad AS Importe, Importe * New.%DTO AS
EurosDTO, (Importe - EurosDTO) * New.%IVA AS EurosIVA,
Importe - EurosDTO + EurosIVA + GastosEnvio AS Total
FROM facturas;</t>
  </si>
  <si>
    <t>d.- CREATE OR REPLACE VIEW FacturasCalculadas AS SELECT
Importe, EurosDTO, EurosIVA, GastosEnvio FROM facturas;</t>
  </si>
  <si>
    <r>
      <t>¿Qué privilegios se requieren para hacer una replicación?</t>
    </r>
    <r>
      <rPr>
        <sz val="8"/>
        <color theme="1"/>
        <rFont val="TT43Fo00"/>
      </rPr>
      <t xml:space="preserve"> </t>
    </r>
  </si>
  <si>
    <t>Ejercicio 4 del bloque Triggers ¿Instrucción utilizaremos para crear el Trigger?</t>
  </si>
  <si>
    <t>c.- Todos son correctos</t>
  </si>
  <si>
    <t>a.- CREATE TRIGGER tiResumenMensual BEFORE INSERT ON facturas</t>
  </si>
  <si>
    <t>b.- CREATE TRIGGER tiResumenMensual BEFORE UPDATE ON facturas</t>
  </si>
  <si>
    <t>d.- CREATE TRIGGER tiResumenMensual BEFORE DELETE ON facturas</t>
  </si>
  <si>
    <t xml:space="preserve">¿Qué se consideran datos de carácter personal? </t>
  </si>
  <si>
    <t>a.- Cualquier información que leamos en nuestro ordenador.</t>
  </si>
  <si>
    <t>b.- Cualquier información numérica, alfabética, gráfica, fotográfica, acústica o de cualquier otro tipo concerniente a personas físicas identificadas o identificables.</t>
  </si>
  <si>
    <t>c.- Todas son correctas</t>
  </si>
  <si>
    <t>d.- Cualquier dato que tengamos en el ordenador.</t>
  </si>
  <si>
    <t>¿Qué instrucción nos permite hacer una copia completa el Domingo de todas las bases de datos, si el resto de la semana vamos a utilizar copiar  incrementales?</t>
  </si>
  <si>
    <t>mysqldump --databases &gt; bk_Full_Domingo.sql</t>
  </si>
  <si>
    <t>mysqldump --all-databases --single-Transaction –flushlogs --master-data=2 &gt; bk_Full_Domingo.sql</t>
  </si>
  <si>
    <t>mysqldump --all-databases &gt; bk_Full_Domingo.sql</t>
  </si>
  <si>
    <t xml:space="preserve">9 .- Ejercicio 1 del bloque Eventos ¿Instrucción utilizaremos para crear el Evento solicitado el ejercicio? </t>
  </si>
  <si>
    <t>CREATE EVENT IF NOT EXISTS eClientesEspeciales
ON SCHEDULE EVERY 30 DAY
DO CALL pClientesEspeciales;</t>
  </si>
  <si>
    <t>CREATE EVENT IF NOT EXISTS eClientesEspeciales
ON SCHEDULE EVERY 1 MONTH
STARTS '2017-01-01 00:00:00'
DO CALL pClientesEspeciales;</t>
  </si>
  <si>
    <t>CREATE EVENT IF NOT EXISTS eClientesEspeciales
ON SCHEDULE EVERY 2 MONTH
STARTS '2017-01-01 00:00:00'
DO CALL pClientesEspeciales;</t>
  </si>
  <si>
    <r>
      <t xml:space="preserve">Un </t>
    </r>
    <r>
      <rPr>
        <i/>
        <sz val="13.5"/>
        <color theme="1"/>
        <rFont val="Verdana"/>
        <family val="2"/>
      </rPr>
      <t xml:space="preserve">cluster </t>
    </r>
    <r>
      <rPr>
        <sz val="13.5"/>
        <color theme="1"/>
        <rFont val="Verdana"/>
        <family val="2"/>
      </rPr>
      <t>mínimo en MySQL incluye:</t>
    </r>
  </si>
  <si>
    <t>Ejercicio 1 del bloque Triggers ¿Qué bloque de código hace referencia a "No se permiten números negativos, en tal caso se
cancelará a inserción o actualización"?</t>
  </si>
  <si>
    <t>IF NEW.idCliente &lt; 0 OR NEW.Cantidad &lt; 0 OR
NEW.idProducto &lt; 0 OR
NEW.PrecioUnidad &lt; 0 OR NEW.DTO &lt; 0 OR NEW.IVA &lt;
0 OR
NEW.GastosEnvio &lt; 0 THEN
SIGNAL SQLSTATE "45000"
SET MESSAGE_TEXT = "Dato numérico negativo.";
END IF;</t>
  </si>
  <si>
    <t>SET dImporte = NEW.Cantidad * NEW.PrecioUnidad;
IF dImporte &gt; 50 THEN
SET NEW.GastosEnvio = 0;
ELSE
SET NEW.GastosEnvio = 15;
END IF;</t>
  </si>
  <si>
    <t>IF NEW.Cantidad &lt; 10 THEN
SET NEW.DTO = 0;
ELSEIF NEW.Cantidad &lt; 25 THEN
SET NEW.DTO = 5;
ELSE
SET NEW.DTO = 10;
END IF;</t>
  </si>
  <si>
    <t>IF NEW.idProducto &lt; 100 THEN
SET NEW.IVA = 10;
END IF;</t>
  </si>
  <si>
    <r>
      <t>¿Por qué debemos bloquear las tablas MyISAM para lectura en una replicación?</t>
    </r>
    <r>
      <rPr>
        <b/>
        <sz val="9"/>
        <color theme="1"/>
        <rFont val="Verdana"/>
        <family val="2"/>
      </rPr>
      <t xml:space="preserve"> </t>
    </r>
  </si>
  <si>
    <r>
      <t xml:space="preserve">La opción </t>
    </r>
    <r>
      <rPr>
        <i/>
        <sz val="13.5"/>
        <color theme="1"/>
        <rFont val="Verdana"/>
        <family val="2"/>
      </rPr>
      <t xml:space="preserve">IndexMemory </t>
    </r>
    <r>
      <rPr>
        <sz val="13.5"/>
        <color theme="1"/>
        <rFont val="Verdana"/>
        <family val="2"/>
      </rPr>
      <t>de MySQL:</t>
    </r>
  </si>
  <si>
    <r>
      <t xml:space="preserve"> </t>
    </r>
    <r>
      <rPr>
        <sz val="10.5"/>
        <color theme="1"/>
        <rFont val="Verdana"/>
        <family val="2"/>
      </rPr>
      <t xml:space="preserve">La memoria mínima del </t>
    </r>
    <r>
      <rPr>
        <i/>
        <sz val="10.5"/>
        <color theme="1"/>
        <rFont val="Verdana"/>
        <family val="2"/>
      </rPr>
      <t xml:space="preserve">cluster </t>
    </r>
    <r>
      <rPr>
        <sz val="10.5"/>
        <color theme="1"/>
        <rFont val="Verdana"/>
        <family val="2"/>
      </rPr>
      <t>para gestionar índices.</t>
    </r>
  </si>
  <si>
    <r>
      <t xml:space="preserve">La memoria máxima para almacenar índices de las tablas </t>
    </r>
    <r>
      <rPr>
        <i/>
        <sz val="10.5"/>
        <color theme="1"/>
        <rFont val="Verdana"/>
        <family val="2"/>
      </rPr>
      <t>ndb-cluster</t>
    </r>
    <r>
      <rPr>
        <sz val="10.5"/>
        <color theme="1"/>
        <rFont val="Verdana"/>
        <family val="2"/>
      </rPr>
      <t>.</t>
    </r>
  </si>
  <si>
    <r>
      <t xml:space="preserve">La caché de índices del </t>
    </r>
    <r>
      <rPr>
        <i/>
        <sz val="10.5"/>
        <color theme="1"/>
        <rFont val="Verdana"/>
        <family val="2"/>
      </rPr>
      <t>cluster</t>
    </r>
    <r>
      <rPr>
        <sz val="10.5"/>
        <color theme="1"/>
        <rFont val="Verdana"/>
        <family val="2"/>
      </rPr>
      <t>.</t>
    </r>
  </si>
  <si>
    <r>
      <t xml:space="preserve">Establece la memoria mínima del </t>
    </r>
    <r>
      <rPr>
        <i/>
        <sz val="10.5"/>
        <color theme="1"/>
        <rFont val="Verdana"/>
        <family val="2"/>
      </rPr>
      <t>cluster.</t>
    </r>
  </si>
  <si>
    <t>Nivel básico</t>
  </si>
  <si>
    <t>Nivel super alto</t>
  </si>
  <si>
    <t>Nivel medio</t>
  </si>
  <si>
    <t>Nivel alto</t>
  </si>
  <si>
    <t>¿Que nivel de seguridad se deberá utilizar si tratamos información sobre la evaluación de personalidad del individuo?</t>
  </si>
  <si>
    <t>¿Cúal es la finalidad de la LOPD?</t>
  </si>
  <si>
    <t>Legalizar todos los ficheros de datos.</t>
  </si>
  <si>
    <t>Garantizar y proteger las libertades públicas y los derechos fundamentales de las personas físicas, y especialmente de su honor, intimidad y privacidad personal y familiar.</t>
  </si>
  <si>
    <t>Legitimar todos los datos de carácter personal.</t>
  </si>
  <si>
    <r>
      <t xml:space="preserve">Ejercicio 7 del bloque Triggers ¿Instrucción utilizaremos para crear el Trigger? </t>
    </r>
    <r>
      <rPr>
        <sz val="9"/>
        <color theme="1"/>
        <rFont val="Verdana"/>
        <family val="2"/>
      </rPr>
      <t xml:space="preserve"> </t>
    </r>
  </si>
  <si>
    <t xml:space="preserve"> CREATE TRIGGER tdLog AFTER DELETE ON facturas
FOR EACH ROW CALL pLog("Delete")</t>
  </si>
  <si>
    <t>CREATE TRIGGER tuLog AFTER UPDATE ON facturas
FOR EACH ROW CALL pLog("Update")</t>
  </si>
  <si>
    <t>CREATE TRIGGER tiLog AFTER INSERT ON facturas
FOR EACH ROW CALL pLog("Insert")</t>
  </si>
  <si>
    <r>
      <t>Ejercicio 1 del bloque Triggers ¿Qué bloque de código hace referencia a "</t>
    </r>
    <r>
      <rPr>
        <b/>
        <sz val="13.5"/>
        <color theme="1"/>
        <rFont val="Verdana"/>
        <family val="2"/>
      </rPr>
      <t>Los idProductos anteriores al 100 llevan un 10% siempre en %IVA</t>
    </r>
    <r>
      <rPr>
        <sz val="13.5"/>
        <color theme="1"/>
        <rFont val="Verdana"/>
        <family val="2"/>
      </rPr>
      <t>"?</t>
    </r>
  </si>
  <si>
    <t>mysqldump -u root -p TIENDA | mysql –host cental.mistiendas.com --u root --p –database TIENDA_001</t>
  </si>
  <si>
    <r>
      <t>¿Qué instrucción nos permite hacer una copia de seguridad en local de las tablas Clientes y Albaranes pertenecientes a la base de datos TIENDA?</t>
    </r>
    <r>
      <rPr>
        <b/>
        <sz val="9"/>
        <color theme="1"/>
        <rFont val="Verdana"/>
        <family val="2"/>
      </rPr>
      <t xml:space="preserve"> </t>
    </r>
  </si>
  <si>
    <r>
      <t>Ejercicio 1 del bloque Triggers ¿Qué bloque de código hace referencia a "</t>
    </r>
    <r>
      <rPr>
        <sz val="8"/>
        <color theme="1"/>
        <rFont val="TT445o00"/>
      </rPr>
      <t>El %DTO a 0% para cantidades inferiores s 10, 5% para cantidades entre 10 y 25, y 10% para cantidades superiores a 25</t>
    </r>
    <r>
      <rPr>
        <sz val="8"/>
        <color theme="1"/>
        <rFont val="TT43Fo00"/>
      </rPr>
      <t>"?</t>
    </r>
  </si>
  <si>
    <t>IF NEW.idCliente &lt; 0 OR NEW.Cantidad &lt; 0 OR NEW.idProducto &lt; 0 OR
NEW.PrecioUnidad &lt; 0 OR NEW.DTO &lt; 0 OR NEW.IVA &lt; 0 OR
NEW.GastosEnvio &lt; 0 THEN
SIGNAL SQLSTATE "45000"
SET MESSAGE_TEXT = "Dato numérico negativo.";
END IF;</t>
  </si>
  <si>
    <t>Ejercicio 6 del bloque Triggers ¿Instrucción utilizaremos para crear el Trigger?</t>
  </si>
  <si>
    <t>CREATE TRIGGER tdResumenMensual AFTER UPDATE ON facturas</t>
  </si>
  <si>
    <t>Todos son correctos</t>
  </si>
  <si>
    <t>CREATE TRIGGER tdResumenMensual AFTER DELETE ON facturas</t>
  </si>
  <si>
    <t>CREATE TRIGGER tdResumenMensual AFTER INSERT ON facturas</t>
  </si>
  <si>
    <t>¿Que nivel de seguridad se deberá utilizar si tratamos información sobre salud?</t>
  </si>
  <si>
    <t>Ejercicio 1 del bloque Triggers ¿Instrucción utilizaremos para crear el Trigger?</t>
  </si>
  <si>
    <t>CREATE TRIGGER tInsertarFactura BEFORE DELETE ON facturas</t>
  </si>
  <si>
    <t>CREATE TRIGGER tInsertarFactura BEFORE UPDATE ON facturas</t>
  </si>
  <si>
    <t>CREATE TRIGGER tInsertarFactura BEFORE INSERT ON facturas</t>
  </si>
  <si>
    <t>"Es la obligación que tienen las empresas de informarnos, de forma previa a la recogida, de modo expreso, inequívoco y preciso." Corresponde al principio ...</t>
  </si>
  <si>
    <t>Ejercicio 2 del bloque Eventos ¿Instrucción utilizaremos para crear el Evento solicitado el ejercicio?</t>
  </si>
  <si>
    <t>CREATE EVENT IF NOT EXISTS eClientesdelDia
ON SCHEDULE EVERY 1 MONTH
STARTS '2017-01-01 00:00:00'
DO CALL pClientesEspeciales;</t>
  </si>
  <si>
    <t>CREATE EVENT IF NOT EXISTS eClientesdelDia
ON SCHEDULE EVERY 1 DAY
DO CALL pClientesdelDia;</t>
  </si>
  <si>
    <t>CREATE EVENT IF NOT EXISTS eClientesdeDia
ON SCHEDULE EVERY 1 MONTH
STARTS '2017-01-01 00:00:00'
DO CALL pClientesEspeciales;</t>
  </si>
  <si>
    <t>Ejercicio 3 del bloque Triggers ¿Qué bloque de instrucciones es la correcta?</t>
  </si>
  <si>
    <t>CREATE PROCEDURE fImporteTotal(pIdFactura INT)
RETURNS FLOAT
READS SQL DATA
BEGIN
DECLARE dIT FLOAT DEFAULT 0;
SELECT Total INTO dIT
FROM facturascalculadas
WHERE idFactura = pIdFactura;
RETURN dIT;
END//</t>
  </si>
  <si>
    <t>CREATE FUNCTION fImporteTotal(pIdFactura INT)
RETURNS FLOAT
READS SQL DATA
BEGIN
DECLARE dIT FLOAT DEFAULT 0;
SELECT Total INTO dIT
FROM facturascalculadas
WHERE idFactura = pIdFactura;
RETURN</t>
  </si>
  <si>
    <t>Ninguno es correcto</t>
  </si>
  <si>
    <t>CREATE FUNCTION fImporteTotal(pIdFactura INT)
RETURNS FLOAT
READS SQL DATA
BEGIN
DECLARE dIT FLOAT DEFAULT 0;
SELECT Total INTO dIT
FROM facturascalculadas;
RETURN dIT;
END//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</si>
</sst>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TT43Fo00"/>
    </font>
    <font>
      <sz val="13.5"/>
      <color theme="1"/>
      <name val="Verdana"/>
      <family val="2"/>
    </font>
    <font>
      <i/>
      <sz val="13.5"/>
      <color theme="1"/>
      <name val="Verdana"/>
      <family val="2"/>
    </font>
    <font>
      <b/>
      <sz val="9"/>
      <color theme="1"/>
      <name val="Verdana"/>
      <family val="2"/>
    </font>
    <font>
      <sz val="10.5"/>
      <color theme="1"/>
      <name val="Verdana"/>
      <family val="2"/>
    </font>
    <font>
      <b/>
      <sz val="13.5"/>
      <color theme="1"/>
      <name val="Verdana"/>
      <family val="2"/>
    </font>
    <font>
      <i/>
      <sz val="10.5"/>
      <color theme="1"/>
      <name val="Verdana"/>
      <family val="2"/>
    </font>
    <font>
      <sz val="9"/>
      <color theme="1"/>
      <name val="Verdana"/>
      <family val="2"/>
    </font>
    <font>
      <sz val="8"/>
      <color theme="1"/>
      <name val="TT445o00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9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9" fillId="0" borderId="0">
      <alignment horizontal="center" vertical="center" wrapText="1"/>
    </xf>
    <xf numFmtId="0" fontId="1" fillId="0" borderId="0"/>
    <xf numFmtId="0" fontId="20" fillId="0" borderId="0"/>
    <xf numFmtId="0" fontId="20" fillId="0" borderId="0"/>
  </cellStyleXfs>
  <cellXfs count="152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6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7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7" fillId="0" borderId="0" xfId="0" applyFont="1" applyBorder="1" applyProtection="1">
      <protection hidden="1"/>
    </xf>
    <xf numFmtId="0" fontId="5" fillId="5" borderId="0" xfId="0" applyFont="1" applyFill="1" applyBorder="1" applyProtection="1">
      <protection hidden="1"/>
    </xf>
    <xf numFmtId="0" fontId="5" fillId="0" borderId="0" xfId="0" applyFont="1" applyBorder="1" applyProtection="1">
      <protection hidden="1"/>
    </xf>
    <xf numFmtId="0" fontId="5" fillId="0" borderId="5" xfId="0" applyFont="1" applyFill="1" applyBorder="1" applyAlignment="1" applyProtection="1">
      <alignment vertical="center"/>
      <protection hidden="1"/>
    </xf>
    <xf numFmtId="0" fontId="5" fillId="6" borderId="0" xfId="0" applyFont="1" applyFill="1" applyBorder="1" applyProtection="1">
      <protection hidden="1"/>
    </xf>
    <xf numFmtId="0" fontId="5" fillId="6" borderId="5" xfId="0" applyFont="1" applyFill="1" applyBorder="1" applyAlignment="1" applyProtection="1">
      <alignment vertical="center"/>
      <protection hidden="1"/>
    </xf>
    <xf numFmtId="0" fontId="2" fillId="0" borderId="5" xfId="0" applyFont="1" applyFill="1" applyBorder="1" applyAlignment="1" applyProtection="1">
      <alignment horizontal="center" vertical="center"/>
      <protection hidden="1"/>
    </xf>
    <xf numFmtId="0" fontId="8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0" fillId="4" borderId="0" xfId="0" applyFont="1" applyFill="1" applyBorder="1" applyAlignment="1" applyProtection="1">
      <alignment wrapText="1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7" borderId="2" xfId="0" applyFont="1" applyFill="1" applyBorder="1" applyAlignment="1" applyProtection="1">
      <alignment horizontal="left"/>
      <protection hidden="1"/>
    </xf>
    <xf numFmtId="0" fontId="0" fillId="7" borderId="1" xfId="0" applyFont="1" applyFill="1" applyBorder="1" applyAlignment="1" applyProtection="1">
      <alignment horizontal="center"/>
      <protection hidden="1"/>
    </xf>
    <xf numFmtId="0" fontId="13" fillId="0" borderId="10" xfId="0" applyFont="1" applyFill="1" applyBorder="1" applyProtection="1"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5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locked="0"/>
    </xf>
    <xf numFmtId="0" fontId="5" fillId="4" borderId="5" xfId="0" applyFont="1" applyFill="1" applyBorder="1" applyAlignment="1" applyProtection="1">
      <alignment vertical="center"/>
      <protection hidden="1"/>
    </xf>
    <xf numFmtId="0" fontId="13" fillId="0" borderId="4" xfId="0" applyFont="1" applyFill="1" applyBorder="1" applyProtection="1">
      <protection hidden="1"/>
    </xf>
    <xf numFmtId="0" fontId="5" fillId="5" borderId="4" xfId="0" applyFont="1" applyFill="1" applyBorder="1" applyAlignment="1" applyProtection="1">
      <alignment horizontal="left" vertical="center"/>
      <protection hidden="1"/>
    </xf>
    <xf numFmtId="0" fontId="5" fillId="0" borderId="4" xfId="0" applyFont="1" applyBorder="1" applyAlignment="1" applyProtection="1">
      <alignment horizontal="left" vertical="center"/>
      <protection hidden="1"/>
    </xf>
    <xf numFmtId="0" fontId="5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13" fillId="0" borderId="11" xfId="0" applyFont="1" applyBorder="1" applyProtection="1">
      <protection hidden="1"/>
    </xf>
    <xf numFmtId="0" fontId="13" fillId="4" borderId="0" xfId="0" applyFont="1" applyFill="1" applyBorder="1" applyAlignment="1" applyProtection="1">
      <alignment vertical="center" wrapText="1"/>
      <protection hidden="1"/>
    </xf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6" fillId="0" borderId="1" xfId="0" applyFont="1" applyFill="1" applyBorder="1" applyAlignment="1" applyProtection="1">
      <alignment horizontal="center"/>
      <protection hidden="1"/>
    </xf>
    <xf numFmtId="0" fontId="7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5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5" fillId="0" borderId="0" xfId="0" applyFont="1" applyFill="1" applyBorder="1" applyProtection="1">
      <protection hidden="1"/>
    </xf>
    <xf numFmtId="0" fontId="7" fillId="0" borderId="0" xfId="0" applyFont="1" applyFill="1" applyBorder="1" applyProtection="1">
      <protection hidden="1"/>
    </xf>
    <xf numFmtId="0" fontId="14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5" fillId="0" borderId="8" xfId="0" applyFont="1" applyFill="1" applyBorder="1" applyAlignment="1" applyProtection="1">
      <alignment horizontal="center"/>
      <protection hidden="1"/>
    </xf>
    <xf numFmtId="0" fontId="0" fillId="0" borderId="10" xfId="0" applyFont="1" applyFill="1" applyBorder="1" applyAlignment="1" applyProtection="1">
      <alignment wrapText="1"/>
      <protection hidden="1"/>
    </xf>
    <xf numFmtId="0" fontId="0" fillId="0" borderId="11" xfId="0" applyFont="1" applyFill="1" applyBorder="1" applyAlignment="1" applyProtection="1">
      <alignment wrapText="1"/>
      <protection hidden="1"/>
    </xf>
    <xf numFmtId="0" fontId="0" fillId="0" borderId="0" xfId="0" applyFont="1" applyFill="1" applyBorder="1" applyAlignment="1" applyProtection="1">
      <alignment wrapText="1"/>
      <protection hidden="1"/>
    </xf>
    <xf numFmtId="0" fontId="16" fillId="0" borderId="11" xfId="0" applyFont="1" applyFill="1" applyBorder="1" applyProtection="1">
      <protection hidden="1"/>
    </xf>
    <xf numFmtId="0" fontId="16" fillId="0" borderId="4" xfId="0" applyFont="1" applyFill="1" applyBorder="1" applyAlignment="1" applyProtection="1">
      <alignment horizontal="left" vertical="center"/>
      <protection hidden="1"/>
    </xf>
    <xf numFmtId="0" fontId="16" fillId="0" borderId="0" xfId="0" applyFont="1" applyFill="1" applyBorder="1" applyProtection="1"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protection hidden="1"/>
    </xf>
    <xf numFmtId="0" fontId="13" fillId="0" borderId="11" xfId="0" applyFont="1" applyBorder="1" applyAlignment="1" applyProtection="1">
      <alignment wrapText="1"/>
      <protection hidden="1"/>
    </xf>
    <xf numFmtId="0" fontId="13" fillId="0" borderId="11" xfId="0" applyFont="1" applyBorder="1" applyAlignment="1" applyProtection="1">
      <alignment horizontal="left" wrapText="1"/>
      <protection hidden="1"/>
    </xf>
    <xf numFmtId="0" fontId="13" fillId="4" borderId="0" xfId="0" applyFont="1" applyFill="1" applyBorder="1" applyAlignment="1" applyProtection="1">
      <alignment vertical="center"/>
      <protection hidden="1"/>
    </xf>
    <xf numFmtId="0" fontId="13" fillId="4" borderId="0" xfId="0" applyFont="1" applyFill="1" applyBorder="1" applyAlignment="1" applyProtection="1">
      <protection hidden="1"/>
    </xf>
    <xf numFmtId="0" fontId="18" fillId="4" borderId="4" xfId="0" applyFont="1" applyFill="1" applyBorder="1" applyAlignment="1">
      <alignment vertical="center"/>
    </xf>
    <xf numFmtId="0" fontId="0" fillId="4" borderId="0" xfId="0" applyFont="1" applyFill="1" applyBorder="1" applyAlignment="1" applyProtection="1">
      <protection hidden="1"/>
    </xf>
    <xf numFmtId="0" fontId="0" fillId="4" borderId="11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4" fillId="4" borderId="4" xfId="0" applyFont="1" applyFill="1" applyBorder="1" applyAlignment="1">
      <alignment vertical="center"/>
    </xf>
    <xf numFmtId="0" fontId="0" fillId="0" borderId="9" xfId="293" applyFont="1" applyFill="1" applyBorder="1" applyAlignment="1" applyProtection="1">
      <alignment horizontal="center" vertical="center"/>
      <protection locked="0"/>
    </xf>
    <xf numFmtId="0" fontId="20" fillId="0" borderId="9" xfId="293" applyFill="1" applyBorder="1" applyAlignment="1" applyProtection="1">
      <alignment horizontal="center" vertical="center"/>
      <protection locked="0"/>
    </xf>
    <xf numFmtId="0" fontId="20" fillId="4" borderId="0" xfId="293" applyFill="1" applyBorder="1" applyAlignment="1" applyProtection="1">
      <alignment horizontal="center" vertical="center"/>
      <protection locked="0"/>
    </xf>
    <xf numFmtId="0" fontId="20" fillId="0" borderId="9" xfId="293" applyFill="1" applyBorder="1" applyAlignment="1" applyProtection="1">
      <alignment horizontal="center" vertical="center"/>
      <protection locked="0"/>
    </xf>
    <xf numFmtId="0" fontId="20" fillId="4" borderId="0" xfId="293" applyFill="1" applyBorder="1" applyAlignment="1" applyProtection="1">
      <alignment horizontal="center" vertical="center"/>
      <protection locked="0"/>
    </xf>
    <xf numFmtId="0" fontId="20" fillId="0" borderId="9" xfId="293" applyFill="1" applyBorder="1" applyAlignment="1" applyProtection="1">
      <alignment horizontal="center" vertical="center"/>
      <protection locked="0"/>
    </xf>
    <xf numFmtId="0" fontId="20" fillId="4" borderId="0" xfId="293" applyFill="1" applyBorder="1" applyAlignment="1" applyProtection="1">
      <alignment horizontal="center" vertical="center"/>
      <protection locked="0"/>
    </xf>
    <xf numFmtId="0" fontId="20" fillId="0" borderId="9" xfId="293" applyFill="1" applyBorder="1" applyAlignment="1" applyProtection="1">
      <alignment horizontal="center" vertical="center"/>
      <protection locked="0"/>
    </xf>
    <xf numFmtId="0" fontId="20" fillId="4" borderId="0" xfId="293" applyFill="1" applyBorder="1" applyAlignment="1" applyProtection="1">
      <alignment horizontal="center" vertical="center"/>
      <protection locked="0"/>
    </xf>
    <xf numFmtId="0" fontId="20" fillId="0" borderId="9" xfId="294" applyFill="1" applyBorder="1" applyAlignment="1" applyProtection="1">
      <alignment horizontal="center" vertical="center"/>
      <protection locked="0"/>
    </xf>
    <xf numFmtId="0" fontId="20" fillId="4" borderId="0" xfId="294" applyFill="1" applyBorder="1" applyAlignment="1" applyProtection="1">
      <alignment horizontal="center" vertical="center"/>
      <protection locked="0"/>
    </xf>
    <xf numFmtId="0" fontId="20" fillId="0" borderId="9" xfId="294" applyFill="1" applyBorder="1" applyAlignment="1" applyProtection="1">
      <alignment horizontal="center" vertical="center"/>
      <protection locked="0"/>
    </xf>
    <xf numFmtId="0" fontId="20" fillId="4" borderId="0" xfId="294" applyFill="1" applyBorder="1" applyAlignment="1" applyProtection="1">
      <alignment horizontal="center" vertical="center"/>
      <protection locked="0"/>
    </xf>
    <xf numFmtId="0" fontId="0" fillId="4" borderId="11" xfId="0" applyFont="1" applyFill="1" applyBorder="1" applyAlignment="1" applyProtection="1">
      <alignment wrapText="1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13" fillId="4" borderId="0" xfId="0" applyFont="1" applyFill="1" applyBorder="1" applyAlignment="1" applyProtection="1">
      <alignment wrapText="1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0" fillId="0" borderId="9" xfId="294" applyFont="1" applyFill="1" applyBorder="1" applyAlignment="1" applyProtection="1">
      <alignment horizontal="center" vertical="center"/>
      <protection locked="0"/>
    </xf>
  </cellXfs>
  <cellStyles count="295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Normal 2" xfId="293" xr:uid="{00000000-0005-0000-0000-000023010000}"/>
    <cellStyle name="Normal 3" xfId="292" xr:uid="{00000000-0005-0000-0000-000024010000}"/>
    <cellStyle name="Normal 4" xfId="294" xr:uid="{00000000-0005-0000-0000-000025010000}"/>
    <cellStyle name="Solucion" xfId="291" xr:uid="{00000000-0005-0000-0000-000026010000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2049" name="Button 5" descr="Borr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2050" name="Button 7" descr="Borra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2051" name="Button 8" descr="Borrar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262</xdr:row>
          <xdr:rowOff>190500</xdr:rowOff>
        </xdr:from>
        <xdr:to>
          <xdr:col>2</xdr:col>
          <xdr:colOff>9801225</xdr:colOff>
          <xdr:row>264</xdr:row>
          <xdr:rowOff>76200</xdr:rowOff>
        </xdr:to>
        <xdr:sp macro="" textlink="">
          <xdr:nvSpPr>
            <xdr:cNvPr id="2052" name="Button 10" descr="Borra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330</xdr:row>
          <xdr:rowOff>47625</xdr:rowOff>
        </xdr:from>
        <xdr:to>
          <xdr:col>2</xdr:col>
          <xdr:colOff>9991725</xdr:colOff>
          <xdr:row>331</xdr:row>
          <xdr:rowOff>228600</xdr:rowOff>
        </xdr:to>
        <xdr:sp macro="" textlink="">
          <xdr:nvSpPr>
            <xdr:cNvPr id="2053" name="Button 11" descr="Borra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398</xdr:row>
          <xdr:rowOff>0</xdr:rowOff>
        </xdr:from>
        <xdr:to>
          <xdr:col>2</xdr:col>
          <xdr:colOff>9820275</xdr:colOff>
          <xdr:row>399</xdr:row>
          <xdr:rowOff>0</xdr:rowOff>
        </xdr:to>
        <xdr:sp macro="" textlink="">
          <xdr:nvSpPr>
            <xdr:cNvPr id="2054" name="Button 12" descr="Borra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462</xdr:row>
          <xdr:rowOff>190500</xdr:rowOff>
        </xdr:from>
        <xdr:to>
          <xdr:col>2</xdr:col>
          <xdr:colOff>9791700</xdr:colOff>
          <xdr:row>463</xdr:row>
          <xdr:rowOff>238125</xdr:rowOff>
        </xdr:to>
        <xdr:sp macro="" textlink="">
          <xdr:nvSpPr>
            <xdr:cNvPr id="2055" name="Button 13" descr="Borrar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462</xdr:row>
          <xdr:rowOff>200025</xdr:rowOff>
        </xdr:from>
        <xdr:to>
          <xdr:col>2</xdr:col>
          <xdr:colOff>9096375</xdr:colOff>
          <xdr:row>463</xdr:row>
          <xdr:rowOff>238125</xdr:rowOff>
        </xdr:to>
        <xdr:sp macro="" textlink="">
          <xdr:nvSpPr>
            <xdr:cNvPr id="2056" name="Button 14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398</xdr:row>
          <xdr:rowOff>9525</xdr:rowOff>
        </xdr:from>
        <xdr:to>
          <xdr:col>2</xdr:col>
          <xdr:colOff>9096375</xdr:colOff>
          <xdr:row>399</xdr:row>
          <xdr:rowOff>0</xdr:rowOff>
        </xdr:to>
        <xdr:sp macro="" textlink="">
          <xdr:nvSpPr>
            <xdr:cNvPr id="2057" name="Button 1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330</xdr:row>
          <xdr:rowOff>66675</xdr:rowOff>
        </xdr:from>
        <xdr:to>
          <xdr:col>2</xdr:col>
          <xdr:colOff>9296400</xdr:colOff>
          <xdr:row>331</xdr:row>
          <xdr:rowOff>219075</xdr:rowOff>
        </xdr:to>
        <xdr:sp macro="" textlink="">
          <xdr:nvSpPr>
            <xdr:cNvPr id="2058" name="Button 16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262</xdr:row>
          <xdr:rowOff>190500</xdr:rowOff>
        </xdr:from>
        <xdr:to>
          <xdr:col>2</xdr:col>
          <xdr:colOff>9096375</xdr:colOff>
          <xdr:row>264</xdr:row>
          <xdr:rowOff>38100</xdr:rowOff>
        </xdr:to>
        <xdr:sp macro="" textlink="">
          <xdr:nvSpPr>
            <xdr:cNvPr id="2059" name="Button 17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2060" name="Button 18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2061" name="Button 19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2062" name="Button 20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529</xdr:row>
          <xdr:rowOff>76200</xdr:rowOff>
        </xdr:from>
        <xdr:to>
          <xdr:col>2</xdr:col>
          <xdr:colOff>10563225</xdr:colOff>
          <xdr:row>530</xdr:row>
          <xdr:rowOff>66675</xdr:rowOff>
        </xdr:to>
        <xdr:sp macro="" textlink="">
          <xdr:nvSpPr>
            <xdr:cNvPr id="2063" name="Button 131" descr="Borrar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529</xdr:row>
          <xdr:rowOff>76200</xdr:rowOff>
        </xdr:from>
        <xdr:to>
          <xdr:col>2</xdr:col>
          <xdr:colOff>9877425</xdr:colOff>
          <xdr:row>530</xdr:row>
          <xdr:rowOff>66675</xdr:rowOff>
        </xdr:to>
        <xdr:sp macro="" textlink="">
          <xdr:nvSpPr>
            <xdr:cNvPr id="2064" name="Button 132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20" name="Rectángulo 19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3934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21" name="Rectángulo 2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5934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22" name="Rectángulo 21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7934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3935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5935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79357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9936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7937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61937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2130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2073" name="Button 5" descr="Borrar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2074" name="Button 7" descr="Borrar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2075" name="Button 8" descr="Borrar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2076" name="Button 1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2077" name="Button 1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2078" name="Button 2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36" name="Rectángulo 3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3934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37" name="Rectángulo 3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5934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38" name="Rectángulo 3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7934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39" name="Rectángulo 3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2130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856</xdr:row>
          <xdr:rowOff>76200</xdr:rowOff>
        </xdr:from>
        <xdr:to>
          <xdr:col>2</xdr:col>
          <xdr:colOff>10563225</xdr:colOff>
          <xdr:row>857</xdr:row>
          <xdr:rowOff>66675</xdr:rowOff>
        </xdr:to>
        <xdr:sp macro="" textlink="">
          <xdr:nvSpPr>
            <xdr:cNvPr id="2079" name="Button 131" descr="Borrar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856</xdr:row>
          <xdr:rowOff>76200</xdr:rowOff>
        </xdr:from>
        <xdr:to>
          <xdr:col>2</xdr:col>
          <xdr:colOff>9877425</xdr:colOff>
          <xdr:row>857</xdr:row>
          <xdr:rowOff>66675</xdr:rowOff>
        </xdr:to>
        <xdr:sp macro="" textlink="">
          <xdr:nvSpPr>
            <xdr:cNvPr id="2080" name="Button 1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1122</xdr:row>
          <xdr:rowOff>76200</xdr:rowOff>
        </xdr:from>
        <xdr:to>
          <xdr:col>2</xdr:col>
          <xdr:colOff>10563225</xdr:colOff>
          <xdr:row>1123</xdr:row>
          <xdr:rowOff>66675</xdr:rowOff>
        </xdr:to>
        <xdr:sp macro="" textlink="">
          <xdr:nvSpPr>
            <xdr:cNvPr id="2081" name="Button 131" descr="Borrar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3E6F8CC6-B52E-4FF9-8206-960327A5BC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1122</xdr:row>
          <xdr:rowOff>76200</xdr:rowOff>
        </xdr:from>
        <xdr:to>
          <xdr:col>2</xdr:col>
          <xdr:colOff>9877425</xdr:colOff>
          <xdr:row>1123</xdr:row>
          <xdr:rowOff>66675</xdr:rowOff>
        </xdr:to>
        <xdr:sp macro="" textlink="">
          <xdr:nvSpPr>
            <xdr:cNvPr id="2082" name="Button 132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DB3EDFAD-D0EA-4F41-800D-FE37BEF7FB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pageSetUpPr fitToPage="1"/>
  </sheetPr>
  <dimension ref="A1:AN1125"/>
  <sheetViews>
    <sheetView showGridLines="0" tabSelected="1" zoomScale="50" zoomScaleNormal="50" zoomScalePageLayoutView="115" workbookViewId="0">
      <pane xSplit="1" ySplit="5" topLeftCell="B1027" activePane="bottomRight" state="frozen"/>
      <selection pane="topRight" activeCell="B1" sqref="B1"/>
      <selection pane="bottomLeft" activeCell="A6" sqref="A6"/>
      <selection pane="bottomRight" activeCell="C1046" sqref="C1046"/>
    </sheetView>
  </sheetViews>
  <sheetFormatPr baseColWidth="10" defaultColWidth="11" defaultRowHeight="15.75" x14ac:dyDescent="0.25"/>
  <cols>
    <col min="1" max="1" width="2.5" style="4" customWidth="1"/>
    <col min="2" max="2" width="6" style="35" customWidth="1"/>
    <col min="3" max="3" width="158.125" style="7" customWidth="1"/>
    <col min="4" max="4" width="5" style="36" customWidth="1"/>
    <col min="5" max="5" width="5.875" style="36" customWidth="1"/>
    <col min="6" max="6" width="15" style="37" bestFit="1" customWidth="1"/>
    <col min="7" max="7" width="10.375" style="5" bestFit="1" customWidth="1"/>
    <col min="8" max="8" width="11.5" style="5" bestFit="1" customWidth="1"/>
    <col min="9" max="16384" width="11" style="5"/>
  </cols>
  <sheetData>
    <row r="1" spans="1:40" x14ac:dyDescent="0.25">
      <c r="B1" s="6" t="s">
        <v>1</v>
      </c>
      <c r="D1" s="1"/>
      <c r="E1" s="1"/>
      <c r="F1" s="3"/>
      <c r="G1" s="2"/>
      <c r="H1" s="2" t="b">
        <v>0</v>
      </c>
    </row>
    <row r="2" spans="1:40" x14ac:dyDescent="0.25">
      <c r="B2" s="43" t="s">
        <v>3</v>
      </c>
      <c r="D2" s="1"/>
      <c r="E2" s="1"/>
      <c r="F2" s="3"/>
      <c r="G2" s="2"/>
      <c r="H2" s="2" t="s">
        <v>2</v>
      </c>
    </row>
    <row r="3" spans="1:40" x14ac:dyDescent="0.25">
      <c r="B3" s="43" t="s">
        <v>4</v>
      </c>
      <c r="D3" s="1"/>
      <c r="E3" s="1"/>
      <c r="F3" s="3"/>
      <c r="G3" s="2"/>
      <c r="H3" s="2"/>
    </row>
    <row r="4" spans="1:40" x14ac:dyDescent="0.25">
      <c r="B4" s="43" t="s">
        <v>5</v>
      </c>
      <c r="D4" s="1"/>
      <c r="E4" s="1"/>
      <c r="F4" s="3"/>
      <c r="G4" s="2"/>
      <c r="H4" s="2"/>
    </row>
    <row r="5" spans="1:40" ht="16.5" thickBot="1" x14ac:dyDescent="0.3">
      <c r="D5" s="9"/>
      <c r="E5" s="9"/>
      <c r="F5" s="10"/>
      <c r="G5" s="2"/>
      <c r="H5" s="2"/>
    </row>
    <row r="6" spans="1:40" ht="28.5" x14ac:dyDescent="0.45">
      <c r="B6" s="67" t="s">
        <v>31</v>
      </c>
      <c r="C6" s="149" t="s">
        <v>0</v>
      </c>
      <c r="D6" s="149"/>
      <c r="E6" s="149"/>
      <c r="F6" s="150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 x14ac:dyDescent="0.25">
      <c r="A7" s="4"/>
      <c r="B7" s="75" t="s">
        <v>17</v>
      </c>
      <c r="C7" s="77" t="s">
        <v>41</v>
      </c>
      <c r="D7" s="134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 x14ac:dyDescent="0.25">
      <c r="B8" s="76" t="s">
        <v>15</v>
      </c>
      <c r="C8" s="117" t="s">
        <v>42</v>
      </c>
      <c r="D8" s="133"/>
      <c r="E8" s="53" t="s">
        <v>9</v>
      </c>
      <c r="F8" s="25"/>
      <c r="G8" s="17"/>
      <c r="H8" s="19" t="b">
        <f>IF(D10="x",H$2,H$1)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 x14ac:dyDescent="0.25">
      <c r="B9" s="76" t="s">
        <v>15</v>
      </c>
      <c r="C9" s="117" t="s">
        <v>43</v>
      </c>
      <c r="D9" s="133"/>
      <c r="E9" s="53" t="s">
        <v>10</v>
      </c>
      <c r="F9" s="20" t="str">
        <f>IF(H10=1,IF(H8=H$2,H8,""),"")</f>
        <v/>
      </c>
      <c r="G9" s="17"/>
      <c r="H9" s="19" t="str">
        <f>IF(E$67="comprobar",COUNTIF(D8:D12,"x"),"")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 x14ac:dyDescent="0.25">
      <c r="B10" s="76" t="s">
        <v>15</v>
      </c>
      <c r="C10" s="117" t="s">
        <v>44</v>
      </c>
      <c r="D10" s="133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 x14ac:dyDescent="0.25">
      <c r="B11" s="76" t="s">
        <v>15</v>
      </c>
      <c r="C11" s="117" t="s">
        <v>45</v>
      </c>
      <c r="D11" s="133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 x14ac:dyDescent="0.25">
      <c r="B12" s="76"/>
      <c r="C12" s="24"/>
      <c r="D12" s="133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 x14ac:dyDescent="0.25">
      <c r="A13" s="4"/>
      <c r="B13" s="75" t="s">
        <v>16</v>
      </c>
      <c r="C13" s="77" t="s">
        <v>46</v>
      </c>
      <c r="D13" s="134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 x14ac:dyDescent="0.25">
      <c r="B14" s="76" t="s">
        <v>15</v>
      </c>
      <c r="C14" s="117" t="s">
        <v>47</v>
      </c>
      <c r="D14" s="133"/>
      <c r="E14" s="53" t="s">
        <v>9</v>
      </c>
      <c r="F14" s="25"/>
      <c r="G14" s="17"/>
      <c r="H14" s="19" t="b">
        <f>IF(D15="x",H$2,H$1)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 x14ac:dyDescent="0.25">
      <c r="B15" s="76" t="s">
        <v>15</v>
      </c>
      <c r="C15" s="117" t="s">
        <v>48</v>
      </c>
      <c r="D15" s="133"/>
      <c r="E15" s="53" t="s">
        <v>10</v>
      </c>
      <c r="F15" s="20" t="str">
        <f>IF(H16=1,IF(H14=H$2,H14,""),"")</f>
        <v/>
      </c>
      <c r="G15" s="17"/>
      <c r="H15" s="19" t="str">
        <f>IF(E$67="comprobar",COUNTIF(D14:D18,"x"),"")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 x14ac:dyDescent="0.25">
      <c r="B16" s="76" t="s">
        <v>15</v>
      </c>
      <c r="C16" s="117" t="s">
        <v>49</v>
      </c>
      <c r="D16" s="133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 x14ac:dyDescent="0.25">
      <c r="B17" s="76" t="s">
        <v>15</v>
      </c>
      <c r="C17" s="117" t="s">
        <v>50</v>
      </c>
      <c r="D17" s="133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 x14ac:dyDescent="0.25">
      <c r="B18" s="76"/>
      <c r="C18" s="24"/>
      <c r="D18" s="133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 x14ac:dyDescent="0.25">
      <c r="A19" s="4"/>
      <c r="B19" s="75" t="s">
        <v>18</v>
      </c>
      <c r="C19" s="77" t="s">
        <v>51</v>
      </c>
      <c r="D19" s="134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 x14ac:dyDescent="0.25">
      <c r="B20" s="76" t="s">
        <v>15</v>
      </c>
      <c r="C20" s="117" t="s">
        <v>52</v>
      </c>
      <c r="D20" s="133"/>
      <c r="E20" s="53" t="s">
        <v>9</v>
      </c>
      <c r="F20" s="25"/>
      <c r="G20" s="17"/>
      <c r="H20" s="19" t="b">
        <f>IF(D22="x",H$2,H$1)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 x14ac:dyDescent="0.25">
      <c r="B21" s="76" t="s">
        <v>15</v>
      </c>
      <c r="C21" s="117" t="s">
        <v>53</v>
      </c>
      <c r="D21" s="133"/>
      <c r="E21" s="53" t="s">
        <v>10</v>
      </c>
      <c r="F21" s="20" t="str">
        <f>IF(H22=1,IF(H20=H$2,H20,""),"")</f>
        <v/>
      </c>
      <c r="G21" s="17"/>
      <c r="H21" s="19" t="str">
        <f>IF(E$67="comprobar",COUNTIF(D20:D24,"x"),"")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 x14ac:dyDescent="0.25">
      <c r="B22" s="76" t="s">
        <v>15</v>
      </c>
      <c r="C22" s="117" t="s">
        <v>54</v>
      </c>
      <c r="D22" s="133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 x14ac:dyDescent="0.25">
      <c r="B23" s="76" t="s">
        <v>15</v>
      </c>
      <c r="C23" s="117" t="s">
        <v>55</v>
      </c>
      <c r="D23" s="133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 x14ac:dyDescent="0.25">
      <c r="B24" s="76"/>
      <c r="C24" s="24"/>
      <c r="D24" s="133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 x14ac:dyDescent="0.25">
      <c r="A25" s="4"/>
      <c r="B25" s="75" t="s">
        <v>19</v>
      </c>
      <c r="C25" s="77" t="s">
        <v>56</v>
      </c>
      <c r="D25" s="134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 x14ac:dyDescent="0.25">
      <c r="B26" s="76" t="s">
        <v>15</v>
      </c>
      <c r="C26" s="117" t="s">
        <v>57</v>
      </c>
      <c r="D26" s="133"/>
      <c r="E26" s="53" t="s">
        <v>9</v>
      </c>
      <c r="F26" s="25"/>
      <c r="G26" s="17"/>
      <c r="H26" s="19" t="b">
        <f>IF(D29="x",H$2,H$1)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 x14ac:dyDescent="0.25">
      <c r="B27" s="76" t="s">
        <v>15</v>
      </c>
      <c r="C27" s="117" t="s">
        <v>58</v>
      </c>
      <c r="D27" s="133"/>
      <c r="E27" s="53" t="s">
        <v>10</v>
      </c>
      <c r="F27" s="20" t="str">
        <f>IF(H28=1,IF(H26=H$2,H26,""),"")</f>
        <v/>
      </c>
      <c r="G27" s="17"/>
      <c r="H27" s="19" t="str">
        <f>IF(E$67="comprobar",COUNTIF(D26:D30,"x"),"")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 x14ac:dyDescent="0.25">
      <c r="B28" s="76" t="s">
        <v>15</v>
      </c>
      <c r="C28" s="117" t="s">
        <v>59</v>
      </c>
      <c r="D28" s="133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 x14ac:dyDescent="0.25">
      <c r="B29" s="76" t="s">
        <v>15</v>
      </c>
      <c r="C29" s="117" t="s">
        <v>60</v>
      </c>
      <c r="D29" s="133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 x14ac:dyDescent="0.25">
      <c r="B30" s="76"/>
      <c r="C30" s="24"/>
      <c r="D30" s="133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 x14ac:dyDescent="0.25">
      <c r="A31" s="4"/>
      <c r="B31" s="75" t="s">
        <v>20</v>
      </c>
      <c r="C31" s="77" t="s">
        <v>61</v>
      </c>
      <c r="D31" s="134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 x14ac:dyDescent="0.25">
      <c r="B32" s="76" t="s">
        <v>15</v>
      </c>
      <c r="C32" s="117" t="s">
        <v>62</v>
      </c>
      <c r="D32" s="133"/>
      <c r="E32" s="53" t="s">
        <v>9</v>
      </c>
      <c r="F32" s="25"/>
      <c r="G32" s="17"/>
      <c r="H32" s="19" t="b">
        <f>IF(D34="x",H$2,H$1)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 x14ac:dyDescent="0.25">
      <c r="B33" s="76" t="s">
        <v>15</v>
      </c>
      <c r="C33" s="117" t="s">
        <v>63</v>
      </c>
      <c r="D33" s="133"/>
      <c r="E33" s="53" t="s">
        <v>10</v>
      </c>
      <c r="F33" s="20" t="str">
        <f>IF(H34=1,IF(H32=H$2,H32,""),"")</f>
        <v/>
      </c>
      <c r="G33" s="17"/>
      <c r="H33" s="19" t="str">
        <f>IF(E$67="comprobar",COUNTIF(D32:D36,"x"),"")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 x14ac:dyDescent="0.25">
      <c r="B34" s="76" t="s">
        <v>15</v>
      </c>
      <c r="C34" s="117" t="s">
        <v>64</v>
      </c>
      <c r="D34" s="133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 x14ac:dyDescent="0.25">
      <c r="B35" s="76" t="s">
        <v>15</v>
      </c>
      <c r="C35" s="117" t="s">
        <v>65</v>
      </c>
      <c r="D35" s="133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 x14ac:dyDescent="0.25">
      <c r="B36" s="76"/>
      <c r="C36" s="24"/>
      <c r="D36" s="133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 x14ac:dyDescent="0.25">
      <c r="A37" s="4"/>
      <c r="B37" s="75" t="s">
        <v>21</v>
      </c>
      <c r="C37" s="77" t="s">
        <v>66</v>
      </c>
      <c r="D37" s="134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 x14ac:dyDescent="0.25">
      <c r="B38" s="76" t="s">
        <v>15</v>
      </c>
      <c r="C38" s="117" t="s">
        <v>67</v>
      </c>
      <c r="D38" s="133"/>
      <c r="E38" s="53" t="s">
        <v>9</v>
      </c>
      <c r="F38" s="25"/>
      <c r="G38" s="17"/>
      <c r="H38" s="19" t="b">
        <f>IF(D39="x",H$2,H$1)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 x14ac:dyDescent="0.25">
      <c r="B39" s="76" t="s">
        <v>15</v>
      </c>
      <c r="C39" s="117" t="s">
        <v>68</v>
      </c>
      <c r="D39" s="133"/>
      <c r="E39" s="53" t="s">
        <v>10</v>
      </c>
      <c r="F39" s="20" t="str">
        <f>IF(H40=1,IF(H38=H$2,H38,""),"")</f>
        <v/>
      </c>
      <c r="G39" s="17"/>
      <c r="H39" s="19" t="str">
        <f>IF(E$67="comprobar",COUNTIF(D38:D42,"x"),"")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 x14ac:dyDescent="0.25">
      <c r="B40" s="76" t="s">
        <v>15</v>
      </c>
      <c r="C40" s="117" t="s">
        <v>69</v>
      </c>
      <c r="D40" s="133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 x14ac:dyDescent="0.25">
      <c r="B41" s="76" t="s">
        <v>15</v>
      </c>
      <c r="C41" s="117" t="s">
        <v>58</v>
      </c>
      <c r="D41" s="133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 x14ac:dyDescent="0.25">
      <c r="B42" s="76"/>
      <c r="C42" s="24"/>
      <c r="D42" s="133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 x14ac:dyDescent="0.25">
      <c r="A43" s="4"/>
      <c r="B43" s="75" t="s">
        <v>22</v>
      </c>
      <c r="C43" s="77" t="s">
        <v>70</v>
      </c>
      <c r="D43" s="134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 x14ac:dyDescent="0.25">
      <c r="B44" s="76" t="s">
        <v>15</v>
      </c>
      <c r="C44" s="117" t="s">
        <v>71</v>
      </c>
      <c r="D44" s="133"/>
      <c r="E44" s="53" t="s">
        <v>9</v>
      </c>
      <c r="F44" s="25"/>
      <c r="G44" s="17"/>
      <c r="H44" s="19" t="b">
        <f>IF(D46="x",H$2,H$1)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 x14ac:dyDescent="0.25">
      <c r="B45" s="76" t="s">
        <v>15</v>
      </c>
      <c r="C45" s="117" t="s">
        <v>72</v>
      </c>
      <c r="D45" s="133"/>
      <c r="E45" s="53" t="s">
        <v>10</v>
      </c>
      <c r="F45" s="20" t="str">
        <f>IF(H46=1,IF(H44=H$2,H44,""),"")</f>
        <v/>
      </c>
      <c r="G45" s="17"/>
      <c r="H45" s="19" t="str">
        <f>IF(E$67="comprobar",COUNTIF(D44:D48,"x"),"")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 x14ac:dyDescent="0.25">
      <c r="B46" s="76" t="s">
        <v>15</v>
      </c>
      <c r="C46" s="117" t="s">
        <v>73</v>
      </c>
      <c r="D46" s="133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 x14ac:dyDescent="0.25">
      <c r="B47" s="76" t="s">
        <v>15</v>
      </c>
      <c r="C47" s="117" t="s">
        <v>74</v>
      </c>
      <c r="D47" s="133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 x14ac:dyDescent="0.25">
      <c r="B48" s="76"/>
      <c r="C48" s="24"/>
      <c r="D48" s="133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 x14ac:dyDescent="0.25">
      <c r="A49" s="4"/>
      <c r="B49" s="75" t="s">
        <v>23</v>
      </c>
      <c r="C49" s="77" t="s">
        <v>75</v>
      </c>
      <c r="D49" s="134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 x14ac:dyDescent="0.25">
      <c r="B50" s="76" t="s">
        <v>15</v>
      </c>
      <c r="C50" s="117" t="s">
        <v>76</v>
      </c>
      <c r="D50" s="133"/>
      <c r="E50" s="53" t="s">
        <v>9</v>
      </c>
      <c r="F50" s="25"/>
      <c r="G50" s="17"/>
      <c r="H50" s="19" t="b">
        <f>IF(D51="x",H$2,H$1)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 x14ac:dyDescent="0.25">
      <c r="B51" s="76" t="s">
        <v>15</v>
      </c>
      <c r="C51" s="117" t="s">
        <v>77</v>
      </c>
      <c r="D51" s="133"/>
      <c r="E51" s="53" t="s">
        <v>10</v>
      </c>
      <c r="F51" s="20" t="str">
        <f>IF(H52=1,IF(H50=H$2,H50,""),"")</f>
        <v/>
      </c>
      <c r="G51" s="17"/>
      <c r="H51" s="19" t="str">
        <f>IF(E$67="comprobar",COUNTIF(D50:D54,"x"),"")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 x14ac:dyDescent="0.25">
      <c r="B52" s="76" t="s">
        <v>15</v>
      </c>
      <c r="C52" s="117" t="s">
        <v>78</v>
      </c>
      <c r="D52" s="133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 x14ac:dyDescent="0.25">
      <c r="B53" s="76" t="s">
        <v>15</v>
      </c>
      <c r="C53" s="117" t="s">
        <v>79</v>
      </c>
      <c r="D53" s="133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 x14ac:dyDescent="0.25">
      <c r="B54" s="76"/>
      <c r="C54" s="24"/>
      <c r="D54" s="133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 x14ac:dyDescent="0.25">
      <c r="A55" s="4"/>
      <c r="B55" s="75" t="s">
        <v>27</v>
      </c>
      <c r="C55" s="77" t="s">
        <v>80</v>
      </c>
      <c r="D55" s="134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 x14ac:dyDescent="0.25">
      <c r="B56" s="76" t="s">
        <v>15</v>
      </c>
      <c r="C56" s="117" t="s">
        <v>81</v>
      </c>
      <c r="D56" s="133"/>
      <c r="E56" s="53" t="s">
        <v>9</v>
      </c>
      <c r="F56" s="25"/>
      <c r="G56" s="17"/>
      <c r="H56" s="19" t="b">
        <f>IF(D56="x",H$2,H$1)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 x14ac:dyDescent="0.25">
      <c r="B57" s="76" t="s">
        <v>15</v>
      </c>
      <c r="C57" s="117" t="s">
        <v>82</v>
      </c>
      <c r="D57" s="133"/>
      <c r="E57" s="53" t="s">
        <v>10</v>
      </c>
      <c r="F57" s="20" t="str">
        <f>IF(H58=1,IF(H56=H$2,H56,""),"")</f>
        <v/>
      </c>
      <c r="G57" s="17"/>
      <c r="H57" s="19" t="str">
        <f>IF(E$67="comprobar",COUNTIF(D56:D60,"x"),"")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 x14ac:dyDescent="0.25">
      <c r="B58" s="76" t="s">
        <v>15</v>
      </c>
      <c r="C58" s="117" t="s">
        <v>83</v>
      </c>
      <c r="D58" s="133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 x14ac:dyDescent="0.25">
      <c r="B59" s="76" t="s">
        <v>15</v>
      </c>
      <c r="C59" s="117" t="s">
        <v>84</v>
      </c>
      <c r="D59" s="133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 x14ac:dyDescent="0.25">
      <c r="B60" s="76"/>
      <c r="C60" s="24"/>
      <c r="D60" s="133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 x14ac:dyDescent="0.25">
      <c r="A61" s="4"/>
      <c r="B61" s="75" t="s">
        <v>25</v>
      </c>
      <c r="C61" s="77" t="s">
        <v>85</v>
      </c>
      <c r="D61" s="134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 x14ac:dyDescent="0.25">
      <c r="B62" s="76" t="s">
        <v>15</v>
      </c>
      <c r="C62" s="117" t="s">
        <v>86</v>
      </c>
      <c r="D62" s="133"/>
      <c r="E62" s="53" t="s">
        <v>9</v>
      </c>
      <c r="F62" s="25"/>
      <c r="G62" s="24"/>
      <c r="H62" s="19" t="b">
        <f>IF(D64="x",H$2,H$1)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 x14ac:dyDescent="0.25">
      <c r="B63" s="76" t="s">
        <v>15</v>
      </c>
      <c r="C63" s="117" t="s">
        <v>87</v>
      </c>
      <c r="D63" s="133"/>
      <c r="E63" s="53" t="s">
        <v>10</v>
      </c>
      <c r="F63" s="20" t="str">
        <f>IF(H64=1,IF(H62=H$2,H62,""),"")</f>
        <v/>
      </c>
      <c r="G63" s="24"/>
      <c r="H63" s="19" t="str">
        <f>IF(E$67="comprobar",COUNTIF(D62:D66,"x"),"")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 x14ac:dyDescent="0.25">
      <c r="B64" s="76" t="s">
        <v>15</v>
      </c>
      <c r="C64" s="117" t="s">
        <v>88</v>
      </c>
      <c r="D64" s="133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1:40" x14ac:dyDescent="0.25">
      <c r="B65" s="76" t="s">
        <v>15</v>
      </c>
      <c r="C65" s="117" t="s">
        <v>89</v>
      </c>
      <c r="D65" s="133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1:40" x14ac:dyDescent="0.25">
      <c r="B66" s="76"/>
      <c r="C66" s="24"/>
      <c r="D66" s="38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1:40" x14ac:dyDescent="0.25">
      <c r="B67" s="44"/>
      <c r="C67" s="8"/>
      <c r="D67" s="48"/>
      <c r="E67" s="54"/>
      <c r="F67" s="18"/>
      <c r="G67" s="17"/>
      <c r="H67" s="17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1:40" x14ac:dyDescent="0.25">
      <c r="B68" s="44"/>
      <c r="C68" s="8"/>
      <c r="D68" s="48"/>
      <c r="E68" s="57"/>
      <c r="F68" s="28" t="s">
        <v>8</v>
      </c>
      <c r="G68" s="17" t="s">
        <v>6</v>
      </c>
      <c r="H68" s="17" t="s">
        <v>7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1:40" ht="19.5" x14ac:dyDescent="0.25">
      <c r="B69" s="44"/>
      <c r="C69" s="78"/>
      <c r="D69" s="148"/>
      <c r="E69" s="148"/>
      <c r="F69" s="29" t="str">
        <f>IF(E67="comprobar",H64+H58+H52+H46+H40+H34+H28+H22+H16+H10,"")</f>
        <v/>
      </c>
      <c r="G69" s="17">
        <f>10/2</f>
        <v>5</v>
      </c>
      <c r="H69" s="17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1:40" ht="16.5" thickBot="1" x14ac:dyDescent="0.3">
      <c r="B70" s="45"/>
      <c r="C70" s="30"/>
      <c r="D70" s="31"/>
      <c r="E70" s="55"/>
      <c r="F70" s="32" t="str">
        <f>IF(F69&gt;G69,G68,H68)</f>
        <v>APROBADO</v>
      </c>
      <c r="G70" s="17"/>
      <c r="H70" s="17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1:40" ht="28.5" x14ac:dyDescent="0.45">
      <c r="B71" s="60" t="s">
        <v>31</v>
      </c>
      <c r="C71" s="149" t="s">
        <v>34</v>
      </c>
      <c r="D71" s="149"/>
      <c r="E71" s="149"/>
      <c r="F71" s="150"/>
      <c r="G71" s="17"/>
      <c r="H71" s="17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1:40" s="15" customFormat="1" x14ac:dyDescent="0.25">
      <c r="A72" s="4"/>
      <c r="B72" s="75" t="s">
        <v>17</v>
      </c>
      <c r="C72" s="80" t="s">
        <v>90</v>
      </c>
      <c r="D72" s="39"/>
      <c r="E72" s="52"/>
      <c r="F72" s="27"/>
      <c r="G72" s="13"/>
      <c r="H72" s="13"/>
    </row>
    <row r="73" spans="1:40" x14ac:dyDescent="0.25">
      <c r="B73" s="76" t="s">
        <v>15</v>
      </c>
      <c r="C73" s="62" t="s">
        <v>91</v>
      </c>
      <c r="D73" s="38"/>
      <c r="E73" s="53" t="s">
        <v>9</v>
      </c>
      <c r="F73" s="25"/>
      <c r="G73" s="17"/>
      <c r="H73" s="19" t="b">
        <f>IF(D76="x",H$2,H$1)</f>
        <v>0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1:40" x14ac:dyDescent="0.25">
      <c r="B74" s="76" t="s">
        <v>15</v>
      </c>
      <c r="C74" s="118" t="s">
        <v>92</v>
      </c>
      <c r="D74" s="38"/>
      <c r="E74" s="53" t="s">
        <v>10</v>
      </c>
      <c r="F74" s="20" t="str">
        <f>IF(H75=1,IF(H73=H$2,H73,""),"")</f>
        <v/>
      </c>
      <c r="G74" s="17"/>
      <c r="H74" s="19" t="str">
        <f>IF(E$132="comprobar",COUNTIF(D73:D77,"x"),"")</f>
        <v/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1:40" x14ac:dyDescent="0.25">
      <c r="B75" s="76" t="s">
        <v>15</v>
      </c>
      <c r="C75" s="119" t="s">
        <v>93</v>
      </c>
      <c r="D75" s="38"/>
      <c r="E75" s="53" t="s">
        <v>11</v>
      </c>
      <c r="F75" s="21" t="str">
        <f>IF(H75=-0.33,IF(H73=H$1,H73,""),"")</f>
        <v/>
      </c>
      <c r="G75" s="17"/>
      <c r="H75" s="22">
        <f>IF(H74=1,IF(H73=H$2,1,-0.33),0)</f>
        <v>0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1:40" x14ac:dyDescent="0.25">
      <c r="B76" s="76" t="s">
        <v>15</v>
      </c>
      <c r="C76" s="79" t="s">
        <v>94</v>
      </c>
      <c r="D76" s="38"/>
      <c r="E76" s="53" t="s">
        <v>12</v>
      </c>
      <c r="F76" s="25"/>
      <c r="G76" s="17"/>
      <c r="H76" s="22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1:40" x14ac:dyDescent="0.25">
      <c r="B77" s="63"/>
      <c r="C77" s="64"/>
      <c r="D77" s="38"/>
      <c r="E77" s="53" t="s">
        <v>13</v>
      </c>
      <c r="F77" s="18"/>
      <c r="G77" s="17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1:40" s="33" customFormat="1" x14ac:dyDescent="0.25">
      <c r="A78" s="4"/>
      <c r="B78" s="75" t="s">
        <v>16</v>
      </c>
      <c r="C78" s="80" t="s">
        <v>95</v>
      </c>
      <c r="D78" s="39"/>
      <c r="E78" s="52"/>
      <c r="F78" s="27"/>
      <c r="G78" s="13"/>
      <c r="H78" s="13"/>
    </row>
    <row r="79" spans="1:40" x14ac:dyDescent="0.25">
      <c r="B79" s="76" t="s">
        <v>15</v>
      </c>
      <c r="C79" s="62" t="s">
        <v>96</v>
      </c>
      <c r="D79" s="38"/>
      <c r="E79" s="53" t="s">
        <v>9</v>
      </c>
      <c r="F79" s="25"/>
      <c r="G79" s="17"/>
      <c r="H79" s="19" t="b">
        <f>IF(D79="x",H$2,H$1)</f>
        <v>0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1:40" x14ac:dyDescent="0.25">
      <c r="B80" s="76" t="s">
        <v>15</v>
      </c>
      <c r="C80" s="118" t="s">
        <v>97</v>
      </c>
      <c r="D80" s="38"/>
      <c r="E80" s="53" t="s">
        <v>10</v>
      </c>
      <c r="F80" s="20" t="str">
        <f>IF(H81=1,IF(H79=H$2,H79,""),"")</f>
        <v/>
      </c>
      <c r="G80" s="17"/>
      <c r="H80" s="19" t="str">
        <f>IF(E$132="comprobar",COUNTIF(D79:D83,"x"),"")</f>
        <v/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 x14ac:dyDescent="0.25">
      <c r="B81" s="76" t="s">
        <v>15</v>
      </c>
      <c r="C81" s="119" t="s">
        <v>98</v>
      </c>
      <c r="D81" s="38"/>
      <c r="E81" s="53" t="s">
        <v>11</v>
      </c>
      <c r="F81" s="21" t="str">
        <f>IF(H81=-0.33,IF(H79=H$1,H79,""),"")</f>
        <v/>
      </c>
      <c r="G81" s="17"/>
      <c r="H81" s="22">
        <f t="shared" ref="H81" si="1">IF(H80=1,IF(H79=H$2,1,-0.33),0)</f>
        <v>0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 x14ac:dyDescent="0.25">
      <c r="B82" s="76" t="s">
        <v>15</v>
      </c>
      <c r="C82" s="79" t="s">
        <v>99</v>
      </c>
      <c r="D82" s="38"/>
      <c r="E82" s="53" t="s">
        <v>12</v>
      </c>
      <c r="F82" s="25"/>
      <c r="G82" s="17"/>
      <c r="H82" s="22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 x14ac:dyDescent="0.25">
      <c r="B83" s="63"/>
      <c r="C83" s="64"/>
      <c r="D83" s="38"/>
      <c r="E83" s="53" t="s">
        <v>13</v>
      </c>
      <c r="F83" s="18"/>
      <c r="G83" s="17"/>
      <c r="H83" s="22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33" customFormat="1" x14ac:dyDescent="0.25">
      <c r="A84" s="115"/>
      <c r="B84" s="75" t="s">
        <v>18</v>
      </c>
      <c r="C84" s="80" t="s">
        <v>100</v>
      </c>
      <c r="D84" s="58"/>
      <c r="E84" s="56"/>
      <c r="F84" s="50"/>
      <c r="G84" s="47"/>
      <c r="H84" s="47"/>
    </row>
    <row r="85" spans="1:40" x14ac:dyDescent="0.25">
      <c r="B85" s="76" t="s">
        <v>15</v>
      </c>
      <c r="C85" s="62" t="s">
        <v>101</v>
      </c>
      <c r="D85" s="38"/>
      <c r="E85" s="53" t="s">
        <v>9</v>
      </c>
      <c r="F85" s="25"/>
      <c r="G85" s="17"/>
      <c r="H85" s="19" t="b">
        <f>IF(D88="x",H$2,H$1)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 x14ac:dyDescent="0.25">
      <c r="B86" s="76" t="s">
        <v>15</v>
      </c>
      <c r="C86" s="118" t="s">
        <v>102</v>
      </c>
      <c r="D86" s="38"/>
      <c r="E86" s="53" t="s">
        <v>10</v>
      </c>
      <c r="F86" s="20" t="str">
        <f>IF(H87=1,IF(H85=H$2,H85,""),"")</f>
        <v/>
      </c>
      <c r="G86" s="17"/>
      <c r="H86" s="19" t="str">
        <f>IF(E$132="comprobar",COUNTIF(D85:D89,"x"),"")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 x14ac:dyDescent="0.25">
      <c r="B87" s="76" t="s">
        <v>15</v>
      </c>
      <c r="C87" s="119" t="s">
        <v>103</v>
      </c>
      <c r="D87" s="38"/>
      <c r="E87" s="53" t="s">
        <v>11</v>
      </c>
      <c r="F87" s="21" t="str">
        <f>IF(H87=-0.33,IF(H85=H$1,H85,""),"")</f>
        <v/>
      </c>
      <c r="G87" s="17"/>
      <c r="H87" s="22">
        <f t="shared" ref="H87" si="2"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 x14ac:dyDescent="0.25">
      <c r="B88" s="76" t="s">
        <v>15</v>
      </c>
      <c r="C88" s="79" t="s">
        <v>104</v>
      </c>
      <c r="D88" s="38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 x14ac:dyDescent="0.25">
      <c r="B89" s="63"/>
      <c r="C89" s="64"/>
      <c r="D89" s="38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15" customFormat="1" x14ac:dyDescent="0.25">
      <c r="A90" s="4"/>
      <c r="B90" s="75" t="s">
        <v>19</v>
      </c>
      <c r="C90" s="80" t="s">
        <v>105</v>
      </c>
      <c r="D90" s="39"/>
      <c r="E90" s="52"/>
      <c r="F90" s="27"/>
      <c r="G90" s="13"/>
      <c r="H90" s="13"/>
    </row>
    <row r="91" spans="1:40" x14ac:dyDescent="0.25">
      <c r="B91" s="76" t="s">
        <v>15</v>
      </c>
      <c r="C91" s="62" t="s">
        <v>106</v>
      </c>
      <c r="D91" s="38"/>
      <c r="E91" s="53" t="s">
        <v>9</v>
      </c>
      <c r="F91" s="25"/>
      <c r="G91" s="17"/>
      <c r="H91" s="19" t="b">
        <f>IF(D91="x",H$2,H$1)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 x14ac:dyDescent="0.25">
      <c r="B92" s="76" t="s">
        <v>15</v>
      </c>
      <c r="C92" s="118" t="s">
        <v>107</v>
      </c>
      <c r="D92" s="38"/>
      <c r="E92" s="53" t="s">
        <v>10</v>
      </c>
      <c r="F92" s="20" t="str">
        <f>IF(H93=1,IF(H91=H$2,H91,""),"")</f>
        <v/>
      </c>
      <c r="G92" s="17"/>
      <c r="H92" s="19" t="str">
        <f>IF(E$132="comprobar",COUNTIF(D91:D95,"x"),"")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 x14ac:dyDescent="0.25">
      <c r="B93" s="76" t="s">
        <v>15</v>
      </c>
      <c r="C93" s="119" t="s">
        <v>108</v>
      </c>
      <c r="D93" s="38"/>
      <c r="E93" s="53" t="s">
        <v>11</v>
      </c>
      <c r="F93" s="21" t="str">
        <f>IF(H93=-0.33,IF(H91=H$1,H91,""),"")</f>
        <v/>
      </c>
      <c r="G93" s="17"/>
      <c r="H93" s="22">
        <f t="shared" ref="H93" si="3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 x14ac:dyDescent="0.25">
      <c r="B94" s="76" t="s">
        <v>15</v>
      </c>
      <c r="C94" s="79" t="s">
        <v>109</v>
      </c>
      <c r="D94" s="38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 x14ac:dyDescent="0.25">
      <c r="B95" s="63"/>
      <c r="C95" s="64"/>
      <c r="D95" s="38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15" customFormat="1" x14ac:dyDescent="0.25">
      <c r="A96" s="4"/>
      <c r="B96" s="75" t="s">
        <v>20</v>
      </c>
      <c r="C96" s="80" t="s">
        <v>110</v>
      </c>
      <c r="D96" s="39"/>
      <c r="E96" s="52"/>
      <c r="F96" s="27"/>
      <c r="G96" s="13"/>
      <c r="H96" s="13"/>
    </row>
    <row r="97" spans="1:40" x14ac:dyDescent="0.25">
      <c r="B97" s="76" t="s">
        <v>15</v>
      </c>
      <c r="C97" s="62" t="s">
        <v>111</v>
      </c>
      <c r="D97" s="38"/>
      <c r="E97" s="53" t="s">
        <v>9</v>
      </c>
      <c r="F97" s="25"/>
      <c r="G97" s="17"/>
      <c r="H97" s="19" t="b">
        <f>IF(D98="x",H$2,H$1)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 x14ac:dyDescent="0.25">
      <c r="B98" s="76" t="s">
        <v>15</v>
      </c>
      <c r="C98" s="118" t="s">
        <v>112</v>
      </c>
      <c r="D98" s="38"/>
      <c r="E98" s="53" t="s">
        <v>10</v>
      </c>
      <c r="F98" s="20" t="str">
        <f>IF(H99=1,IF(H97=H$2,H97,""),"")</f>
        <v/>
      </c>
      <c r="G98" s="17"/>
      <c r="H98" s="19" t="str">
        <f>IF(E$132="comprobar",COUNTIF(D97:D101,"x"),"")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 x14ac:dyDescent="0.25">
      <c r="B99" s="76" t="s">
        <v>15</v>
      </c>
      <c r="C99" s="119" t="s">
        <v>113</v>
      </c>
      <c r="D99" s="38"/>
      <c r="E99" s="53" t="s">
        <v>11</v>
      </c>
      <c r="F99" s="21" t="str">
        <f>IF(H99=-0.33,IF(H97=H$1,H97,""),"")</f>
        <v/>
      </c>
      <c r="G99" s="17"/>
      <c r="H99" s="22">
        <f t="shared" ref="H99" si="4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 x14ac:dyDescent="0.25">
      <c r="B100" s="76" t="s">
        <v>15</v>
      </c>
      <c r="C100" s="79" t="s">
        <v>114</v>
      </c>
      <c r="D100" s="38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 x14ac:dyDescent="0.25">
      <c r="B101" s="63"/>
      <c r="C101" s="64"/>
      <c r="D101" s="38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 x14ac:dyDescent="0.25">
      <c r="A102" s="4"/>
      <c r="B102" s="75" t="s">
        <v>21</v>
      </c>
      <c r="C102" s="80" t="s">
        <v>115</v>
      </c>
      <c r="D102" s="39"/>
      <c r="E102" s="52"/>
      <c r="F102" s="27"/>
      <c r="G102" s="13"/>
      <c r="H102" s="13"/>
    </row>
    <row r="103" spans="1:40" x14ac:dyDescent="0.25">
      <c r="B103" s="76" t="s">
        <v>15</v>
      </c>
      <c r="C103" s="62" t="s">
        <v>116</v>
      </c>
      <c r="D103" s="38"/>
      <c r="E103" s="53" t="s">
        <v>9</v>
      </c>
      <c r="F103" s="25"/>
      <c r="G103" s="17"/>
      <c r="H103" s="19" t="b">
        <f>IF(D103="x",H$2,H$1)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 x14ac:dyDescent="0.25">
      <c r="B104" s="76" t="s">
        <v>15</v>
      </c>
      <c r="C104" s="118" t="s">
        <v>117</v>
      </c>
      <c r="D104" s="38"/>
      <c r="E104" s="53" t="s">
        <v>10</v>
      </c>
      <c r="F104" s="20" t="str">
        <f>IF(H105=1,IF(H103=H$2,H103,""),"")</f>
        <v/>
      </c>
      <c r="G104" s="17"/>
      <c r="H104" s="19" t="str">
        <f>IF(E$132="comprobar",COUNTIF(D103:D107,"x"),"")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 x14ac:dyDescent="0.25">
      <c r="B105" s="76" t="s">
        <v>15</v>
      </c>
      <c r="C105" s="119" t="s">
        <v>118</v>
      </c>
      <c r="D105" s="38"/>
      <c r="E105" s="53" t="s">
        <v>11</v>
      </c>
      <c r="F105" s="21" t="str">
        <f>IF(H105=-0.33,IF(H103=H$1,H103,""),"")</f>
        <v/>
      </c>
      <c r="G105" s="17"/>
      <c r="H105" s="22">
        <f t="shared" ref="H105" si="5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 x14ac:dyDescent="0.25">
      <c r="B106" s="76" t="s">
        <v>15</v>
      </c>
      <c r="C106" s="79" t="s">
        <v>119</v>
      </c>
      <c r="D106" s="38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 x14ac:dyDescent="0.25">
      <c r="B107" s="63"/>
      <c r="C107" s="64"/>
      <c r="D107" s="38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 x14ac:dyDescent="0.25">
      <c r="A108" s="4"/>
      <c r="B108" s="75" t="s">
        <v>22</v>
      </c>
      <c r="C108" s="80" t="s">
        <v>120</v>
      </c>
      <c r="D108" s="39"/>
      <c r="E108" s="52"/>
      <c r="F108" s="27"/>
      <c r="G108" s="13"/>
      <c r="H108" s="13"/>
    </row>
    <row r="109" spans="1:40" x14ac:dyDescent="0.25">
      <c r="B109" s="76" t="s">
        <v>15</v>
      </c>
      <c r="C109" s="62" t="s">
        <v>121</v>
      </c>
      <c r="D109" s="38"/>
      <c r="E109" s="1"/>
      <c r="F109" s="25"/>
      <c r="G109" s="17"/>
      <c r="H109" s="19" t="b">
        <f>IF(D109="x",H$2,H$1)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 x14ac:dyDescent="0.25">
      <c r="B110" s="76" t="s">
        <v>15</v>
      </c>
      <c r="C110" s="118" t="s">
        <v>122</v>
      </c>
      <c r="D110" s="38"/>
      <c r="E110" s="53" t="s">
        <v>9</v>
      </c>
      <c r="F110" s="20" t="str">
        <f>IF(H111=1,IF(H109=H$2,H109,""),"")</f>
        <v/>
      </c>
      <c r="G110" s="17"/>
      <c r="H110" s="19" t="str">
        <f>IF(E$132="comprobar",COUNTIF(D109:D113,"x"),"")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 x14ac:dyDescent="0.25">
      <c r="B111" s="76" t="s">
        <v>15</v>
      </c>
      <c r="C111" s="119" t="s">
        <v>123</v>
      </c>
      <c r="D111" s="38"/>
      <c r="E111" s="53" t="s">
        <v>10</v>
      </c>
      <c r="F111" s="21" t="str">
        <f>IF(H111=-0.33,IF(H109=H$1,H109,""),"")</f>
        <v/>
      </c>
      <c r="G111" s="17"/>
      <c r="H111" s="22">
        <f t="shared" ref="H111" si="6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 x14ac:dyDescent="0.25">
      <c r="B112" s="76" t="s">
        <v>15</v>
      </c>
      <c r="C112" s="79" t="s">
        <v>124</v>
      </c>
      <c r="D112" s="38"/>
      <c r="E112" s="53" t="s">
        <v>11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 x14ac:dyDescent="0.25">
      <c r="B113" s="42"/>
      <c r="C113" s="64"/>
      <c r="D113" s="38"/>
      <c r="E113" s="53" t="s">
        <v>12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 x14ac:dyDescent="0.25">
      <c r="A114" s="4"/>
      <c r="B114" s="75" t="s">
        <v>23</v>
      </c>
      <c r="C114" s="80" t="s">
        <v>125</v>
      </c>
      <c r="D114" s="39"/>
      <c r="E114" s="52"/>
      <c r="F114" s="27"/>
      <c r="G114" s="13"/>
      <c r="H114" s="13"/>
    </row>
    <row r="115" spans="1:40" x14ac:dyDescent="0.25">
      <c r="B115" s="76" t="s">
        <v>15</v>
      </c>
      <c r="C115" s="62" t="s">
        <v>126</v>
      </c>
      <c r="D115" s="38"/>
      <c r="E115" s="53" t="s">
        <v>9</v>
      </c>
      <c r="F115" s="25"/>
      <c r="G115" s="17"/>
      <c r="H115" s="19" t="b">
        <f>IF(D118="x",H$2,H$1)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 x14ac:dyDescent="0.25">
      <c r="B116" s="76" t="s">
        <v>15</v>
      </c>
      <c r="C116" s="118" t="s">
        <v>127</v>
      </c>
      <c r="D116" s="38"/>
      <c r="E116" s="53" t="s">
        <v>10</v>
      </c>
      <c r="F116" s="20" t="str">
        <f>IF(H117=1,IF(H115=H$2,H115,""),"")</f>
        <v/>
      </c>
      <c r="G116" s="17"/>
      <c r="H116" s="19" t="str">
        <f>IF(E$132="comprobar",COUNTIF(D115:D119,"x"),"")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 x14ac:dyDescent="0.25">
      <c r="B117" s="76" t="s">
        <v>15</v>
      </c>
      <c r="C117" s="119" t="s">
        <v>128</v>
      </c>
      <c r="D117" s="38"/>
      <c r="E117" s="53" t="s">
        <v>11</v>
      </c>
      <c r="F117" s="21" t="str">
        <f>IF(H117=-0.33,IF(H115=H$1,H115,""),"")</f>
        <v/>
      </c>
      <c r="G117" s="17"/>
      <c r="H117" s="22">
        <f t="shared" ref="H117" si="7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 x14ac:dyDescent="0.25">
      <c r="B118" s="76" t="s">
        <v>15</v>
      </c>
      <c r="C118" s="79" t="s">
        <v>129</v>
      </c>
      <c r="D118" s="38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x14ac:dyDescent="0.25">
      <c r="B119" s="63"/>
      <c r="C119" s="64"/>
      <c r="D119" s="38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x14ac:dyDescent="0.25">
      <c r="A120" s="4"/>
      <c r="B120" s="129"/>
      <c r="C120" s="80"/>
      <c r="D120" s="39"/>
      <c r="E120" s="52"/>
      <c r="F120" s="27"/>
      <c r="G120" s="13"/>
      <c r="H120" s="13"/>
    </row>
    <row r="121" spans="1:40" x14ac:dyDescent="0.25">
      <c r="B121" s="76"/>
      <c r="C121" s="62"/>
      <c r="D121" s="38"/>
      <c r="E121" s="53"/>
      <c r="F121" s="25"/>
      <c r="G121" s="17"/>
      <c r="H121" s="19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x14ac:dyDescent="0.25">
      <c r="B122" s="76"/>
      <c r="C122" s="118"/>
      <c r="D122" s="38"/>
      <c r="E122" s="53"/>
      <c r="F122" s="20"/>
      <c r="G122" s="17"/>
      <c r="H122" s="19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x14ac:dyDescent="0.25">
      <c r="B123" s="76"/>
      <c r="C123" s="119"/>
      <c r="D123" s="38"/>
      <c r="E123" s="53"/>
      <c r="F123" s="21"/>
      <c r="G123" s="17"/>
      <c r="H123" s="22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x14ac:dyDescent="0.25">
      <c r="B124" s="76"/>
      <c r="C124" s="79"/>
      <c r="D124" s="38"/>
      <c r="E124" s="53"/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x14ac:dyDescent="0.25">
      <c r="B125" s="63"/>
      <c r="C125" s="64"/>
      <c r="D125" s="38"/>
      <c r="E125" s="53"/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x14ac:dyDescent="0.25">
      <c r="A126" s="4"/>
      <c r="B126" s="129"/>
      <c r="C126" s="80"/>
      <c r="D126" s="39"/>
      <c r="E126" s="52"/>
      <c r="F126" s="27"/>
      <c r="G126" s="26"/>
      <c r="H126" s="13"/>
    </row>
    <row r="127" spans="1:40" x14ac:dyDescent="0.25">
      <c r="B127" s="76"/>
      <c r="C127" s="117"/>
      <c r="D127" s="38"/>
      <c r="E127" s="53"/>
      <c r="F127" s="25"/>
      <c r="G127" s="24"/>
      <c r="H127" s="19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x14ac:dyDescent="0.25">
      <c r="B128" s="76"/>
      <c r="C128" s="79"/>
      <c r="D128" s="38"/>
      <c r="E128" s="53"/>
      <c r="F128" s="20"/>
      <c r="G128" s="24"/>
      <c r="H128" s="19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x14ac:dyDescent="0.25">
      <c r="B129" s="76"/>
      <c r="C129"/>
      <c r="D129" s="38"/>
      <c r="E129" s="53"/>
      <c r="F129" s="21"/>
      <c r="G129" s="24"/>
      <c r="H129" s="22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x14ac:dyDescent="0.25">
      <c r="B130" s="76"/>
      <c r="C130" s="79"/>
      <c r="D130" s="38"/>
      <c r="E130" s="53"/>
      <c r="F130" s="25"/>
      <c r="G130" s="24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x14ac:dyDescent="0.25">
      <c r="B131" s="42"/>
      <c r="C131" s="8"/>
      <c r="D131" s="38"/>
      <c r="E131" s="53"/>
      <c r="F131" s="18"/>
      <c r="G131" s="24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 x14ac:dyDescent="0.25">
      <c r="B132" s="44"/>
      <c r="C132" s="41"/>
      <c r="D132" s="48"/>
      <c r="E132" s="54"/>
      <c r="F132" s="18"/>
      <c r="G132" s="17"/>
      <c r="H132" s="17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</row>
    <row r="133" spans="1:40" x14ac:dyDescent="0.25">
      <c r="B133" s="44"/>
      <c r="C133" s="16"/>
      <c r="D133" s="48"/>
      <c r="E133" s="57"/>
      <c r="F133" s="28" t="s">
        <v>8</v>
      </c>
      <c r="G133" s="17" t="s">
        <v>6</v>
      </c>
      <c r="H133" s="17" t="s">
        <v>7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ht="19.5" x14ac:dyDescent="0.25">
      <c r="B134" s="44"/>
      <c r="C134" s="16"/>
      <c r="D134" s="128"/>
      <c r="E134" s="51"/>
      <c r="F134" s="29" t="str">
        <f>IF(E132="comprobar",H117+H111+H105+H99+H93+H87+H81+H75,"")</f>
        <v/>
      </c>
      <c r="G134" s="17">
        <f>10/2</f>
        <v>5</v>
      </c>
      <c r="H134" s="17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ht="16.5" thickBot="1" x14ac:dyDescent="0.3">
      <c r="B135" s="45"/>
      <c r="C135" s="30"/>
      <c r="D135" s="31"/>
      <c r="E135" s="55"/>
      <c r="F135" s="32" t="str">
        <f>IF(F134&gt;G134,G133,H133)</f>
        <v>APROBADO</v>
      </c>
      <c r="G135" s="17"/>
      <c r="H135" s="17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ht="28.5" x14ac:dyDescent="0.45">
      <c r="B136" s="60" t="s">
        <v>31</v>
      </c>
      <c r="C136" s="149" t="s">
        <v>35</v>
      </c>
      <c r="D136" s="149"/>
      <c r="E136" s="149"/>
      <c r="F136" s="150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s="46" customFormat="1" x14ac:dyDescent="0.25">
      <c r="A137" s="115"/>
      <c r="B137" s="75" t="s">
        <v>17</v>
      </c>
      <c r="C137" s="120" t="s">
        <v>130</v>
      </c>
      <c r="D137" s="132"/>
      <c r="E137" s="47"/>
      <c r="F137" s="68"/>
      <c r="G137" s="47"/>
      <c r="H137" s="47"/>
    </row>
    <row r="138" spans="1:40" x14ac:dyDescent="0.25">
      <c r="B138" s="76" t="s">
        <v>15</v>
      </c>
      <c r="C138" s="117" t="s">
        <v>131</v>
      </c>
      <c r="D138" s="131"/>
      <c r="E138" s="53" t="s">
        <v>9</v>
      </c>
      <c r="F138" s="25"/>
      <c r="G138" s="17"/>
      <c r="H138" s="19" t="b">
        <f>IF(D141="x",H$2,H$1)</f>
        <v>0</v>
      </c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</row>
    <row r="139" spans="1:40" x14ac:dyDescent="0.25">
      <c r="B139" s="76" t="s">
        <v>15</v>
      </c>
      <c r="C139" s="79" t="s">
        <v>132</v>
      </c>
      <c r="D139" s="131"/>
      <c r="E139" s="53" t="s">
        <v>10</v>
      </c>
      <c r="F139" s="20" t="str">
        <f>IF(H140=1,IF(H138=H$2,H138,""),"")</f>
        <v/>
      </c>
      <c r="G139" s="17"/>
      <c r="H139" s="19" t="str">
        <f>IF(E197="comprobar",COUNTIF(D138:D142,"x"),"")</f>
        <v/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 x14ac:dyDescent="0.25">
      <c r="B140" s="76" t="s">
        <v>15</v>
      </c>
      <c r="C140" t="s">
        <v>133</v>
      </c>
      <c r="D140" s="131"/>
      <c r="E140" s="53" t="s">
        <v>11</v>
      </c>
      <c r="F140" s="21" t="str">
        <f>IF(H140=-0.33,IF(H138=H$1,H138,""),"")</f>
        <v/>
      </c>
      <c r="G140" s="17"/>
      <c r="H140" s="22">
        <f t="shared" ref="H140:H194" si="8">IF(H139=1,IF(H138=H$2,1,-0.33),0)</f>
        <v>0</v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 x14ac:dyDescent="0.25">
      <c r="B141" s="76" t="s">
        <v>15</v>
      </c>
      <c r="C141" s="79" t="s">
        <v>134</v>
      </c>
      <c r="D141" s="131"/>
      <c r="E141" s="53" t="s">
        <v>12</v>
      </c>
      <c r="F141" s="25"/>
      <c r="G141" s="17"/>
      <c r="H141" s="22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 x14ac:dyDescent="0.25">
      <c r="B142" s="63"/>
      <c r="C142" s="79"/>
      <c r="D142" s="131"/>
      <c r="E142" s="53" t="s">
        <v>13</v>
      </c>
      <c r="F142" s="18"/>
      <c r="G142" s="17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s="4" customFormat="1" x14ac:dyDescent="0.25">
      <c r="B143" s="74"/>
      <c r="C143" s="79"/>
      <c r="D143" s="132"/>
      <c r="E143" s="53"/>
      <c r="F143" s="25"/>
      <c r="G143" s="17"/>
      <c r="H143" s="17"/>
    </row>
    <row r="144" spans="1:40" x14ac:dyDescent="0.25">
      <c r="B144" s="75" t="s">
        <v>16</v>
      </c>
      <c r="C144" s="120" t="s">
        <v>135</v>
      </c>
      <c r="D144" s="131"/>
      <c r="E144" s="53"/>
      <c r="F144" s="25"/>
      <c r="G144" s="17"/>
      <c r="H144" s="19" t="b">
        <f>IF(D146="x",H$2,H$1)</f>
        <v>0</v>
      </c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1:40" x14ac:dyDescent="0.25">
      <c r="B145" s="76" t="s">
        <v>15</v>
      </c>
      <c r="C145" s="79" t="s">
        <v>136</v>
      </c>
      <c r="D145" s="130"/>
      <c r="E145" s="53" t="s">
        <v>9</v>
      </c>
      <c r="F145" s="20" t="str">
        <f>IF(H146=1,IF(H144=H$2,H144,""),"")</f>
        <v/>
      </c>
      <c r="G145" s="17"/>
      <c r="H145" s="19" t="str">
        <f>IF(E$197="comprobar",COUNTIF(D145:D148,"x"),"")</f>
        <v/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1:40" x14ac:dyDescent="0.25">
      <c r="B146" s="76" t="s">
        <v>15</v>
      </c>
      <c r="C146" t="s">
        <v>137</v>
      </c>
      <c r="D146" s="130"/>
      <c r="E146" s="53" t="s">
        <v>10</v>
      </c>
      <c r="F146" s="21" t="str">
        <f>IF(H146=-0.33,IF(H144=H$1,H144,""),"")</f>
        <v/>
      </c>
      <c r="G146" s="17"/>
      <c r="H146" s="22">
        <f t="shared" si="8"/>
        <v>0</v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1:40" x14ac:dyDescent="0.25">
      <c r="B147" s="76" t="s">
        <v>15</v>
      </c>
      <c r="C147" s="79" t="s">
        <v>138</v>
      </c>
      <c r="D147" s="131"/>
      <c r="E147" s="53" t="s">
        <v>11</v>
      </c>
      <c r="F147" s="25"/>
      <c r="G147" s="17"/>
      <c r="H147" s="22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1:40" x14ac:dyDescent="0.25">
      <c r="B148" s="76" t="s">
        <v>15</v>
      </c>
      <c r="C148" s="64" t="s">
        <v>139</v>
      </c>
      <c r="D148" s="131"/>
      <c r="E148" s="53" t="s">
        <v>12</v>
      </c>
      <c r="F148" s="18"/>
      <c r="G148" s="17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1:40" s="15" customFormat="1" x14ac:dyDescent="0.25">
      <c r="A149" s="115"/>
      <c r="B149" s="75" t="s">
        <v>18</v>
      </c>
      <c r="C149" s="120" t="s">
        <v>140</v>
      </c>
      <c r="D149" s="132"/>
      <c r="E149" s="52"/>
      <c r="F149" s="27"/>
      <c r="G149" s="13"/>
      <c r="H149" s="13"/>
    </row>
    <row r="150" spans="1:40" x14ac:dyDescent="0.25">
      <c r="B150" s="76" t="s">
        <v>15</v>
      </c>
      <c r="C150" s="117" t="s">
        <v>141</v>
      </c>
      <c r="D150" s="131"/>
      <c r="E150" s="53" t="s">
        <v>9</v>
      </c>
      <c r="F150" s="25"/>
      <c r="G150" s="17"/>
      <c r="H150" s="19" t="b">
        <f>IF(D151="x",H$2,H$1)</f>
        <v>0</v>
      </c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1:40" x14ac:dyDescent="0.25">
      <c r="B151" s="76" t="s">
        <v>15</v>
      </c>
      <c r="C151" s="79" t="s">
        <v>142</v>
      </c>
      <c r="D151" s="131"/>
      <c r="E151" s="53" t="s">
        <v>10</v>
      </c>
      <c r="F151" s="20" t="str">
        <f>IF(H152=1,IF(H150=H$2,H150,""),"")</f>
        <v/>
      </c>
      <c r="G151" s="17"/>
      <c r="H151" s="19" t="str">
        <f>IF(E$197="comprobar",COUNTIF(D150:D154,"x"),"")</f>
        <v/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1:40" x14ac:dyDescent="0.25">
      <c r="B152" s="76" t="s">
        <v>15</v>
      </c>
      <c r="C152" t="s">
        <v>143</v>
      </c>
      <c r="D152" s="131"/>
      <c r="E152" s="53" t="s">
        <v>11</v>
      </c>
      <c r="F152" s="21" t="str">
        <f>IF(H152=-0.33,IF(H150=H$1,H150,""),"")</f>
        <v/>
      </c>
      <c r="G152" s="17"/>
      <c r="H152" s="22">
        <f t="shared" si="8"/>
        <v>0</v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1:40" x14ac:dyDescent="0.25">
      <c r="B153" s="76" t="s">
        <v>15</v>
      </c>
      <c r="C153" s="79" t="s">
        <v>144</v>
      </c>
      <c r="D153" s="131"/>
      <c r="E153" s="53" t="s">
        <v>12</v>
      </c>
      <c r="F153" s="25"/>
      <c r="G153" s="17"/>
      <c r="H153" s="22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1:40" x14ac:dyDescent="0.25">
      <c r="B154" s="63"/>
      <c r="C154" s="64"/>
      <c r="D154" s="131"/>
      <c r="E154" s="53" t="s">
        <v>13</v>
      </c>
      <c r="F154" s="18"/>
      <c r="G154" s="17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1:40" s="15" customFormat="1" x14ac:dyDescent="0.25">
      <c r="A155" s="4"/>
      <c r="B155" s="75" t="s">
        <v>19</v>
      </c>
      <c r="C155" s="120" t="s">
        <v>145</v>
      </c>
      <c r="D155" s="132"/>
      <c r="E155" s="52"/>
      <c r="F155" s="27"/>
      <c r="G155" s="13"/>
      <c r="H155" s="13"/>
    </row>
    <row r="156" spans="1:40" x14ac:dyDescent="0.25">
      <c r="B156" s="76" t="s">
        <v>15</v>
      </c>
      <c r="C156" s="117" t="s">
        <v>146</v>
      </c>
      <c r="D156" s="131"/>
      <c r="E156" s="53" t="s">
        <v>9</v>
      </c>
      <c r="F156" s="25"/>
      <c r="G156" s="17"/>
      <c r="H156" s="19" t="b">
        <f>IF(D156="x",H$2,H$1)</f>
        <v>0</v>
      </c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1:40" x14ac:dyDescent="0.25">
      <c r="B157" s="76" t="s">
        <v>15</v>
      </c>
      <c r="C157" s="79" t="s">
        <v>147</v>
      </c>
      <c r="D157" s="131"/>
      <c r="E157" s="53" t="s">
        <v>10</v>
      </c>
      <c r="F157" s="20" t="str">
        <f>IF(H158=1,IF(H156=H$2,H156,""),"")</f>
        <v/>
      </c>
      <c r="G157" s="17"/>
      <c r="H157" s="19" t="str">
        <f>IF(E$197="comprobar",COUNTIF(D156:D160,"x"),"")</f>
        <v/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1:40" x14ac:dyDescent="0.25">
      <c r="B158" s="76" t="s">
        <v>15</v>
      </c>
      <c r="C158" t="s">
        <v>148</v>
      </c>
      <c r="D158" s="131"/>
      <c r="E158" s="53" t="s">
        <v>11</v>
      </c>
      <c r="F158" s="21" t="str">
        <f>IF(H158=-0.33,IF(H156=H$1,H156,""),"")</f>
        <v/>
      </c>
      <c r="G158" s="17"/>
      <c r="H158" s="22">
        <f t="shared" si="8"/>
        <v>0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1:40" x14ac:dyDescent="0.25">
      <c r="B159" s="76" t="s">
        <v>15</v>
      </c>
      <c r="C159" s="79" t="s">
        <v>149</v>
      </c>
      <c r="D159" s="131"/>
      <c r="E159" s="53" t="s">
        <v>12</v>
      </c>
      <c r="F159" s="25"/>
      <c r="G159" s="17"/>
      <c r="H159" s="22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1:40" x14ac:dyDescent="0.25">
      <c r="B160" s="63"/>
      <c r="C160" s="64"/>
      <c r="D160" s="131"/>
      <c r="E160" s="53" t="s">
        <v>13</v>
      </c>
      <c r="F160" s="18"/>
      <c r="G160" s="17"/>
      <c r="H160" s="22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15" customFormat="1" x14ac:dyDescent="0.25">
      <c r="A161" s="4"/>
      <c r="B161" s="129" t="s">
        <v>20</v>
      </c>
      <c r="C161" s="120" t="s">
        <v>150</v>
      </c>
      <c r="D161" s="132"/>
      <c r="E161" s="52"/>
      <c r="F161" s="27"/>
      <c r="G161" s="13"/>
      <c r="H161" s="13"/>
    </row>
    <row r="162" spans="1:40" x14ac:dyDescent="0.25">
      <c r="B162" s="76" t="s">
        <v>15</v>
      </c>
      <c r="C162" s="117" t="s">
        <v>151</v>
      </c>
      <c r="D162" s="131"/>
      <c r="E162" s="53" t="s">
        <v>9</v>
      </c>
      <c r="F162" s="25"/>
      <c r="G162" s="17"/>
      <c r="H162" s="19" t="b">
        <f>IF(D164="x",H$2,H$1)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 x14ac:dyDescent="0.25">
      <c r="B163" s="76" t="s">
        <v>15</v>
      </c>
      <c r="C163" s="79" t="s">
        <v>152</v>
      </c>
      <c r="D163" s="131"/>
      <c r="E163" s="53" t="s">
        <v>10</v>
      </c>
      <c r="F163" s="20" t="str">
        <f>IF(H164=1,IF(H162=H$2,H162,""),"")</f>
        <v/>
      </c>
      <c r="G163" s="17"/>
      <c r="H163" s="19" t="str">
        <f>IF(E$197="comprobar",COUNTIF(D162:D166,"x"),"")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 x14ac:dyDescent="0.25">
      <c r="B164" s="76" t="s">
        <v>15</v>
      </c>
      <c r="C164" t="s">
        <v>153</v>
      </c>
      <c r="D164" s="131"/>
      <c r="E164" s="53" t="s">
        <v>11</v>
      </c>
      <c r="F164" s="21" t="str">
        <f>IF(H164=-0.33,IF(H162=H$1,H162,""),"")</f>
        <v/>
      </c>
      <c r="G164" s="17"/>
      <c r="H164" s="22">
        <f t="shared" si="8"/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 x14ac:dyDescent="0.25">
      <c r="B165" s="76" t="s">
        <v>15</v>
      </c>
      <c r="C165" s="79" t="s">
        <v>154</v>
      </c>
      <c r="D165" s="131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ht="21.75" customHeight="1" x14ac:dyDescent="0.25">
      <c r="B166" s="63"/>
      <c r="C166" s="64"/>
      <c r="D166" s="131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15" customFormat="1" ht="43.5" customHeight="1" x14ac:dyDescent="0.25">
      <c r="A167" s="4"/>
      <c r="B167" s="129" t="s">
        <v>21</v>
      </c>
      <c r="C167" s="120" t="s">
        <v>155</v>
      </c>
      <c r="D167" s="132"/>
      <c r="E167" s="52"/>
      <c r="F167" s="27"/>
      <c r="G167" s="13"/>
      <c r="H167" s="13"/>
    </row>
    <row r="168" spans="1:40" x14ac:dyDescent="0.25">
      <c r="B168" s="76" t="s">
        <v>15</v>
      </c>
      <c r="C168" s="117" t="s">
        <v>156</v>
      </c>
      <c r="D168" s="131"/>
      <c r="E168" s="53" t="s">
        <v>9</v>
      </c>
      <c r="F168" s="25"/>
      <c r="G168" s="17"/>
      <c r="H168" s="19" t="b">
        <f>IF(D168="x",H$2,H$1)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 x14ac:dyDescent="0.25">
      <c r="B169" s="76" t="s">
        <v>15</v>
      </c>
      <c r="C169" s="79" t="s">
        <v>157</v>
      </c>
      <c r="D169" s="131"/>
      <c r="E169" s="53" t="s">
        <v>10</v>
      </c>
      <c r="F169" s="20" t="str">
        <f>IF(H170=1,IF(H168=H$2,H168,""),"")</f>
        <v/>
      </c>
      <c r="G169" s="17"/>
      <c r="H169" s="19" t="str">
        <f>IF(E$197="comprobar",COUNTIF(D168:D172,"x"),"")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 x14ac:dyDescent="0.25">
      <c r="B170" s="76" t="s">
        <v>15</v>
      </c>
      <c r="C170" t="s">
        <v>158</v>
      </c>
      <c r="D170" s="131"/>
      <c r="E170" s="53" t="s">
        <v>11</v>
      </c>
      <c r="F170" s="21" t="str">
        <f>IF(H170=-0.33,IF(H168=H$1,H168,""),"")</f>
        <v/>
      </c>
      <c r="G170" s="17"/>
      <c r="H170" s="22">
        <f t="shared" si="8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 x14ac:dyDescent="0.25">
      <c r="B171" s="76" t="s">
        <v>15</v>
      </c>
      <c r="C171" s="79" t="s">
        <v>159</v>
      </c>
      <c r="D171" s="131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 x14ac:dyDescent="0.25">
      <c r="B172" s="63"/>
      <c r="C172" s="64"/>
      <c r="D172" s="131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 x14ac:dyDescent="0.25">
      <c r="A173" s="4"/>
      <c r="B173" s="129" t="s">
        <v>22</v>
      </c>
      <c r="C173" s="120" t="s">
        <v>160</v>
      </c>
      <c r="D173" s="132"/>
      <c r="E173" s="52"/>
      <c r="F173" s="27"/>
      <c r="G173" s="13"/>
      <c r="H173" s="13"/>
    </row>
    <row r="174" spans="1:40" s="34" customFormat="1" x14ac:dyDescent="0.25">
      <c r="A174" s="4"/>
      <c r="B174" s="76" t="s">
        <v>15</v>
      </c>
      <c r="C174" s="117" t="s">
        <v>161</v>
      </c>
      <c r="D174" s="131"/>
      <c r="E174" s="53" t="s">
        <v>9</v>
      </c>
      <c r="F174" s="25"/>
      <c r="G174" s="17"/>
      <c r="H174" s="19" t="b">
        <f>IF(D174="x",H$2,H$1)</f>
        <v>0</v>
      </c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49"/>
      <c r="AM174" s="49"/>
      <c r="AN174" s="49"/>
    </row>
    <row r="175" spans="1:40" x14ac:dyDescent="0.25">
      <c r="B175" s="76" t="s">
        <v>15</v>
      </c>
      <c r="C175" s="79" t="s">
        <v>162</v>
      </c>
      <c r="D175" s="131"/>
      <c r="E175" s="53" t="s">
        <v>10</v>
      </c>
      <c r="F175" s="20" t="str">
        <f>IF(H176=1,IF(H174=H$2,H174,""),"")</f>
        <v/>
      </c>
      <c r="G175" s="17"/>
      <c r="H175" s="19" t="str">
        <f>IF(E$197="comprobar",COUNTIF(D174:D178,"x"),"")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 x14ac:dyDescent="0.25">
      <c r="B176" s="76" t="s">
        <v>15</v>
      </c>
      <c r="C176" t="s">
        <v>163</v>
      </c>
      <c r="D176" s="131"/>
      <c r="E176" s="53" t="s">
        <v>11</v>
      </c>
      <c r="F176" s="21" t="str">
        <f>IF(H176=-0.33,IF(H174=H$1,H174,""),"")</f>
        <v/>
      </c>
      <c r="G176" s="17"/>
      <c r="H176" s="22">
        <f t="shared" si="8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 x14ac:dyDescent="0.25">
      <c r="B177" s="76" t="s">
        <v>15</v>
      </c>
      <c r="C177" s="79" t="s">
        <v>164</v>
      </c>
      <c r="D177" s="131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 x14ac:dyDescent="0.25">
      <c r="B178" s="63"/>
      <c r="C178" s="64"/>
      <c r="D178" s="131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 x14ac:dyDescent="0.25">
      <c r="A179" s="4"/>
      <c r="B179" s="129" t="s">
        <v>23</v>
      </c>
      <c r="C179" s="120" t="s">
        <v>165</v>
      </c>
      <c r="D179" s="132"/>
      <c r="E179" s="52"/>
      <c r="F179" s="27"/>
      <c r="G179" s="13"/>
      <c r="H179" s="13"/>
    </row>
    <row r="180" spans="1:40" x14ac:dyDescent="0.25">
      <c r="B180" s="76" t="s">
        <v>15</v>
      </c>
      <c r="C180" s="117" t="s">
        <v>166</v>
      </c>
      <c r="D180" s="131"/>
      <c r="E180" s="53" t="s">
        <v>9</v>
      </c>
      <c r="F180" s="25"/>
      <c r="G180" s="17"/>
      <c r="H180" s="19" t="b">
        <f>IF(D180="x",H$2,H$1)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 x14ac:dyDescent="0.25">
      <c r="B181" s="76" t="s">
        <v>15</v>
      </c>
      <c r="C181" s="79" t="s">
        <v>167</v>
      </c>
      <c r="D181" s="131"/>
      <c r="E181" s="53" t="s">
        <v>10</v>
      </c>
      <c r="F181" s="20" t="str">
        <f>IF(H182=1,IF(H180=H$2,H180,""),"")</f>
        <v/>
      </c>
      <c r="G181" s="17"/>
      <c r="H181" s="19" t="str">
        <f>IF(E$197="comprobar",COUNTIF(D180:D184,"x"),"")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 x14ac:dyDescent="0.25">
      <c r="B182" s="76" t="s">
        <v>15</v>
      </c>
      <c r="C182" t="s">
        <v>168</v>
      </c>
      <c r="D182" s="131"/>
      <c r="E182" s="53" t="s">
        <v>11</v>
      </c>
      <c r="F182" s="21" t="str">
        <f>IF(H182=-0.33,IF(H180=H$1,H180,""),"")</f>
        <v/>
      </c>
      <c r="G182" s="17"/>
      <c r="H182" s="22">
        <f t="shared" si="8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 x14ac:dyDescent="0.25">
      <c r="B183" s="76" t="s">
        <v>15</v>
      </c>
      <c r="C183" s="79" t="s">
        <v>169</v>
      </c>
      <c r="D183" s="131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 x14ac:dyDescent="0.25">
      <c r="B184" s="63"/>
      <c r="C184" s="64"/>
      <c r="D184" s="131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 x14ac:dyDescent="0.25">
      <c r="A185" s="4"/>
      <c r="B185" s="129" t="s">
        <v>24</v>
      </c>
      <c r="C185" s="120" t="s">
        <v>170</v>
      </c>
      <c r="D185" s="132"/>
      <c r="E185" s="52"/>
      <c r="F185" s="27"/>
      <c r="G185" s="13"/>
      <c r="H185" s="13"/>
    </row>
    <row r="186" spans="1:40" x14ac:dyDescent="0.25">
      <c r="B186" s="76" t="s">
        <v>15</v>
      </c>
      <c r="C186" s="117" t="s">
        <v>58</v>
      </c>
      <c r="D186" s="131"/>
      <c r="E186" s="53" t="s">
        <v>9</v>
      </c>
      <c r="F186" s="25"/>
      <c r="G186" s="17"/>
      <c r="H186" s="19" t="b">
        <f>IF(D188="x",H$2,H$1)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 x14ac:dyDescent="0.25">
      <c r="B187" s="76" t="s">
        <v>15</v>
      </c>
      <c r="C187" s="79" t="s">
        <v>171</v>
      </c>
      <c r="D187" s="131"/>
      <c r="E187" s="53" t="s">
        <v>10</v>
      </c>
      <c r="F187" s="20" t="str">
        <f>IF(H188=1,IF(H186=H$2,H186,""),"")</f>
        <v/>
      </c>
      <c r="G187" s="17"/>
      <c r="H187" s="19" t="str">
        <f>IF(E$197="comprobar",COUNTIF(D186:D190,"x"),"")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 x14ac:dyDescent="0.25">
      <c r="B188" s="76" t="s">
        <v>15</v>
      </c>
      <c r="C188" t="s">
        <v>172</v>
      </c>
      <c r="D188" s="131"/>
      <c r="E188" s="53" t="s">
        <v>11</v>
      </c>
      <c r="F188" s="21" t="str">
        <f>IF(H188=-0.33,IF(H186=H$1,H186,""),"")</f>
        <v/>
      </c>
      <c r="G188" s="17"/>
      <c r="H188" s="22">
        <f t="shared" si="8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 x14ac:dyDescent="0.25">
      <c r="B189" s="76" t="s">
        <v>15</v>
      </c>
      <c r="C189" s="79" t="s">
        <v>173</v>
      </c>
      <c r="D189" s="131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 x14ac:dyDescent="0.25">
      <c r="B190" s="63"/>
      <c r="C190" s="64"/>
      <c r="D190" s="131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 x14ac:dyDescent="0.25">
      <c r="A191" s="4"/>
      <c r="B191" s="129" t="s">
        <v>25</v>
      </c>
      <c r="C191" s="120" t="s">
        <v>174</v>
      </c>
      <c r="D191" s="132"/>
      <c r="E191" s="52"/>
      <c r="F191" s="27"/>
      <c r="G191" s="26"/>
      <c r="H191" s="13"/>
    </row>
    <row r="192" spans="1:40" x14ac:dyDescent="0.25">
      <c r="B192" s="76" t="s">
        <v>15</v>
      </c>
      <c r="C192" s="117" t="s">
        <v>175</v>
      </c>
      <c r="D192" s="131"/>
      <c r="E192" s="53" t="s">
        <v>9</v>
      </c>
      <c r="F192" s="25"/>
      <c r="G192" s="24"/>
      <c r="H192" s="19" t="b">
        <f>IF(D192="x",H$2,H$1)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 x14ac:dyDescent="0.25">
      <c r="B193" s="76" t="s">
        <v>15</v>
      </c>
      <c r="C193" s="79" t="s">
        <v>176</v>
      </c>
      <c r="D193" s="131"/>
      <c r="E193" s="53" t="s">
        <v>10</v>
      </c>
      <c r="F193" s="20" t="str">
        <f>IF(H194=1,IF(H192=H$2,H192,""),"")</f>
        <v/>
      </c>
      <c r="G193" s="24"/>
      <c r="H193" s="19" t="str">
        <f>IF(E$197="comprobar",COUNTIF(D192:D196,"x"),"")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 x14ac:dyDescent="0.25">
      <c r="B194" s="76" t="s">
        <v>15</v>
      </c>
      <c r="C194" t="s">
        <v>177</v>
      </c>
      <c r="D194" s="131"/>
      <c r="E194" s="53" t="s">
        <v>11</v>
      </c>
      <c r="F194" s="21" t="str">
        <f>IF(H194=-0.33,IF(H192=H$1,H192,""),"")</f>
        <v/>
      </c>
      <c r="G194" s="24"/>
      <c r="H194" s="22">
        <f t="shared" si="8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 x14ac:dyDescent="0.25">
      <c r="B195" s="76" t="s">
        <v>15</v>
      </c>
      <c r="C195" s="79" t="s">
        <v>178</v>
      </c>
      <c r="D195" s="131"/>
      <c r="E195" s="53" t="s">
        <v>12</v>
      </c>
      <c r="F195" s="25"/>
      <c r="G195" s="24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 x14ac:dyDescent="0.25">
      <c r="B196" s="42"/>
      <c r="C196" s="64" t="s">
        <v>36</v>
      </c>
      <c r="D196" s="38"/>
      <c r="E196" s="53" t="s">
        <v>13</v>
      </c>
      <c r="F196" s="18"/>
      <c r="G196" s="24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 x14ac:dyDescent="0.25">
      <c r="B197" s="44"/>
      <c r="C197" s="41"/>
      <c r="D197" s="48"/>
      <c r="E197" s="54"/>
      <c r="F197" s="18"/>
      <c r="G197" s="17"/>
      <c r="H197" s="17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</row>
    <row r="198" spans="1:40" x14ac:dyDescent="0.25">
      <c r="B198" s="44"/>
      <c r="C198" s="16"/>
      <c r="D198" s="48"/>
      <c r="E198" s="57"/>
      <c r="F198" s="28" t="s">
        <v>8</v>
      </c>
      <c r="G198" s="17" t="s">
        <v>6</v>
      </c>
      <c r="H198" s="17" t="s">
        <v>7</v>
      </c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</row>
    <row r="199" spans="1:40" ht="19.5" x14ac:dyDescent="0.25">
      <c r="B199" s="44"/>
      <c r="C199" s="16"/>
      <c r="D199" s="128"/>
      <c r="E199" s="51"/>
      <c r="F199" s="29" t="str">
        <f>IF(E197="comprobar",H194+H188+H182+H176+H170+H164+H158+H152+H146+H140,"")</f>
        <v/>
      </c>
      <c r="G199" s="17">
        <f>10/2</f>
        <v>5</v>
      </c>
      <c r="H199" s="17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ht="16.5" thickBot="1" x14ac:dyDescent="0.3">
      <c r="B200" s="45"/>
      <c r="C200" s="30"/>
      <c r="D200" s="31"/>
      <c r="E200" s="55"/>
      <c r="F200" s="32" t="str">
        <f>IF(F199&gt;G199,G198,H198)</f>
        <v>APROBADO</v>
      </c>
      <c r="G200" s="17"/>
      <c r="H200" s="17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ht="28.5" x14ac:dyDescent="0.45">
      <c r="B201" s="60" t="s">
        <v>31</v>
      </c>
      <c r="C201" s="126" t="s">
        <v>37</v>
      </c>
      <c r="D201" s="126"/>
      <c r="E201" s="126"/>
      <c r="F201" s="127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s="15" customFormat="1" ht="18.95" customHeight="1" x14ac:dyDescent="0.25">
      <c r="A202" s="4"/>
      <c r="B202" s="116" t="s">
        <v>17</v>
      </c>
      <c r="C202" s="120" t="s">
        <v>179</v>
      </c>
      <c r="D202" s="136"/>
      <c r="E202" s="52"/>
      <c r="F202" s="27"/>
      <c r="G202" s="13"/>
      <c r="H202" s="13"/>
    </row>
    <row r="203" spans="1:40" x14ac:dyDescent="0.25">
      <c r="B203" s="76" t="s">
        <v>15</v>
      </c>
      <c r="C203" s="117" t="s">
        <v>180</v>
      </c>
      <c r="D203" s="135"/>
      <c r="E203" s="53" t="s">
        <v>9</v>
      </c>
      <c r="F203" s="25"/>
      <c r="G203" s="17"/>
      <c r="H203" s="19" t="b">
        <f>IF(D203="x",H$2,H$1)</f>
        <v>0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</row>
    <row r="204" spans="1:40" x14ac:dyDescent="0.25">
      <c r="B204" s="76" t="s">
        <v>15</v>
      </c>
      <c r="C204" s="79" t="s">
        <v>181</v>
      </c>
      <c r="D204" s="135"/>
      <c r="E204" s="53" t="s">
        <v>10</v>
      </c>
      <c r="F204" s="20" t="str">
        <f>IF(H205=1,IF(H203=H$2,H203,""),"")</f>
        <v/>
      </c>
      <c r="G204" s="17"/>
      <c r="H204" s="19" t="str">
        <f>IF(E262="comprobar",COUNTIF(D203:D207,"x"),"")</f>
        <v/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 x14ac:dyDescent="0.25">
      <c r="B205" s="76" t="s">
        <v>15</v>
      </c>
      <c r="C205" t="s">
        <v>182</v>
      </c>
      <c r="D205" s="135"/>
      <c r="E205" s="53" t="s">
        <v>11</v>
      </c>
      <c r="F205" s="21" t="str">
        <f>IF(H205=-0.33,IF(H203=H$1,H203,""),"")</f>
        <v/>
      </c>
      <c r="G205" s="17"/>
      <c r="H205" s="22">
        <f>IF(H204=1,IF(H203=H$2,1,-0.33),0)</f>
        <v>0</v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 x14ac:dyDescent="0.25">
      <c r="B206" s="76" t="s">
        <v>15</v>
      </c>
      <c r="C206" s="79" t="s">
        <v>183</v>
      </c>
      <c r="D206" s="135"/>
      <c r="E206" s="53" t="s">
        <v>12</v>
      </c>
      <c r="F206" s="25"/>
      <c r="G206" s="17"/>
      <c r="H206" s="22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 x14ac:dyDescent="0.25">
      <c r="B207" s="63"/>
      <c r="C207" s="64"/>
      <c r="D207" s="135"/>
      <c r="E207" s="53" t="s">
        <v>13</v>
      </c>
      <c r="F207" s="18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s="15" customFormat="1" x14ac:dyDescent="0.25">
      <c r="A208" s="4"/>
      <c r="B208" s="116" t="s">
        <v>26</v>
      </c>
      <c r="C208" s="120" t="s">
        <v>184</v>
      </c>
      <c r="D208" s="136"/>
      <c r="E208" s="52"/>
      <c r="F208" s="27"/>
      <c r="G208" s="13"/>
      <c r="H208" s="13"/>
    </row>
    <row r="209" spans="1:40" x14ac:dyDescent="0.25">
      <c r="B209" s="76" t="s">
        <v>15</v>
      </c>
      <c r="C209" s="117" t="s">
        <v>185</v>
      </c>
      <c r="D209" s="135"/>
      <c r="E209" s="53" t="s">
        <v>9</v>
      </c>
      <c r="F209" s="25"/>
      <c r="G209" s="17"/>
      <c r="H209" s="19" t="b">
        <f>IF(D212="x",H$2,H$1)</f>
        <v>0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</row>
    <row r="210" spans="1:40" x14ac:dyDescent="0.25">
      <c r="B210" s="76" t="s">
        <v>15</v>
      </c>
      <c r="C210" s="79" t="s">
        <v>186</v>
      </c>
      <c r="D210" s="135"/>
      <c r="E210" s="53" t="s">
        <v>10</v>
      </c>
      <c r="F210" s="20" t="str">
        <f>IF(H211=1,IF(H209=H$2,H209,""),"")</f>
        <v/>
      </c>
      <c r="G210" s="17"/>
      <c r="H210" s="19" t="str">
        <f>IF(E$262="comprobar",COUNTIF(D209:D213,"x"),"")</f>
        <v/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 x14ac:dyDescent="0.25">
      <c r="B211" s="76" t="s">
        <v>15</v>
      </c>
      <c r="C211" t="s">
        <v>187</v>
      </c>
      <c r="D211" s="135"/>
      <c r="E211" s="53" t="s">
        <v>11</v>
      </c>
      <c r="F211" s="21" t="str">
        <f>IF(H211=-0.33,IF(H209=H$1,H209,""),"")</f>
        <v/>
      </c>
      <c r="G211" s="17"/>
      <c r="H211" s="22">
        <f t="shared" ref="H211" si="9">IF(H210=1,IF(H209=H$2,1,-0.33),0)</f>
        <v>0</v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 x14ac:dyDescent="0.25">
      <c r="B212" s="76" t="s">
        <v>15</v>
      </c>
      <c r="C212" s="79" t="s">
        <v>188</v>
      </c>
      <c r="D212" s="135"/>
      <c r="E212" s="53" t="s">
        <v>12</v>
      </c>
      <c r="F212" s="25"/>
      <c r="G212" s="17"/>
      <c r="H212" s="22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 x14ac:dyDescent="0.25">
      <c r="B213" s="63"/>
      <c r="C213" s="64"/>
      <c r="D213" s="135"/>
      <c r="E213" s="53" t="s">
        <v>13</v>
      </c>
      <c r="F213" s="18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s="15" customFormat="1" x14ac:dyDescent="0.25">
      <c r="A214" s="4"/>
      <c r="B214" s="116" t="s">
        <v>18</v>
      </c>
      <c r="C214" s="120" t="s">
        <v>189</v>
      </c>
      <c r="D214" s="136"/>
      <c r="E214" s="52"/>
      <c r="F214" s="27"/>
      <c r="G214" s="13"/>
      <c r="H214" s="13"/>
    </row>
    <row r="215" spans="1:40" x14ac:dyDescent="0.25">
      <c r="B215" s="76" t="s">
        <v>15</v>
      </c>
      <c r="C215" s="117" t="s">
        <v>190</v>
      </c>
      <c r="D215" s="135"/>
      <c r="E215" s="53" t="s">
        <v>9</v>
      </c>
      <c r="F215" s="25"/>
      <c r="G215" s="17"/>
      <c r="H215" s="19" t="b">
        <f>IF(D215="x",H$2,H$1)</f>
        <v>0</v>
      </c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</row>
    <row r="216" spans="1:40" x14ac:dyDescent="0.25">
      <c r="B216" s="76" t="s">
        <v>15</v>
      </c>
      <c r="C216" s="79" t="s">
        <v>191</v>
      </c>
      <c r="D216" s="135"/>
      <c r="E216" s="53" t="s">
        <v>10</v>
      </c>
      <c r="F216" s="20" t="str">
        <f>IF(H217=1,IF(H215=H$2,H215,""),"")</f>
        <v/>
      </c>
      <c r="G216" s="17"/>
      <c r="H216" s="19" t="str">
        <f>IF(E$262="comprobar",COUNTIF(D215:D219,"x"),"")</f>
        <v/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 x14ac:dyDescent="0.25">
      <c r="B217" s="76" t="s">
        <v>15</v>
      </c>
      <c r="C217" t="s">
        <v>192</v>
      </c>
      <c r="D217" s="135"/>
      <c r="E217" s="53" t="s">
        <v>11</v>
      </c>
      <c r="F217" s="21" t="str">
        <f>IF(H217=-0.33,IF(H215=H$1,H215,""),"")</f>
        <v/>
      </c>
      <c r="G217" s="17"/>
      <c r="H217" s="22">
        <f t="shared" ref="H217" si="10">IF(H216=1,IF(H215=H$2,1,-0.33),0)</f>
        <v>0</v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 x14ac:dyDescent="0.25">
      <c r="B218" s="76" t="s">
        <v>15</v>
      </c>
      <c r="C218" s="79" t="s">
        <v>193</v>
      </c>
      <c r="D218" s="135"/>
      <c r="E218" s="53" t="s">
        <v>12</v>
      </c>
      <c r="F218" s="25"/>
      <c r="G218" s="17"/>
      <c r="H218" s="22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 x14ac:dyDescent="0.25">
      <c r="B219" s="63"/>
      <c r="C219" s="64"/>
      <c r="D219" s="135"/>
      <c r="E219" s="53" t="s">
        <v>13</v>
      </c>
      <c r="F219" s="18"/>
      <c r="G219" s="17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s="15" customFormat="1" x14ac:dyDescent="0.25">
      <c r="A220" s="4"/>
      <c r="B220" s="116" t="s">
        <v>19</v>
      </c>
      <c r="C220" s="120" t="s">
        <v>194</v>
      </c>
      <c r="D220" s="136"/>
      <c r="E220" s="52"/>
      <c r="F220" s="27"/>
      <c r="G220" s="13"/>
      <c r="H220" s="13"/>
    </row>
    <row r="221" spans="1:40" x14ac:dyDescent="0.25">
      <c r="B221" s="76" t="s">
        <v>15</v>
      </c>
      <c r="C221" s="117" t="s">
        <v>195</v>
      </c>
      <c r="D221" s="135"/>
      <c r="E221" s="53" t="s">
        <v>9</v>
      </c>
      <c r="F221" s="25"/>
      <c r="G221" s="17"/>
      <c r="H221" s="19" t="b">
        <f>IF(D221="x",H$2,H$1)</f>
        <v>0</v>
      </c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 x14ac:dyDescent="0.25">
      <c r="B222" s="76" t="s">
        <v>15</v>
      </c>
      <c r="C222" s="79" t="s">
        <v>196</v>
      </c>
      <c r="D222" s="135"/>
      <c r="E222" s="53" t="s">
        <v>10</v>
      </c>
      <c r="F222" s="20" t="str">
        <f>IF(H223=1,IF(H221=H$2,H221,""),"")</f>
        <v/>
      </c>
      <c r="G222" s="17"/>
      <c r="H222" s="19" t="str">
        <f>IF(E$262="comprobar",COUNTIF(D221:D225,"x"),"")</f>
        <v/>
      </c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 x14ac:dyDescent="0.25">
      <c r="B223" s="76" t="s">
        <v>15</v>
      </c>
      <c r="C223" t="s">
        <v>197</v>
      </c>
      <c r="D223" s="135"/>
      <c r="E223" s="53" t="s">
        <v>11</v>
      </c>
      <c r="F223" s="21" t="str">
        <f>IF(H223=-0.33,IF(H221=H$1,H221,""),"")</f>
        <v/>
      </c>
      <c r="G223" s="17"/>
      <c r="H223" s="22">
        <f t="shared" ref="H223" si="11">IF(H222=1,IF(H221=H$2,1,-0.33),0)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 x14ac:dyDescent="0.25">
      <c r="B224" s="76" t="s">
        <v>15</v>
      </c>
      <c r="C224" s="79" t="s">
        <v>198</v>
      </c>
      <c r="D224" s="135"/>
      <c r="E224" s="53" t="s">
        <v>12</v>
      </c>
      <c r="F224" s="25"/>
      <c r="G224" s="17"/>
      <c r="H224" s="22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 x14ac:dyDescent="0.25">
      <c r="B225" s="63"/>
      <c r="C225" s="64"/>
      <c r="D225" s="135"/>
      <c r="E225" s="53" t="s">
        <v>13</v>
      </c>
      <c r="F225" s="18"/>
      <c r="G225" s="17"/>
      <c r="H225" s="22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s="15" customFormat="1" x14ac:dyDescent="0.25">
      <c r="A226" s="4"/>
      <c r="B226" s="116" t="s">
        <v>20</v>
      </c>
      <c r="C226" s="120" t="s">
        <v>199</v>
      </c>
      <c r="D226" s="136"/>
      <c r="E226" s="52"/>
      <c r="F226" s="27"/>
      <c r="G226" s="13"/>
      <c r="H226" s="13"/>
    </row>
    <row r="227" spans="1:40" x14ac:dyDescent="0.25">
      <c r="B227" s="76" t="s">
        <v>15</v>
      </c>
      <c r="C227" s="117" t="s">
        <v>200</v>
      </c>
      <c r="D227" s="135"/>
      <c r="E227" s="53" t="s">
        <v>9</v>
      </c>
      <c r="F227" s="25"/>
      <c r="G227" s="17"/>
      <c r="H227" s="19" t="b">
        <f>IF(D228="x",H$2,H$1)</f>
        <v>0</v>
      </c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 x14ac:dyDescent="0.25">
      <c r="B228" s="76" t="s">
        <v>15</v>
      </c>
      <c r="C228" s="79" t="s">
        <v>201</v>
      </c>
      <c r="D228" s="135"/>
      <c r="E228" s="53" t="s">
        <v>10</v>
      </c>
      <c r="F228" s="20" t="str">
        <f>IF(H229=1,IF(H227=H$2,H227,""),"")</f>
        <v/>
      </c>
      <c r="G228" s="17"/>
      <c r="H228" s="19" t="str">
        <f>IF(E$262="comprobar",COUNTIF(D227:D231,"x"),"")</f>
        <v/>
      </c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 x14ac:dyDescent="0.25">
      <c r="B229" s="76" t="s">
        <v>15</v>
      </c>
      <c r="C229" t="s">
        <v>202</v>
      </c>
      <c r="D229" s="135"/>
      <c r="E229" s="53" t="s">
        <v>11</v>
      </c>
      <c r="F229" s="21" t="str">
        <f>IF(H229=-0.33,IF(H227=H$1,H227,""),"")</f>
        <v/>
      </c>
      <c r="G229" s="17"/>
      <c r="H229" s="22">
        <f t="shared" ref="H229" si="12">IF(H228=1,IF(H227=H$2,1,-0.33),0)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 x14ac:dyDescent="0.25">
      <c r="B230" s="76" t="s">
        <v>15</v>
      </c>
      <c r="C230" s="79" t="s">
        <v>203</v>
      </c>
      <c r="D230" s="135"/>
      <c r="E230" s="53" t="s">
        <v>12</v>
      </c>
      <c r="F230" s="25"/>
      <c r="G230" s="17"/>
      <c r="H230" s="22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 x14ac:dyDescent="0.25">
      <c r="B231" s="63"/>
      <c r="C231" s="64"/>
      <c r="D231" s="135"/>
      <c r="E231" s="53" t="s">
        <v>13</v>
      </c>
      <c r="F231" s="18"/>
      <c r="G231" s="17"/>
      <c r="H231" s="22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s="15" customFormat="1" x14ac:dyDescent="0.25">
      <c r="A232" s="4"/>
      <c r="B232" s="116" t="s">
        <v>21</v>
      </c>
      <c r="C232" s="120" t="s">
        <v>204</v>
      </c>
      <c r="D232" s="136"/>
      <c r="E232" s="52"/>
      <c r="F232" s="27"/>
      <c r="G232" s="13"/>
      <c r="H232" s="13"/>
    </row>
    <row r="233" spans="1:40" x14ac:dyDescent="0.25">
      <c r="B233" s="76" t="s">
        <v>15</v>
      </c>
      <c r="C233" s="117" t="s">
        <v>205</v>
      </c>
      <c r="D233" s="135"/>
      <c r="E233" s="53" t="s">
        <v>9</v>
      </c>
      <c r="F233" s="25"/>
      <c r="G233" s="17"/>
      <c r="H233" s="19" t="b">
        <f>IF(D234="x",H$2,H$1)</f>
        <v>0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 x14ac:dyDescent="0.25">
      <c r="B234" s="76" t="s">
        <v>15</v>
      </c>
      <c r="C234" s="79" t="s">
        <v>206</v>
      </c>
      <c r="D234" s="135"/>
      <c r="E234" s="53" t="s">
        <v>10</v>
      </c>
      <c r="F234" s="20" t="str">
        <f>IF(H235=1,IF(H233=H$2,H233,""),"")</f>
        <v/>
      </c>
      <c r="G234" s="17"/>
      <c r="H234" s="19" t="str">
        <f>IF(E$262="comprobar",COUNTIF(D233:D237,"x"),"")</f>
        <v/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 x14ac:dyDescent="0.25">
      <c r="B235" s="76" t="s">
        <v>15</v>
      </c>
      <c r="C235" t="s">
        <v>207</v>
      </c>
      <c r="D235" s="135"/>
      <c r="E235" s="53" t="s">
        <v>11</v>
      </c>
      <c r="F235" s="21" t="str">
        <f>IF(H235=-0.33,IF(H233=H$1,H233,""),"")</f>
        <v/>
      </c>
      <c r="G235" s="17"/>
      <c r="H235" s="22">
        <f t="shared" ref="H235" si="13">IF(H234=1,IF(H233=H$2,1,-0.33),0)</f>
        <v>0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 x14ac:dyDescent="0.25">
      <c r="B236" s="76" t="s">
        <v>15</v>
      </c>
      <c r="C236" s="79" t="s">
        <v>208</v>
      </c>
      <c r="D236" s="135"/>
      <c r="E236" s="53" t="s">
        <v>12</v>
      </c>
      <c r="F236" s="25"/>
      <c r="G236" s="17"/>
      <c r="H236" s="22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 x14ac:dyDescent="0.25">
      <c r="B237" s="63"/>
      <c r="C237" s="64"/>
      <c r="D237" s="135"/>
      <c r="E237" s="53" t="s">
        <v>13</v>
      </c>
      <c r="F237" s="18"/>
      <c r="G237" s="17"/>
      <c r="H237" s="22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s="15" customFormat="1" x14ac:dyDescent="0.25">
      <c r="A238" s="4"/>
      <c r="B238" s="116" t="s">
        <v>22</v>
      </c>
      <c r="C238" s="120" t="s">
        <v>209</v>
      </c>
      <c r="D238" s="136"/>
      <c r="E238" s="52"/>
      <c r="F238" s="27"/>
      <c r="G238" s="13"/>
      <c r="H238" s="13"/>
    </row>
    <row r="239" spans="1:40" x14ac:dyDescent="0.25">
      <c r="B239" s="76" t="s">
        <v>15</v>
      </c>
      <c r="C239" s="117" t="s">
        <v>210</v>
      </c>
      <c r="D239" s="135"/>
      <c r="E239" s="53" t="s">
        <v>9</v>
      </c>
      <c r="F239" s="25"/>
      <c r="G239" s="17"/>
      <c r="H239" s="19" t="b">
        <f>IF(D242="x",H$2,H$1)</f>
        <v>0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</row>
    <row r="240" spans="1:40" x14ac:dyDescent="0.25">
      <c r="B240" s="76" t="s">
        <v>15</v>
      </c>
      <c r="C240" s="79" t="s">
        <v>211</v>
      </c>
      <c r="D240" s="135"/>
      <c r="E240" s="53" t="s">
        <v>10</v>
      </c>
      <c r="F240" s="20" t="str">
        <f>IF(H241=1,IF(H239=H$2,H239,""),"")</f>
        <v/>
      </c>
      <c r="G240" s="17"/>
      <c r="H240" s="19" t="str">
        <f>IF(E$262="comprobar",COUNTIF(D239:D243,"x"),"")</f>
        <v/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 x14ac:dyDescent="0.25">
      <c r="B241" s="76" t="s">
        <v>15</v>
      </c>
      <c r="C241" t="s">
        <v>212</v>
      </c>
      <c r="D241" s="135"/>
      <c r="E241" s="53" t="s">
        <v>11</v>
      </c>
      <c r="F241" s="21" t="str">
        <f>IF(H241=-0.33,IF(H239=H$1,H239,""),"")</f>
        <v/>
      </c>
      <c r="G241" s="17"/>
      <c r="H241" s="22">
        <f t="shared" ref="H241" si="14">IF(H240=1,IF(H239=H$2,1,-0.33),0)</f>
        <v>0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 x14ac:dyDescent="0.25">
      <c r="B242" s="76" t="s">
        <v>15</v>
      </c>
      <c r="C242" s="79" t="s">
        <v>213</v>
      </c>
      <c r="D242" s="135"/>
      <c r="E242" s="53" t="s">
        <v>12</v>
      </c>
      <c r="F242" s="25"/>
      <c r="G242" s="17"/>
      <c r="H242" s="22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 x14ac:dyDescent="0.25">
      <c r="B243" s="63"/>
      <c r="C243" s="64"/>
      <c r="D243" s="135"/>
      <c r="E243" s="53" t="s">
        <v>13</v>
      </c>
      <c r="F243" s="18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s="15" customFormat="1" x14ac:dyDescent="0.25">
      <c r="A244" s="4"/>
      <c r="B244" s="116" t="s">
        <v>23</v>
      </c>
      <c r="C244" s="120" t="s">
        <v>214</v>
      </c>
      <c r="D244" s="136"/>
      <c r="E244" s="52"/>
      <c r="F244" s="27"/>
      <c r="G244" s="13"/>
      <c r="H244" s="13"/>
    </row>
    <row r="245" spans="1:40" x14ac:dyDescent="0.25">
      <c r="B245" s="76" t="s">
        <v>15</v>
      </c>
      <c r="C245" s="117" t="s">
        <v>215</v>
      </c>
      <c r="D245" s="135"/>
      <c r="E245" s="53" t="s">
        <v>9</v>
      </c>
      <c r="F245" s="25"/>
      <c r="G245" s="17"/>
      <c r="H245" s="19" t="b">
        <f>IF(D247="x",H$2,H$1)</f>
        <v>0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</row>
    <row r="246" spans="1:40" x14ac:dyDescent="0.25">
      <c r="B246" s="76" t="s">
        <v>15</v>
      </c>
      <c r="C246" s="79" t="s">
        <v>216</v>
      </c>
      <c r="D246" s="135"/>
      <c r="E246" s="53" t="s">
        <v>10</v>
      </c>
      <c r="F246" s="20" t="str">
        <f>IF(H247=1,IF(H245=H$2,H245,""),"")</f>
        <v/>
      </c>
      <c r="G246" s="17"/>
      <c r="H246" s="19" t="str">
        <f>IF(E$262="comprobar",COUNTIF(D245:D249,"x"),"")</f>
        <v/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 x14ac:dyDescent="0.25">
      <c r="B247" s="76" t="s">
        <v>15</v>
      </c>
      <c r="C247" t="s">
        <v>217</v>
      </c>
      <c r="D247" s="135"/>
      <c r="E247" s="53" t="s">
        <v>11</v>
      </c>
      <c r="F247" s="21" t="str">
        <f>IF(H247=-0.33,IF(H245=H$1,H245,""),"")</f>
        <v/>
      </c>
      <c r="G247" s="17"/>
      <c r="H247" s="22">
        <f t="shared" ref="H247" si="15">IF(H246=1,IF(H245=H$2,1,-0.33),0)</f>
        <v>0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 x14ac:dyDescent="0.25">
      <c r="B248" s="76" t="s">
        <v>15</v>
      </c>
      <c r="C248" s="79" t="s">
        <v>218</v>
      </c>
      <c r="D248" s="135"/>
      <c r="E248" s="53" t="s">
        <v>12</v>
      </c>
      <c r="F248" s="25"/>
      <c r="G248" s="17"/>
      <c r="H248" s="22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 x14ac:dyDescent="0.25">
      <c r="B249" s="63"/>
      <c r="C249" s="64"/>
      <c r="D249" s="135"/>
      <c r="E249" s="53" t="s">
        <v>13</v>
      </c>
      <c r="F249" s="18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s="15" customFormat="1" x14ac:dyDescent="0.25">
      <c r="A250" s="4"/>
      <c r="B250" s="116" t="s">
        <v>27</v>
      </c>
      <c r="C250" s="120" t="s">
        <v>219</v>
      </c>
      <c r="D250" s="136"/>
      <c r="E250" s="52"/>
      <c r="F250" s="27"/>
      <c r="G250" s="13"/>
      <c r="H250" s="13"/>
    </row>
    <row r="251" spans="1:40" x14ac:dyDescent="0.25">
      <c r="B251" s="76" t="s">
        <v>15</v>
      </c>
      <c r="C251" s="117" t="s">
        <v>220</v>
      </c>
      <c r="D251" s="135"/>
      <c r="E251" s="53" t="s">
        <v>9</v>
      </c>
      <c r="F251" s="25"/>
      <c r="G251" s="17"/>
      <c r="H251" s="19" t="b">
        <f>IF(D254="x",H$2,H$1)</f>
        <v>0</v>
      </c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</row>
    <row r="252" spans="1:40" x14ac:dyDescent="0.25">
      <c r="B252" s="76" t="s">
        <v>15</v>
      </c>
      <c r="C252" s="79" t="s">
        <v>221</v>
      </c>
      <c r="D252" s="135"/>
      <c r="E252" s="53" t="s">
        <v>10</v>
      </c>
      <c r="F252" s="20" t="str">
        <f>IF(H253=1,IF(H251=H$2,H251,""),"")</f>
        <v/>
      </c>
      <c r="G252" s="17"/>
      <c r="H252" s="19" t="str">
        <f>IF(E$262="comprobar",COUNTIF(D251:D255,"x"),"")</f>
        <v/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 x14ac:dyDescent="0.25">
      <c r="B253" s="76" t="s">
        <v>15</v>
      </c>
      <c r="C253" t="s">
        <v>222</v>
      </c>
      <c r="D253" s="135"/>
      <c r="E253" s="53" t="s">
        <v>11</v>
      </c>
      <c r="F253" s="21" t="str">
        <f>IF(H253=-0.33,IF(H251=H$1,H251,""),"")</f>
        <v/>
      </c>
      <c r="G253" s="17"/>
      <c r="H253" s="22">
        <f t="shared" ref="H253" si="16">IF(H252=1,IF(H251=H$2,1,-0.33),0)</f>
        <v>0</v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 x14ac:dyDescent="0.25">
      <c r="B254" s="76" t="s">
        <v>15</v>
      </c>
      <c r="C254" s="79" t="s">
        <v>223</v>
      </c>
      <c r="D254" s="135"/>
      <c r="E254" s="53" t="s">
        <v>12</v>
      </c>
      <c r="F254" s="25"/>
      <c r="G254" s="17"/>
      <c r="H254" s="22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 x14ac:dyDescent="0.25">
      <c r="B255" s="63"/>
      <c r="C255" s="64"/>
      <c r="D255" s="135"/>
      <c r="E255" s="53" t="s">
        <v>13</v>
      </c>
      <c r="F255" s="18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s="15" customFormat="1" ht="39" customHeight="1" x14ac:dyDescent="0.25">
      <c r="A256" s="4"/>
      <c r="B256" s="116" t="s">
        <v>25</v>
      </c>
      <c r="C256" s="120" t="s">
        <v>224</v>
      </c>
      <c r="D256" s="136"/>
      <c r="E256" s="52"/>
      <c r="F256" s="27"/>
      <c r="G256" s="26"/>
      <c r="H256" s="13"/>
    </row>
    <row r="257" spans="1:40" x14ac:dyDescent="0.25">
      <c r="B257" s="76" t="s">
        <v>15</v>
      </c>
      <c r="C257" s="117" t="s">
        <v>225</v>
      </c>
      <c r="D257" s="135"/>
      <c r="E257" s="53" t="s">
        <v>9</v>
      </c>
      <c r="F257" s="25"/>
      <c r="G257" s="24"/>
      <c r="H257" s="19" t="b">
        <f>IF(D258="x",H$2,H$1)</f>
        <v>0</v>
      </c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</row>
    <row r="258" spans="1:40" x14ac:dyDescent="0.25">
      <c r="B258" s="76" t="s">
        <v>15</v>
      </c>
      <c r="C258" s="79" t="s">
        <v>226</v>
      </c>
      <c r="D258" s="135"/>
      <c r="E258" s="53" t="s">
        <v>10</v>
      </c>
      <c r="F258" s="20" t="str">
        <f>IF(H259=1,IF(H257=H$2,H257,""),"")</f>
        <v/>
      </c>
      <c r="G258" s="24"/>
      <c r="H258" s="19" t="str">
        <f>IF(E$262="comprobar",COUNTIF(D257:D261,"x"),"")</f>
        <v/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 x14ac:dyDescent="0.25">
      <c r="B259" s="76" t="s">
        <v>15</v>
      </c>
      <c r="C259" t="s">
        <v>227</v>
      </c>
      <c r="D259" s="135"/>
      <c r="E259" s="53" t="s">
        <v>11</v>
      </c>
      <c r="F259" s="21" t="str">
        <f>IF(H259=-0.33,IF(H257=H$1,H257,""),"")</f>
        <v/>
      </c>
      <c r="G259" s="24"/>
      <c r="H259" s="22">
        <f t="shared" ref="H259" si="17">IF(H258=1,IF(H257=H$2,1,-0.33),0)</f>
        <v>0</v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 x14ac:dyDescent="0.25">
      <c r="B260" s="76" t="s">
        <v>15</v>
      </c>
      <c r="C260" s="79" t="s">
        <v>228</v>
      </c>
      <c r="D260" s="135"/>
      <c r="E260" s="53" t="s">
        <v>12</v>
      </c>
      <c r="F260" s="25"/>
      <c r="G260" s="24"/>
      <c r="H260" s="22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 x14ac:dyDescent="0.25">
      <c r="B261" s="63"/>
      <c r="C261" s="64"/>
      <c r="D261" s="38"/>
      <c r="E261" s="53" t="s">
        <v>13</v>
      </c>
      <c r="F261" s="18"/>
      <c r="G261" s="24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 x14ac:dyDescent="0.25">
      <c r="B262" s="44"/>
      <c r="C262" s="41"/>
      <c r="D262" s="48"/>
      <c r="E262" s="54"/>
      <c r="F262" s="18"/>
      <c r="G262" s="17"/>
      <c r="H262" s="17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 x14ac:dyDescent="0.25">
      <c r="B263" s="44"/>
      <c r="C263" s="16"/>
      <c r="D263" s="48"/>
      <c r="E263" s="57"/>
      <c r="F263" s="28" t="s">
        <v>8</v>
      </c>
      <c r="G263" s="17" t="s">
        <v>6</v>
      </c>
      <c r="H263" s="17" t="s">
        <v>7</v>
      </c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</row>
    <row r="264" spans="1:40" ht="19.5" x14ac:dyDescent="0.25">
      <c r="B264" s="44"/>
      <c r="C264" s="16"/>
      <c r="D264" s="125"/>
      <c r="E264" s="51"/>
      <c r="F264" s="29" t="str">
        <f>IF(E262="comprobar",H259+H253+H247+H241+H235+H229+H223+H217+H211+H205,"")</f>
        <v/>
      </c>
      <c r="G264" s="17">
        <f>10/2</f>
        <v>5</v>
      </c>
      <c r="H264" s="17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ht="16.5" thickBot="1" x14ac:dyDescent="0.3">
      <c r="B265" s="45"/>
      <c r="C265" s="30"/>
      <c r="D265" s="31"/>
      <c r="E265" s="55"/>
      <c r="F265" s="32" t="str">
        <f>IF(F264&gt;G264,G263,H263)</f>
        <v>APROBADO</v>
      </c>
      <c r="G265" s="17"/>
      <c r="H265" s="17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s="4" customFormat="1" ht="29.25" hidden="1" thickBot="1" x14ac:dyDescent="0.5">
      <c r="B266" s="85"/>
      <c r="C266" s="82"/>
      <c r="D266" s="83"/>
      <c r="E266" s="83"/>
      <c r="F266" s="83"/>
    </row>
    <row r="267" spans="1:40" s="4" customFormat="1" ht="16.5" hidden="1" thickBot="1" x14ac:dyDescent="0.3">
      <c r="B267" s="17"/>
      <c r="C267" s="17"/>
      <c r="D267" s="48"/>
      <c r="E267" s="53"/>
      <c r="F267" s="86"/>
      <c r="G267" s="17"/>
      <c r="H267" s="17"/>
    </row>
    <row r="268" spans="1:40" s="4" customFormat="1" ht="16.5" hidden="1" thickBot="1" x14ac:dyDescent="0.3">
      <c r="B268" s="87"/>
      <c r="C268" s="16"/>
      <c r="D268" s="48"/>
      <c r="E268" s="53"/>
      <c r="F268" s="86"/>
      <c r="G268" s="17"/>
      <c r="H268" s="84"/>
    </row>
    <row r="269" spans="1:40" s="70" customFormat="1" ht="14.1" hidden="1" customHeight="1" thickBot="1" x14ac:dyDescent="0.3">
      <c r="B269" s="88"/>
      <c r="C269" s="88"/>
      <c r="D269" s="89"/>
      <c r="E269" s="90"/>
      <c r="F269" s="91"/>
      <c r="G269" s="69"/>
      <c r="H269" s="84"/>
    </row>
    <row r="270" spans="1:40" s="15" customFormat="1" ht="29.1" customHeight="1" x14ac:dyDescent="0.45">
      <c r="A270" s="4"/>
      <c r="B270" s="60" t="s">
        <v>31</v>
      </c>
      <c r="C270" s="126" t="s">
        <v>38</v>
      </c>
      <c r="D270" s="61"/>
      <c r="E270" s="61"/>
      <c r="F270" s="81"/>
      <c r="G270" s="17"/>
      <c r="H270" s="93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</row>
    <row r="271" spans="1:40" s="15" customFormat="1" x14ac:dyDescent="0.25">
      <c r="A271" s="4"/>
      <c r="B271" s="116" t="s">
        <v>17</v>
      </c>
      <c r="C271" s="120" t="s">
        <v>229</v>
      </c>
      <c r="D271" s="138"/>
      <c r="E271" s="52"/>
      <c r="F271" s="27"/>
      <c r="G271" s="17"/>
      <c r="H271" s="84" t="b">
        <f>IF(D274="x",H$2,H$1)</f>
        <v>0</v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</row>
    <row r="272" spans="1:40" s="15" customFormat="1" x14ac:dyDescent="0.25">
      <c r="A272" s="4"/>
      <c r="B272" s="76" t="s">
        <v>15</v>
      </c>
      <c r="C272" s="117" t="s">
        <v>230</v>
      </c>
      <c r="D272" s="137"/>
      <c r="E272" s="98" t="s">
        <v>9</v>
      </c>
      <c r="F272" s="97" t="str">
        <f>IF(H273=1,IF(H271=H$2,H271,""),"")</f>
        <v/>
      </c>
      <c r="G272" s="17"/>
      <c r="H272" s="84" t="str">
        <f>IF(E$331="comprobar",COUNTIF(D272:D276,"x"),"")</f>
        <v/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</row>
    <row r="273" spans="1:40" x14ac:dyDescent="0.25">
      <c r="B273" s="76" t="s">
        <v>15</v>
      </c>
      <c r="C273" s="79" t="s">
        <v>231</v>
      </c>
      <c r="D273" s="137"/>
      <c r="E273" s="98" t="s">
        <v>10</v>
      </c>
      <c r="F273" s="99" t="str">
        <f>IF(H273=-0.33,IF(H271=H$1,H271,""),"")</f>
        <v/>
      </c>
      <c r="G273" s="17"/>
      <c r="H273" s="22">
        <f>IF(H272=1,IF(H271=H$2,1,-0.33),0)</f>
        <v>0</v>
      </c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 x14ac:dyDescent="0.25">
      <c r="B274" s="76" t="s">
        <v>15</v>
      </c>
      <c r="C274" t="s">
        <v>232</v>
      </c>
      <c r="D274" s="137"/>
      <c r="E274" s="98" t="s">
        <v>11</v>
      </c>
      <c r="F274" s="25"/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 x14ac:dyDescent="0.25">
      <c r="B275" s="76" t="s">
        <v>15</v>
      </c>
      <c r="C275" s="79" t="s">
        <v>233</v>
      </c>
      <c r="D275" s="137"/>
      <c r="E275" s="98" t="s">
        <v>12</v>
      </c>
      <c r="F275" s="100"/>
      <c r="G275" s="17"/>
      <c r="H275" s="22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</row>
    <row r="276" spans="1:40" x14ac:dyDescent="0.25">
      <c r="B276" s="76"/>
      <c r="C276" s="64"/>
      <c r="D276" s="137"/>
      <c r="E276" s="98" t="s">
        <v>13</v>
      </c>
      <c r="F276" s="100"/>
      <c r="G276" s="17"/>
      <c r="H276" s="22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s="15" customFormat="1" x14ac:dyDescent="0.25">
      <c r="A277" s="4"/>
      <c r="B277" s="116" t="s">
        <v>16</v>
      </c>
      <c r="C277" s="120" t="s">
        <v>234</v>
      </c>
      <c r="D277" s="138"/>
      <c r="E277" s="52"/>
      <c r="F277" s="27"/>
      <c r="G277" s="13"/>
      <c r="H277" s="13"/>
    </row>
    <row r="278" spans="1:40" x14ac:dyDescent="0.25">
      <c r="B278" s="76" t="s">
        <v>15</v>
      </c>
      <c r="C278" s="117" t="s">
        <v>235</v>
      </c>
      <c r="D278" s="137"/>
      <c r="E278" s="98" t="s">
        <v>9</v>
      </c>
      <c r="F278" s="25"/>
      <c r="G278" s="17"/>
      <c r="H278" s="84" t="b">
        <f>IF(D278="x",H$2,H$1)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s="15" customFormat="1" x14ac:dyDescent="0.25">
      <c r="A279" s="4"/>
      <c r="B279" s="76" t="s">
        <v>15</v>
      </c>
      <c r="C279" s="79" t="s">
        <v>236</v>
      </c>
      <c r="D279" s="137"/>
      <c r="E279" s="98" t="s">
        <v>10</v>
      </c>
      <c r="F279" s="97" t="str">
        <f>IF(H280=1,IF(H278=H$2,H278,""),"")</f>
        <v/>
      </c>
      <c r="G279" s="17"/>
      <c r="H279" s="19" t="str">
        <f>IF(E$331="comprobar",COUNTIF(D278:D282,"x"),"")</f>
        <v/>
      </c>
      <c r="I279" s="4"/>
      <c r="J279" s="4"/>
      <c r="K279" s="4"/>
      <c r="L279" s="4"/>
      <c r="M279" s="4"/>
      <c r="N279" s="4"/>
      <c r="O279" s="4"/>
    </row>
    <row r="280" spans="1:40" x14ac:dyDescent="0.25">
      <c r="B280" s="76" t="s">
        <v>15</v>
      </c>
      <c r="C280" t="s">
        <v>237</v>
      </c>
      <c r="D280" s="137"/>
      <c r="E280" s="98" t="s">
        <v>11</v>
      </c>
      <c r="F280" s="99" t="str">
        <f>IF(H280=-0.33,IF(H278=H$1,H278,""),"")</f>
        <v/>
      </c>
      <c r="G280" s="17"/>
      <c r="H280" s="22">
        <f t="shared" ref="H280" si="18">IF(H279=1,IF(H278=H$2,1,-0.33),0)</f>
        <v>0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4" customFormat="1" x14ac:dyDescent="0.25">
      <c r="B281" s="76" t="s">
        <v>15</v>
      </c>
      <c r="C281" s="79" t="s">
        <v>238</v>
      </c>
      <c r="D281" s="137"/>
      <c r="E281" s="98" t="s">
        <v>12</v>
      </c>
      <c r="F281" s="25"/>
      <c r="G281" s="17"/>
      <c r="H281" s="93"/>
    </row>
    <row r="282" spans="1:40" s="4" customFormat="1" x14ac:dyDescent="0.25">
      <c r="B282" s="76"/>
      <c r="C282" s="64"/>
      <c r="D282" s="137"/>
      <c r="E282" s="98" t="s">
        <v>13</v>
      </c>
      <c r="F282" s="25"/>
      <c r="G282" s="17"/>
      <c r="H282" s="93"/>
    </row>
    <row r="283" spans="1:40" s="15" customFormat="1" x14ac:dyDescent="0.25">
      <c r="A283" s="4"/>
      <c r="B283" s="116" t="s">
        <v>18</v>
      </c>
      <c r="C283" s="120" t="s">
        <v>239</v>
      </c>
      <c r="D283" s="138"/>
      <c r="E283" s="52"/>
      <c r="F283" s="27"/>
      <c r="G283" s="13"/>
      <c r="H283" s="13"/>
    </row>
    <row r="284" spans="1:40" x14ac:dyDescent="0.25">
      <c r="B284" s="76" t="s">
        <v>15</v>
      </c>
      <c r="C284" s="117" t="s">
        <v>240</v>
      </c>
      <c r="D284" s="137"/>
      <c r="E284" s="98" t="s">
        <v>9</v>
      </c>
      <c r="F284" s="25"/>
      <c r="G284" s="17"/>
      <c r="H284" s="84" t="b">
        <f>IF(D286="x",H$2,H$1)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s="15" customFormat="1" x14ac:dyDescent="0.25">
      <c r="A285" s="4"/>
      <c r="B285" s="76" t="s">
        <v>15</v>
      </c>
      <c r="C285" s="79" t="s">
        <v>241</v>
      </c>
      <c r="D285" s="137"/>
      <c r="E285" s="98" t="s">
        <v>10</v>
      </c>
      <c r="F285" s="97" t="str">
        <f>IF(H286=1,IF(H284=H$2,H284,""),"")</f>
        <v/>
      </c>
      <c r="G285" s="17"/>
      <c r="H285" s="19" t="str">
        <f>IF(E$331="comprobar",COUNTIF(D284:D288,"x"),"")</f>
        <v/>
      </c>
    </row>
    <row r="286" spans="1:40" x14ac:dyDescent="0.25">
      <c r="B286" s="76" t="s">
        <v>15</v>
      </c>
      <c r="C286" t="s">
        <v>242</v>
      </c>
      <c r="D286" s="137"/>
      <c r="E286" s="98" t="s">
        <v>11</v>
      </c>
      <c r="F286" s="99" t="str">
        <f>IF(H286=-0.33,IF(H284=H$1,H284,""),"")</f>
        <v/>
      </c>
      <c r="G286" s="17"/>
      <c r="H286" s="22">
        <f t="shared" ref="H286" si="19">IF(H285=1,IF(H284=H$2,1,-0.33),0)</f>
        <v>0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4" customFormat="1" x14ac:dyDescent="0.25">
      <c r="B287" s="76" t="s">
        <v>15</v>
      </c>
      <c r="C287" s="79" t="s">
        <v>243</v>
      </c>
      <c r="D287" s="137"/>
      <c r="E287" s="98" t="s">
        <v>12</v>
      </c>
      <c r="F287" s="25"/>
      <c r="G287" s="17"/>
      <c r="H287" s="93"/>
    </row>
    <row r="288" spans="1:40" s="4" customFormat="1" x14ac:dyDescent="0.25">
      <c r="B288" s="76"/>
      <c r="C288" s="64"/>
      <c r="D288" s="137"/>
      <c r="E288" s="98" t="s">
        <v>13</v>
      </c>
      <c r="F288" s="25"/>
      <c r="G288" s="17"/>
      <c r="H288" s="93"/>
    </row>
    <row r="289" spans="1:40" s="15" customFormat="1" x14ac:dyDescent="0.25">
      <c r="A289" s="4"/>
      <c r="B289" s="116" t="s">
        <v>19</v>
      </c>
      <c r="C289" s="120" t="s">
        <v>244</v>
      </c>
      <c r="D289" s="138"/>
      <c r="E289" s="52"/>
      <c r="F289" s="27"/>
      <c r="G289" s="13"/>
      <c r="H289" s="13"/>
    </row>
    <row r="290" spans="1:40" x14ac:dyDescent="0.25">
      <c r="B290" s="76" t="s">
        <v>15</v>
      </c>
      <c r="C290" s="117" t="s">
        <v>245</v>
      </c>
      <c r="D290" s="137"/>
      <c r="E290" s="98" t="s">
        <v>9</v>
      </c>
      <c r="F290" s="25"/>
      <c r="G290" s="17"/>
      <c r="H290" s="19" t="b">
        <f>IF(D290="x",H$2,H$1)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s="15" customFormat="1" x14ac:dyDescent="0.25">
      <c r="A291" s="4"/>
      <c r="B291" s="76" t="s">
        <v>15</v>
      </c>
      <c r="C291" s="79" t="s">
        <v>246</v>
      </c>
      <c r="D291" s="137"/>
      <c r="E291" s="98" t="s">
        <v>10</v>
      </c>
      <c r="F291" s="97" t="str">
        <f>IF(H292=1,IF(H290=H$2,H290,""),"")</f>
        <v/>
      </c>
      <c r="G291" s="17"/>
      <c r="H291" s="19" t="str">
        <f>IF(E$331="comprobar",COUNTIF(D290:D294,"x"),"")</f>
        <v/>
      </c>
    </row>
    <row r="292" spans="1:40" x14ac:dyDescent="0.25">
      <c r="B292" s="76" t="s">
        <v>15</v>
      </c>
      <c r="C292" t="s">
        <v>247</v>
      </c>
      <c r="D292" s="137"/>
      <c r="E292" s="98" t="s">
        <v>11</v>
      </c>
      <c r="F292" s="99" t="str">
        <f>IF(H292=-0.33,IF(H290=H$1,H290,""),"")</f>
        <v/>
      </c>
      <c r="G292" s="17"/>
      <c r="H292" s="22">
        <f t="shared" ref="H292" si="20">IF(H291=1,IF(H290=H$2,1,-0.33),0)</f>
        <v>0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 x14ac:dyDescent="0.25">
      <c r="B293" s="76" t="s">
        <v>15</v>
      </c>
      <c r="C293" s="79" t="s">
        <v>248</v>
      </c>
      <c r="D293" s="137"/>
      <c r="E293" s="98" t="s">
        <v>12</v>
      </c>
      <c r="F293" s="25"/>
      <c r="G293" s="17"/>
      <c r="H293" s="22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</row>
    <row r="294" spans="1:40" x14ac:dyDescent="0.25">
      <c r="B294" s="76"/>
      <c r="C294" s="64"/>
      <c r="D294" s="137"/>
      <c r="E294" s="98" t="s">
        <v>13</v>
      </c>
      <c r="F294" s="25"/>
      <c r="G294" s="17"/>
      <c r="H294" s="22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s="15" customFormat="1" x14ac:dyDescent="0.25">
      <c r="A295" s="4"/>
      <c r="B295" s="116" t="s">
        <v>20</v>
      </c>
      <c r="C295" s="120" t="s">
        <v>249</v>
      </c>
      <c r="D295" s="138"/>
      <c r="E295" s="96"/>
      <c r="F295" s="27"/>
      <c r="G295" s="13"/>
      <c r="H295" s="13"/>
    </row>
    <row r="296" spans="1:40" x14ac:dyDescent="0.25">
      <c r="B296" s="76" t="s">
        <v>15</v>
      </c>
      <c r="C296" s="117" t="s">
        <v>58</v>
      </c>
      <c r="D296" s="137"/>
      <c r="E296" s="98" t="s">
        <v>9</v>
      </c>
      <c r="F296" s="25"/>
      <c r="G296" s="17"/>
      <c r="H296" s="19" t="b">
        <f>IF(D296="x",H$2,H$1)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s="15" customFormat="1" x14ac:dyDescent="0.25">
      <c r="A297" s="4"/>
      <c r="B297" s="76" t="s">
        <v>15</v>
      </c>
      <c r="C297" s="79" t="s">
        <v>250</v>
      </c>
      <c r="D297" s="137"/>
      <c r="E297" s="98" t="s">
        <v>10</v>
      </c>
      <c r="F297" s="97" t="str">
        <f>IF(H298=1,IF(H296=H$2,H296,""),"")</f>
        <v/>
      </c>
      <c r="G297" s="17"/>
      <c r="H297" s="19" t="str">
        <f>IF(E$331="comprobar",COUNTIF(D296:D300,"x"),"")</f>
        <v/>
      </c>
    </row>
    <row r="298" spans="1:40" x14ac:dyDescent="0.25">
      <c r="B298" s="76" t="s">
        <v>15</v>
      </c>
      <c r="C298" t="s">
        <v>251</v>
      </c>
      <c r="D298" s="137"/>
      <c r="E298" s="98" t="s">
        <v>11</v>
      </c>
      <c r="F298" s="99" t="str">
        <f>IF(H298=-0.33,IF(H296=H$1,H296,""),"")</f>
        <v/>
      </c>
      <c r="G298" s="17"/>
      <c r="H298" s="22">
        <f t="shared" ref="H298" si="21">IF(H297=1,IF(H296=H$2,1,-0.33),0)</f>
        <v>0</v>
      </c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 x14ac:dyDescent="0.25">
      <c r="B299" s="76" t="s">
        <v>15</v>
      </c>
      <c r="C299" s="79" t="s">
        <v>252</v>
      </c>
      <c r="D299" s="137"/>
      <c r="E299" s="98" t="s">
        <v>12</v>
      </c>
      <c r="F299" s="25"/>
      <c r="G299" s="17"/>
      <c r="H299" s="22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 x14ac:dyDescent="0.25">
      <c r="B300" s="94"/>
      <c r="C300" s="64"/>
      <c r="D300" s="137"/>
      <c r="E300" s="98" t="s">
        <v>13</v>
      </c>
      <c r="F300" s="100"/>
      <c r="G300" s="17"/>
      <c r="H300" s="22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s="15" customFormat="1" x14ac:dyDescent="0.25">
      <c r="A301" s="4"/>
      <c r="B301" s="116" t="s">
        <v>21</v>
      </c>
      <c r="C301" s="120" t="s">
        <v>253</v>
      </c>
      <c r="D301" s="138"/>
      <c r="E301" s="96"/>
      <c r="F301" s="27"/>
      <c r="G301" s="13"/>
      <c r="H301" s="13"/>
    </row>
    <row r="302" spans="1:40" x14ac:dyDescent="0.25">
      <c r="B302" s="76" t="s">
        <v>15</v>
      </c>
      <c r="C302" s="117" t="s">
        <v>254</v>
      </c>
      <c r="D302" s="137"/>
      <c r="E302" s="98" t="s">
        <v>9</v>
      </c>
      <c r="F302" s="25"/>
      <c r="G302" s="17"/>
      <c r="H302" s="19" t="b">
        <f>IF(D305="x",H$2,H$1)</f>
        <v>0</v>
      </c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15" customFormat="1" x14ac:dyDescent="0.25">
      <c r="A303" s="4"/>
      <c r="B303" s="76" t="s">
        <v>15</v>
      </c>
      <c r="C303" s="79" t="s">
        <v>255</v>
      </c>
      <c r="D303" s="137"/>
      <c r="E303" s="98" t="s">
        <v>10</v>
      </c>
      <c r="F303" s="97" t="str">
        <f>IF(H304=1,IF(H302=H$2,H302,""),"")</f>
        <v/>
      </c>
      <c r="G303" s="17"/>
      <c r="H303" s="19" t="str">
        <f>IF(E$331="comprobar",COUNTIF(D302:D306,"x"),"")</f>
        <v/>
      </c>
    </row>
    <row r="304" spans="1:40" x14ac:dyDescent="0.25">
      <c r="B304" s="76" t="s">
        <v>15</v>
      </c>
      <c r="C304" t="s">
        <v>256</v>
      </c>
      <c r="D304" s="137"/>
      <c r="E304" s="98" t="s">
        <v>11</v>
      </c>
      <c r="F304" s="99" t="str">
        <f>IF(H304=-0.33,IF(H302=H$1,H302,""),"")</f>
        <v/>
      </c>
      <c r="G304" s="17"/>
      <c r="H304" s="22">
        <f t="shared" ref="H304" si="22">IF(H303=1,IF(H302=H$2,1,-0.33),0)</f>
        <v>0</v>
      </c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</row>
    <row r="305" spans="1:40" x14ac:dyDescent="0.25">
      <c r="B305" s="76" t="s">
        <v>15</v>
      </c>
      <c r="C305" s="79" t="s">
        <v>257</v>
      </c>
      <c r="D305" s="137"/>
      <c r="E305" s="98" t="s">
        <v>12</v>
      </c>
      <c r="F305" s="25"/>
      <c r="G305" s="17"/>
      <c r="H305" s="22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</row>
    <row r="306" spans="1:40" x14ac:dyDescent="0.25">
      <c r="B306" s="63"/>
      <c r="C306" s="64"/>
      <c r="D306" s="137"/>
      <c r="E306" s="98" t="s">
        <v>13</v>
      </c>
      <c r="F306" s="100"/>
      <c r="G306" s="17"/>
      <c r="H306" s="22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</row>
    <row r="307" spans="1:40" s="15" customFormat="1" x14ac:dyDescent="0.25">
      <c r="A307" s="4"/>
      <c r="B307" s="116" t="s">
        <v>22</v>
      </c>
      <c r="C307" s="120" t="s">
        <v>258</v>
      </c>
      <c r="D307" s="138"/>
      <c r="E307" s="96"/>
      <c r="F307" s="27"/>
      <c r="G307" s="13"/>
      <c r="H307" s="13"/>
    </row>
    <row r="308" spans="1:40" x14ac:dyDescent="0.25">
      <c r="B308" s="76" t="s">
        <v>15</v>
      </c>
      <c r="C308" s="117" t="s">
        <v>259</v>
      </c>
      <c r="D308" s="137"/>
      <c r="E308" s="98" t="s">
        <v>9</v>
      </c>
      <c r="F308" s="25"/>
      <c r="G308" s="17"/>
      <c r="H308" s="19" t="b">
        <f>IF(D311="x",H$2,H$1)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</row>
    <row r="309" spans="1:40" s="15" customFormat="1" x14ac:dyDescent="0.25">
      <c r="A309" s="4"/>
      <c r="B309" s="76" t="s">
        <v>15</v>
      </c>
      <c r="C309" s="79" t="s">
        <v>260</v>
      </c>
      <c r="D309" s="137"/>
      <c r="E309" s="98" t="s">
        <v>10</v>
      </c>
      <c r="F309" s="97" t="str">
        <f>IF(H310=1,IF(H308=H$2,H308,""),"")</f>
        <v/>
      </c>
      <c r="G309" s="17"/>
      <c r="H309" s="19" t="str">
        <f>IF(E$331="comprobar",COUNTIF(D308:D312,"x"),"")</f>
        <v/>
      </c>
    </row>
    <row r="310" spans="1:40" x14ac:dyDescent="0.25">
      <c r="B310" s="76" t="s">
        <v>15</v>
      </c>
      <c r="C310" t="s">
        <v>261</v>
      </c>
      <c r="D310" s="137"/>
      <c r="E310" s="98" t="s">
        <v>11</v>
      </c>
      <c r="F310" s="99" t="str">
        <f>IF(H310=-0.33,IF(H308=H$1,H308,""),"")</f>
        <v/>
      </c>
      <c r="G310" s="17"/>
      <c r="H310" s="22">
        <f t="shared" ref="H310" si="23"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 x14ac:dyDescent="0.25">
      <c r="B311" s="76" t="s">
        <v>15</v>
      </c>
      <c r="C311" s="79" t="s">
        <v>262</v>
      </c>
      <c r="D311" s="137"/>
      <c r="E311" s="98" t="s">
        <v>12</v>
      </c>
      <c r="F311" s="25"/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 x14ac:dyDescent="0.25">
      <c r="B312" s="63"/>
      <c r="C312" s="64"/>
      <c r="D312" s="137"/>
      <c r="E312" s="98" t="s">
        <v>13</v>
      </c>
      <c r="F312" s="100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s="15" customFormat="1" x14ac:dyDescent="0.25">
      <c r="A313" s="4"/>
      <c r="B313" s="116" t="s">
        <v>23</v>
      </c>
      <c r="C313" s="120" t="s">
        <v>263</v>
      </c>
      <c r="D313" s="138"/>
      <c r="E313" s="96"/>
      <c r="F313" s="27"/>
      <c r="G313" s="13"/>
      <c r="H313" s="13"/>
    </row>
    <row r="314" spans="1:40" x14ac:dyDescent="0.25">
      <c r="B314" s="76" t="s">
        <v>15</v>
      </c>
      <c r="C314" s="117" t="s">
        <v>264</v>
      </c>
      <c r="D314" s="137"/>
      <c r="E314" s="98" t="s">
        <v>9</v>
      </c>
      <c r="F314" s="25"/>
      <c r="G314" s="17"/>
      <c r="H314" s="19" t="b">
        <f>IF(D317="x",H$2,H$1)</f>
        <v>0</v>
      </c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</row>
    <row r="315" spans="1:40" s="15" customFormat="1" x14ac:dyDescent="0.25">
      <c r="A315" s="4"/>
      <c r="B315" s="76" t="s">
        <v>15</v>
      </c>
      <c r="C315" s="79" t="s">
        <v>265</v>
      </c>
      <c r="D315" s="137"/>
      <c r="E315" s="98" t="s">
        <v>10</v>
      </c>
      <c r="F315" s="97" t="str">
        <f>IF(H316=1,IF(H314=H$2,H314,""),"")</f>
        <v/>
      </c>
      <c r="G315" s="17"/>
      <c r="H315" s="19" t="str">
        <f>IF(E$331="comprobar",COUNTIF(D314:D318,"x"),"")</f>
        <v/>
      </c>
    </row>
    <row r="316" spans="1:40" x14ac:dyDescent="0.25">
      <c r="B316" s="76" t="s">
        <v>15</v>
      </c>
      <c r="C316" t="s">
        <v>266</v>
      </c>
      <c r="D316" s="137"/>
      <c r="E316" s="98" t="s">
        <v>11</v>
      </c>
      <c r="F316" s="99" t="str">
        <f>IF(H316=-0.33,IF(H314=H$1,H314,""),"")</f>
        <v/>
      </c>
      <c r="G316" s="17"/>
      <c r="H316" s="22">
        <f t="shared" ref="H316" si="24">IF(H315=1,IF(H314=H$2,1,-0.33),0)</f>
        <v>0</v>
      </c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</row>
    <row r="317" spans="1:40" x14ac:dyDescent="0.25">
      <c r="B317" s="76" t="s">
        <v>15</v>
      </c>
      <c r="C317" s="79" t="s">
        <v>267</v>
      </c>
      <c r="D317" s="137"/>
      <c r="E317" s="98" t="s">
        <v>12</v>
      </c>
      <c r="F317" s="25"/>
      <c r="G317" s="17"/>
      <c r="H317" s="22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 x14ac:dyDescent="0.25">
      <c r="B318" s="63"/>
      <c r="C318" s="64"/>
      <c r="D318" s="137"/>
      <c r="E318" s="98" t="s">
        <v>13</v>
      </c>
      <c r="F318" s="100"/>
      <c r="G318" s="17"/>
      <c r="H318" s="22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</row>
    <row r="319" spans="1:40" s="15" customFormat="1" x14ac:dyDescent="0.25">
      <c r="A319" s="4"/>
      <c r="B319" s="116" t="s">
        <v>27</v>
      </c>
      <c r="C319" s="120" t="s">
        <v>268</v>
      </c>
      <c r="D319" s="138"/>
      <c r="E319" s="96"/>
      <c r="F319" s="27"/>
      <c r="G319" s="26"/>
      <c r="H319" s="13"/>
    </row>
    <row r="320" spans="1:40" s="4" customFormat="1" x14ac:dyDescent="0.25">
      <c r="B320" s="76" t="s">
        <v>15</v>
      </c>
      <c r="C320" s="117" t="s">
        <v>269</v>
      </c>
      <c r="D320" s="137"/>
      <c r="E320" s="98" t="s">
        <v>9</v>
      </c>
      <c r="F320" s="25"/>
      <c r="G320" s="92"/>
      <c r="H320" s="84" t="b">
        <f>IF(D321="x",H$2,H$1)</f>
        <v>0</v>
      </c>
    </row>
    <row r="321" spans="1:40" s="4" customFormat="1" x14ac:dyDescent="0.25">
      <c r="B321" s="76" t="s">
        <v>15</v>
      </c>
      <c r="C321" s="79" t="s">
        <v>270</v>
      </c>
      <c r="D321" s="137"/>
      <c r="E321" s="98" t="s">
        <v>10</v>
      </c>
      <c r="F321" s="97" t="str">
        <f>IF(H322=1,IF(H320=H$2,H320,""),"")</f>
        <v/>
      </c>
      <c r="G321" s="92"/>
      <c r="H321" s="84" t="str">
        <f>IF(E$331="comprobar",COUNTIF(D320:D324,"x"),"")</f>
        <v/>
      </c>
    </row>
    <row r="322" spans="1:40" s="4" customFormat="1" x14ac:dyDescent="0.25">
      <c r="B322" s="76" t="s">
        <v>15</v>
      </c>
      <c r="C322" t="s">
        <v>271</v>
      </c>
      <c r="D322" s="137"/>
      <c r="E322" s="98" t="s">
        <v>11</v>
      </c>
      <c r="F322" s="99" t="str">
        <f>IF(H322=-0.33,IF(H320=H$1,H320,""),"")</f>
        <v/>
      </c>
      <c r="G322" s="92"/>
      <c r="H322" s="93">
        <f t="shared" ref="H322" si="25">IF(H321=1,IF(H320=H$2,1,-0.33),0)</f>
        <v>0</v>
      </c>
    </row>
    <row r="323" spans="1:40" x14ac:dyDescent="0.25">
      <c r="B323" s="76" t="s">
        <v>15</v>
      </c>
      <c r="C323" s="79" t="s">
        <v>272</v>
      </c>
      <c r="D323" s="137"/>
      <c r="E323" s="98" t="s">
        <v>12</v>
      </c>
      <c r="F323" s="25"/>
      <c r="G323" s="24"/>
      <c r="H323" s="22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 x14ac:dyDescent="0.25">
      <c r="B324" s="63"/>
      <c r="C324" s="64"/>
      <c r="D324" s="137"/>
      <c r="E324" s="98" t="s">
        <v>13</v>
      </c>
      <c r="F324" s="100"/>
      <c r="G324" s="24"/>
      <c r="H324" s="22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</row>
    <row r="325" spans="1:40" s="15" customFormat="1" x14ac:dyDescent="0.25">
      <c r="A325" s="4"/>
      <c r="B325" s="116" t="s">
        <v>25</v>
      </c>
      <c r="C325" s="120" t="s">
        <v>273</v>
      </c>
      <c r="D325" s="138"/>
      <c r="E325" s="96"/>
      <c r="F325" s="27"/>
      <c r="G325" s="13"/>
      <c r="H325" s="13"/>
    </row>
    <row r="326" spans="1:40" x14ac:dyDescent="0.25">
      <c r="B326" s="76" t="s">
        <v>15</v>
      </c>
      <c r="C326" s="117" t="s">
        <v>274</v>
      </c>
      <c r="D326" s="130"/>
      <c r="E326" s="98" t="s">
        <v>9</v>
      </c>
      <c r="F326" s="25"/>
      <c r="G326" s="24"/>
      <c r="H326" s="19" t="b">
        <f>IF(D326="x",H$2,H$1)</f>
        <v>0</v>
      </c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</row>
    <row r="327" spans="1:40" s="15" customFormat="1" x14ac:dyDescent="0.25">
      <c r="A327" s="4"/>
      <c r="B327" s="76" t="s">
        <v>15</v>
      </c>
      <c r="C327" s="79" t="s">
        <v>269</v>
      </c>
      <c r="D327" s="137"/>
      <c r="E327" s="98" t="s">
        <v>10</v>
      </c>
      <c r="F327" s="97" t="str">
        <f>IF(H328=1,IF(H326=H$2,H326,""),"")</f>
        <v/>
      </c>
      <c r="G327" s="24"/>
      <c r="H327" s="19" t="str">
        <f>IF(E$331="comprobar",COUNTIF(D326:D330,"x"),"")</f>
        <v/>
      </c>
    </row>
    <row r="328" spans="1:40" x14ac:dyDescent="0.25">
      <c r="B328" s="76" t="s">
        <v>15</v>
      </c>
      <c r="C328" t="s">
        <v>275</v>
      </c>
      <c r="D328" s="137"/>
      <c r="E328" s="98" t="s">
        <v>11</v>
      </c>
      <c r="F328" s="99" t="str">
        <f>IF(H328=-0.33,IF(H326=H$1,H326,""),"")</f>
        <v/>
      </c>
      <c r="G328" s="24"/>
      <c r="H328" s="22">
        <f t="shared" ref="H328" si="26">IF(H327=1,IF(H326=H$2,1,-0.33),0)</f>
        <v>0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</row>
    <row r="329" spans="1:40" x14ac:dyDescent="0.25">
      <c r="B329" s="76" t="s">
        <v>15</v>
      </c>
      <c r="C329" s="79" t="s">
        <v>276</v>
      </c>
      <c r="D329" s="137"/>
      <c r="E329" s="98" t="s">
        <v>12</v>
      </c>
      <c r="F329" s="25"/>
      <c r="G329" s="24"/>
      <c r="H329" s="22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 x14ac:dyDescent="0.25">
      <c r="B330" s="63"/>
      <c r="C330" s="64"/>
      <c r="D330" s="95"/>
      <c r="E330" s="98" t="s">
        <v>13</v>
      </c>
      <c r="F330" s="100"/>
      <c r="G330" s="24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 x14ac:dyDescent="0.25">
      <c r="B331" s="101"/>
      <c r="C331" s="8"/>
      <c r="D331" s="102"/>
      <c r="E331" s="72"/>
      <c r="F331" s="103" t="s">
        <v>8</v>
      </c>
      <c r="G331" s="17" t="s">
        <v>6</v>
      </c>
      <c r="H331" s="17" t="s">
        <v>7</v>
      </c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ht="19.5" x14ac:dyDescent="0.25">
      <c r="B332" s="44"/>
      <c r="C332" s="41"/>
      <c r="D332" s="40"/>
      <c r="E332" s="104"/>
      <c r="F332" s="29" t="str">
        <f>IF(E$331="comprobar",H328+H322+H316+H310+H304+H298+H292+H286+H280+H273,"")</f>
        <v/>
      </c>
      <c r="G332" s="17">
        <f>10/2</f>
        <v>5</v>
      </c>
      <c r="H332" s="17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</row>
    <row r="333" spans="1:40" ht="16.5" thickBot="1" x14ac:dyDescent="0.3">
      <c r="B333" s="45"/>
      <c r="C333" s="30"/>
      <c r="D333" s="105"/>
      <c r="E333" s="106"/>
      <c r="F333" s="107" t="str">
        <f>IF(F332&gt;G332,G331,H331)</f>
        <v>APROBADO</v>
      </c>
      <c r="G333" s="17"/>
      <c r="H333" s="17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ht="16.5" hidden="1" thickBot="1" x14ac:dyDescent="0.3">
      <c r="B334" s="44"/>
      <c r="C334" s="16"/>
      <c r="D334" s="125"/>
      <c r="E334" s="51"/>
      <c r="F334" s="71"/>
      <c r="G334" s="17"/>
      <c r="H334" s="17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</row>
    <row r="335" spans="1:40" ht="16.5" hidden="1" thickBot="1" x14ac:dyDescent="0.3">
      <c r="B335" s="44"/>
      <c r="C335" s="16"/>
      <c r="D335" s="125"/>
      <c r="E335" s="51"/>
      <c r="F335" s="71"/>
      <c r="G335" s="17"/>
      <c r="H335" s="17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ht="28.5" x14ac:dyDescent="0.45">
      <c r="B336" s="60" t="s">
        <v>31</v>
      </c>
      <c r="C336" s="126" t="s">
        <v>39</v>
      </c>
      <c r="D336" s="126"/>
      <c r="E336" s="126"/>
      <c r="F336" s="127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1:40" s="15" customFormat="1" ht="18.95" customHeight="1" x14ac:dyDescent="0.25">
      <c r="A337" s="4"/>
      <c r="B337" s="116" t="s">
        <v>17</v>
      </c>
      <c r="C337" s="120" t="s">
        <v>370</v>
      </c>
      <c r="D337" s="142"/>
      <c r="E337" s="52"/>
      <c r="F337" s="27"/>
      <c r="G337" s="13"/>
      <c r="H337" s="13"/>
    </row>
    <row r="338" spans="1:40" x14ac:dyDescent="0.25">
      <c r="B338" s="76" t="s">
        <v>15</v>
      </c>
      <c r="C338" s="117" t="s">
        <v>321</v>
      </c>
      <c r="D338" s="141"/>
      <c r="E338" s="53" t="s">
        <v>9</v>
      </c>
      <c r="F338" s="25"/>
      <c r="G338" s="17"/>
      <c r="H338" s="19" t="b">
        <f>IF(D340="x",H$2,H$1)</f>
        <v>0</v>
      </c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</row>
    <row r="339" spans="1:40" ht="15.95" customHeight="1" x14ac:dyDescent="0.25">
      <c r="B339" s="76" t="s">
        <v>15</v>
      </c>
      <c r="C339" s="79" t="s">
        <v>322</v>
      </c>
      <c r="D339" s="141"/>
      <c r="E339" s="53" t="s">
        <v>10</v>
      </c>
      <c r="F339" s="20" t="str">
        <f>IF(H340=1,IF(H338=H$2,H338,""),"")</f>
        <v/>
      </c>
      <c r="G339" s="17"/>
      <c r="H339" s="19" t="str">
        <f>IF(E397="comprobar",COUNTIF(D338:D342,"x"),"")</f>
        <v/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1:40" ht="18.95" customHeight="1" x14ac:dyDescent="0.25">
      <c r="B340" s="76" t="s">
        <v>15</v>
      </c>
      <c r="C340" t="s">
        <v>323</v>
      </c>
      <c r="D340" s="141"/>
      <c r="E340" s="53" t="s">
        <v>11</v>
      </c>
      <c r="F340" s="21" t="str">
        <f>IF(H340=-0.33,IF(H338=H$1,H338,""),"")</f>
        <v/>
      </c>
      <c r="G340" s="17"/>
      <c r="H340" s="22">
        <f>IF(H339=1,IF(H338=H$2,1,-0.33),0)</f>
        <v>0</v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</row>
    <row r="341" spans="1:40" x14ac:dyDescent="0.25">
      <c r="B341" s="76" t="s">
        <v>15</v>
      </c>
      <c r="C341" s="79" t="s">
        <v>324</v>
      </c>
      <c r="D341" s="141"/>
      <c r="E341" s="53" t="s">
        <v>12</v>
      </c>
      <c r="F341" s="25"/>
      <c r="G341" s="17"/>
      <c r="H341" s="22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1:40" x14ac:dyDescent="0.25">
      <c r="B342" s="44"/>
      <c r="C342" s="64"/>
      <c r="D342" s="141"/>
      <c r="E342" s="53" t="s">
        <v>13</v>
      </c>
      <c r="F342" s="18"/>
      <c r="G342" s="17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1:40" s="15" customFormat="1" ht="18.95" customHeight="1" x14ac:dyDescent="0.25">
      <c r="A343" s="4"/>
      <c r="B343" s="116" t="s">
        <v>26</v>
      </c>
      <c r="C343" s="120" t="s">
        <v>325</v>
      </c>
      <c r="D343" s="142"/>
      <c r="E343" s="52"/>
      <c r="F343" s="27"/>
      <c r="G343" s="13"/>
      <c r="H343" s="13"/>
    </row>
    <row r="344" spans="1:40" x14ac:dyDescent="0.25">
      <c r="B344" s="76" t="s">
        <v>15</v>
      </c>
      <c r="C344" s="117" t="s">
        <v>326</v>
      </c>
      <c r="D344" s="141"/>
      <c r="E344" s="53" t="s">
        <v>9</v>
      </c>
      <c r="F344" s="25"/>
      <c r="G344" s="17"/>
      <c r="H344" s="19" t="b">
        <f>IF(D$347="x",H$2,H$1)</f>
        <v>0</v>
      </c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</row>
    <row r="345" spans="1:40" x14ac:dyDescent="0.25">
      <c r="B345" s="76" t="s">
        <v>15</v>
      </c>
      <c r="C345" s="79" t="s">
        <v>327</v>
      </c>
      <c r="D345" s="141"/>
      <c r="E345" s="53" t="s">
        <v>10</v>
      </c>
      <c r="F345" s="20" t="str">
        <f>IF(H346=1,IF(H344=H$2,H344,""),"")</f>
        <v/>
      </c>
      <c r="G345" s="17"/>
      <c r="H345" s="19" t="str">
        <f>IF(E$397="comprobar",COUNTIF(D344:D348,"x"),"")</f>
        <v/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1:40" x14ac:dyDescent="0.25">
      <c r="B346" s="76" t="s">
        <v>15</v>
      </c>
      <c r="C346" t="s">
        <v>328</v>
      </c>
      <c r="D346" s="141"/>
      <c r="E346" s="53" t="s">
        <v>11</v>
      </c>
      <c r="F346" s="21" t="str">
        <f>IF(H346=-0.33,IF(H344=H$1,H344,""),"")</f>
        <v/>
      </c>
      <c r="G346" s="17"/>
      <c r="H346" s="22">
        <f t="shared" ref="H346" si="27">IF(H345=1,IF(H344=H$2,1,-0.33),0)</f>
        <v>0</v>
      </c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</row>
    <row r="347" spans="1:40" x14ac:dyDescent="0.25">
      <c r="B347" s="76" t="s">
        <v>15</v>
      </c>
      <c r="C347" s="79" t="s">
        <v>329</v>
      </c>
      <c r="D347" s="141"/>
      <c r="E347" s="53" t="s">
        <v>12</v>
      </c>
      <c r="F347" s="25"/>
      <c r="G347" s="17"/>
      <c r="H347" s="22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1:40" x14ac:dyDescent="0.25">
      <c r="B348" s="44"/>
      <c r="C348" s="64"/>
      <c r="D348" s="141"/>
      <c r="E348" s="53" t="s">
        <v>13</v>
      </c>
      <c r="F348" s="18"/>
      <c r="G348" s="17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1:40" s="15" customFormat="1" ht="18.95" customHeight="1" x14ac:dyDescent="0.25">
      <c r="A349" s="4"/>
      <c r="B349" s="116" t="s">
        <v>29</v>
      </c>
      <c r="C349" s="120" t="s">
        <v>330</v>
      </c>
      <c r="D349" s="142"/>
      <c r="E349" s="52"/>
      <c r="F349" s="27"/>
      <c r="G349" s="13"/>
      <c r="H349" s="13"/>
    </row>
    <row r="350" spans="1:40" x14ac:dyDescent="0.25">
      <c r="B350" s="76" t="s">
        <v>15</v>
      </c>
      <c r="C350" s="117" t="s">
        <v>331</v>
      </c>
      <c r="D350" s="141"/>
      <c r="E350" s="53" t="s">
        <v>9</v>
      </c>
      <c r="F350" s="25"/>
      <c r="G350" s="17"/>
      <c r="H350" s="19" t="b">
        <f>IF(D352="x",H$2,H$1)</f>
        <v>0</v>
      </c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</row>
    <row r="351" spans="1:40" x14ac:dyDescent="0.25">
      <c r="B351" s="76" t="s">
        <v>15</v>
      </c>
      <c r="C351" s="79" t="s">
        <v>332</v>
      </c>
      <c r="D351" s="141"/>
      <c r="E351" s="53" t="s">
        <v>10</v>
      </c>
      <c r="F351" s="20" t="str">
        <f>IF(H352=1,IF(H350=H$2,H350,""),"")</f>
        <v/>
      </c>
      <c r="G351" s="17"/>
      <c r="H351" s="19" t="str">
        <f>IF(E$397="comprobar",COUNTIF(D350:D354,"x"),"")</f>
        <v/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1:40" x14ac:dyDescent="0.25">
      <c r="B352" s="76" t="s">
        <v>15</v>
      </c>
      <c r="C352" t="s">
        <v>333</v>
      </c>
      <c r="D352" s="141"/>
      <c r="E352" s="53" t="s">
        <v>11</v>
      </c>
      <c r="F352" s="21" t="str">
        <f>IF(H352=-0.33,IF(H350=H$1,H350,""),"")</f>
        <v/>
      </c>
      <c r="G352" s="17"/>
      <c r="H352" s="22">
        <f t="shared" ref="H352" si="28">IF(H351=1,IF(H350=H$2,1,-0.33),0)</f>
        <v>0</v>
      </c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</row>
    <row r="353" spans="1:40" x14ac:dyDescent="0.25">
      <c r="B353" s="76" t="s">
        <v>15</v>
      </c>
      <c r="C353" s="79" t="s">
        <v>334</v>
      </c>
      <c r="D353" s="141"/>
      <c r="E353" s="53" t="s">
        <v>12</v>
      </c>
      <c r="F353" s="25"/>
      <c r="G353" s="17"/>
      <c r="H353" s="22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1:40" x14ac:dyDescent="0.25">
      <c r="B354" s="44"/>
      <c r="C354" s="64"/>
      <c r="D354" s="141"/>
      <c r="E354" s="53" t="s">
        <v>13</v>
      </c>
      <c r="F354" s="18"/>
      <c r="G354" s="17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1:40" s="15" customFormat="1" ht="15.95" customHeight="1" x14ac:dyDescent="0.25">
      <c r="A355" s="4"/>
      <c r="B355" s="116" t="s">
        <v>19</v>
      </c>
      <c r="C355" s="120" t="s">
        <v>335</v>
      </c>
      <c r="D355" s="142"/>
      <c r="E355" s="52"/>
      <c r="F355" s="27"/>
      <c r="G355" s="13"/>
      <c r="H355" s="13"/>
    </row>
    <row r="356" spans="1:40" x14ac:dyDescent="0.25">
      <c r="B356" s="76" t="s">
        <v>15</v>
      </c>
      <c r="C356" s="117" t="s">
        <v>336</v>
      </c>
      <c r="D356" s="141"/>
      <c r="E356" s="53" t="s">
        <v>9</v>
      </c>
      <c r="F356" s="25"/>
      <c r="G356" s="17"/>
      <c r="H356" s="19" t="b">
        <f>IF(D358="x",H$2,H$1)</f>
        <v>0</v>
      </c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</row>
    <row r="357" spans="1:40" x14ac:dyDescent="0.25">
      <c r="B357" s="76" t="s">
        <v>15</v>
      </c>
      <c r="C357" s="79" t="s">
        <v>337</v>
      </c>
      <c r="D357" s="141"/>
      <c r="E357" s="53" t="s">
        <v>10</v>
      </c>
      <c r="F357" s="20" t="str">
        <f>IF(H358=1,IF(H356=H$2,H356,""),"")</f>
        <v/>
      </c>
      <c r="G357" s="17"/>
      <c r="H357" s="19" t="str">
        <f>IF(E$397="comprobar",COUNTIF(D356:D360,"x"),"")</f>
        <v/>
      </c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</row>
    <row r="358" spans="1:40" x14ac:dyDescent="0.25">
      <c r="B358" s="76" t="s">
        <v>15</v>
      </c>
      <c r="C358" t="s">
        <v>338</v>
      </c>
      <c r="D358" s="141"/>
      <c r="E358" s="53" t="s">
        <v>11</v>
      </c>
      <c r="F358" s="21" t="str">
        <f>IF(H358=-0.33,IF(H356=H$1,H356,""),"")</f>
        <v/>
      </c>
      <c r="G358" s="17"/>
      <c r="H358" s="22">
        <f t="shared" ref="H358" si="29">IF(H357=1,IF(H356=H$2,1,-0.33),0)</f>
        <v>0</v>
      </c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</row>
    <row r="359" spans="1:40" x14ac:dyDescent="0.25">
      <c r="B359" s="76" t="s">
        <v>15</v>
      </c>
      <c r="C359" s="79" t="s">
        <v>339</v>
      </c>
      <c r="D359" s="141"/>
      <c r="E359" s="53" t="s">
        <v>12</v>
      </c>
      <c r="F359" s="25"/>
      <c r="G359" s="17"/>
      <c r="H359" s="22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</row>
    <row r="360" spans="1:40" ht="18.75" x14ac:dyDescent="0.25">
      <c r="B360" s="112"/>
      <c r="C360" s="64"/>
      <c r="D360" s="141"/>
      <c r="E360" s="53" t="s">
        <v>13</v>
      </c>
      <c r="F360" s="18"/>
      <c r="G360" s="17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1:40" s="15" customFormat="1" ht="18.95" customHeight="1" x14ac:dyDescent="0.25">
      <c r="A361" s="4"/>
      <c r="B361" s="116" t="s">
        <v>20</v>
      </c>
      <c r="C361" s="120" t="s">
        <v>340</v>
      </c>
      <c r="D361" s="142"/>
      <c r="E361" s="52"/>
      <c r="F361" s="27"/>
      <c r="G361" s="13"/>
      <c r="H361" s="13"/>
    </row>
    <row r="362" spans="1:40" x14ac:dyDescent="0.25">
      <c r="B362" s="76" t="s">
        <v>15</v>
      </c>
      <c r="C362" s="117" t="s">
        <v>341</v>
      </c>
      <c r="D362" s="141"/>
      <c r="E362" s="53" t="s">
        <v>9</v>
      </c>
      <c r="F362" s="25"/>
      <c r="G362" s="17"/>
      <c r="H362" s="19" t="b">
        <f>IF(D365="x",H$2,H$1)</f>
        <v>0</v>
      </c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</row>
    <row r="363" spans="1:40" x14ac:dyDescent="0.25">
      <c r="B363" s="76" t="s">
        <v>15</v>
      </c>
      <c r="C363" s="79" t="s">
        <v>342</v>
      </c>
      <c r="D363" s="141"/>
      <c r="E363" s="53" t="s">
        <v>10</v>
      </c>
      <c r="F363" s="20" t="str">
        <f>IF(H364=1,IF(H362=H$2,H362,""),"")</f>
        <v/>
      </c>
      <c r="G363" s="17"/>
      <c r="H363" s="19" t="str">
        <f>IF(E$397="comprobar",COUNTIF(D362:D366,"x"),"")</f>
        <v/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1:40" x14ac:dyDescent="0.25">
      <c r="B364" s="76" t="s">
        <v>15</v>
      </c>
      <c r="C364" t="s">
        <v>343</v>
      </c>
      <c r="D364" s="141"/>
      <c r="E364" s="53" t="s">
        <v>11</v>
      </c>
      <c r="F364" s="21" t="str">
        <f>IF(H364=-0.33,IF(H362=H$1,H362,""),"")</f>
        <v/>
      </c>
      <c r="G364" s="17"/>
      <c r="H364" s="22">
        <f t="shared" ref="H364" si="30">IF(H363=1,IF(H362=H$2,1,-0.33),0)</f>
        <v>0</v>
      </c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</row>
    <row r="365" spans="1:40" x14ac:dyDescent="0.25">
      <c r="B365" s="76" t="s">
        <v>15</v>
      </c>
      <c r="C365" s="79" t="s">
        <v>344</v>
      </c>
      <c r="D365" s="141"/>
      <c r="E365" s="53" t="s">
        <v>12</v>
      </c>
      <c r="F365" s="25"/>
      <c r="G365" s="17"/>
      <c r="H365" s="22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1:40" x14ac:dyDescent="0.25">
      <c r="B366" s="44"/>
      <c r="C366" s="64"/>
      <c r="D366" s="141"/>
      <c r="E366" s="53" t="s">
        <v>13</v>
      </c>
      <c r="F366" s="18"/>
      <c r="G366" s="17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1:40" s="15" customFormat="1" ht="18.95" customHeight="1" x14ac:dyDescent="0.25">
      <c r="A367" s="4"/>
      <c r="B367" s="116" t="s">
        <v>30</v>
      </c>
      <c r="C367" s="120" t="s">
        <v>345</v>
      </c>
      <c r="D367" s="142"/>
      <c r="E367" s="52"/>
      <c r="F367" s="27"/>
      <c r="G367" s="13"/>
      <c r="H367" s="13"/>
    </row>
    <row r="368" spans="1:40" x14ac:dyDescent="0.25">
      <c r="B368" s="76" t="s">
        <v>15</v>
      </c>
      <c r="C368" s="117" t="s">
        <v>346</v>
      </c>
      <c r="D368" s="141"/>
      <c r="E368" s="53" t="s">
        <v>9</v>
      </c>
      <c r="F368" s="25"/>
      <c r="G368" s="17"/>
      <c r="H368" s="19" t="b">
        <f>IF(D370="x",H$2,H$1)</f>
        <v>0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1:40" x14ac:dyDescent="0.25">
      <c r="B369" s="76" t="s">
        <v>15</v>
      </c>
      <c r="C369" s="79" t="s">
        <v>347</v>
      </c>
      <c r="D369" s="141"/>
      <c r="E369" s="53" t="s">
        <v>10</v>
      </c>
      <c r="F369" s="20" t="str">
        <f>IF(H370=1,IF(H368=H$2,H368,""),"")</f>
        <v/>
      </c>
      <c r="G369" s="17"/>
      <c r="H369" s="19" t="str">
        <f>IF(E$397="comprobar",COUNTIF(D368:D372,"x"),"")</f>
        <v/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1:40" x14ac:dyDescent="0.25">
      <c r="B370" s="76" t="s">
        <v>15</v>
      </c>
      <c r="C370" t="s">
        <v>348</v>
      </c>
      <c r="D370" s="141"/>
      <c r="E370" s="53" t="s">
        <v>11</v>
      </c>
      <c r="F370" s="21" t="str">
        <f>IF(H370=-0.33,IF(H368=H$1,H368,""),"")</f>
        <v/>
      </c>
      <c r="G370" s="17"/>
      <c r="H370" s="22">
        <f t="shared" ref="H370" si="31">IF(H369=1,IF(H368=H$2,1,-0.33),0)</f>
        <v>0</v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1:40" x14ac:dyDescent="0.25">
      <c r="B371" s="76" t="s">
        <v>15</v>
      </c>
      <c r="C371" s="79" t="s">
        <v>349</v>
      </c>
      <c r="D371" s="141"/>
      <c r="E371" s="53" t="s">
        <v>12</v>
      </c>
      <c r="F371" s="25"/>
      <c r="G371" s="17"/>
      <c r="H371" s="22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1:40" x14ac:dyDescent="0.25">
      <c r="B372" s="44"/>
      <c r="C372" s="64"/>
      <c r="D372" s="141"/>
      <c r="E372" s="53" t="s">
        <v>13</v>
      </c>
      <c r="F372" s="18"/>
      <c r="G372" s="17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1:40" s="15" customFormat="1" ht="15.95" customHeight="1" x14ac:dyDescent="0.25">
      <c r="A373" s="4"/>
      <c r="B373" s="116" t="s">
        <v>22</v>
      </c>
      <c r="C373" s="120" t="s">
        <v>350</v>
      </c>
      <c r="D373" s="142"/>
      <c r="E373" s="52"/>
      <c r="F373" s="27"/>
      <c r="G373" s="13"/>
      <c r="H373" s="13"/>
    </row>
    <row r="374" spans="1:40" x14ac:dyDescent="0.25">
      <c r="B374" s="76" t="s">
        <v>15</v>
      </c>
      <c r="C374" s="117" t="s">
        <v>351</v>
      </c>
      <c r="D374" s="141"/>
      <c r="E374" s="53" t="s">
        <v>9</v>
      </c>
      <c r="F374" s="25"/>
      <c r="G374" s="17"/>
      <c r="H374" s="19" t="b">
        <f>IF(D374="x",H$2,H$1)</f>
        <v>0</v>
      </c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1:40" x14ac:dyDescent="0.25">
      <c r="B375" s="76" t="s">
        <v>15</v>
      </c>
      <c r="C375" s="79" t="s">
        <v>352</v>
      </c>
      <c r="D375" s="141"/>
      <c r="E375" s="53" t="s">
        <v>10</v>
      </c>
      <c r="F375" s="20" t="str">
        <f>IF(H376=1,IF(H374=H$2,H374,""),"")</f>
        <v/>
      </c>
      <c r="G375" s="17"/>
      <c r="H375" s="19" t="str">
        <f>IF(E$397="comprobar",COUNTIF(D374:D378,"x"),"")</f>
        <v/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1:40" x14ac:dyDescent="0.25">
      <c r="B376" s="76" t="s">
        <v>15</v>
      </c>
      <c r="C376" t="s">
        <v>353</v>
      </c>
      <c r="D376" s="141"/>
      <c r="E376" s="53" t="s">
        <v>11</v>
      </c>
      <c r="F376" s="21" t="str">
        <f>IF(H376=-0.33,IF(H374=H$1,H374,""),"")</f>
        <v/>
      </c>
      <c r="G376" s="17"/>
      <c r="H376" s="22">
        <f t="shared" ref="H376" si="32">IF(H375=1,IF(H374=H$2,1,-0.33),0)</f>
        <v>0</v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1:40" x14ac:dyDescent="0.25">
      <c r="B377" s="76" t="s">
        <v>15</v>
      </c>
      <c r="C377" s="79" t="s">
        <v>354</v>
      </c>
      <c r="D377" s="141"/>
      <c r="E377" s="53" t="s">
        <v>12</v>
      </c>
      <c r="F377" s="25"/>
      <c r="G377" s="17"/>
      <c r="H377" s="22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1:40" x14ac:dyDescent="0.25">
      <c r="B378" s="44"/>
      <c r="C378" s="64"/>
      <c r="D378" s="141"/>
      <c r="E378" s="53" t="s">
        <v>13</v>
      </c>
      <c r="F378" s="18"/>
      <c r="G378" s="17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1:40" s="15" customFormat="1" ht="18.95" customHeight="1" x14ac:dyDescent="0.25">
      <c r="A379" s="4"/>
      <c r="B379" s="116" t="s">
        <v>28</v>
      </c>
      <c r="C379" s="120" t="s">
        <v>355</v>
      </c>
      <c r="D379" s="142"/>
      <c r="E379" s="52"/>
      <c r="F379" s="27"/>
      <c r="G379" s="13"/>
      <c r="H379" s="13"/>
    </row>
    <row r="380" spans="1:40" x14ac:dyDescent="0.25">
      <c r="B380" s="76" t="s">
        <v>15</v>
      </c>
      <c r="C380" s="117" t="s">
        <v>356</v>
      </c>
      <c r="D380" s="141"/>
      <c r="E380" s="53" t="s">
        <v>9</v>
      </c>
      <c r="F380" s="25"/>
      <c r="G380" s="17"/>
      <c r="H380" s="19" t="b">
        <f>IF(D383="x",H$2,H$1)</f>
        <v>0</v>
      </c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1:40" x14ac:dyDescent="0.25">
      <c r="B381" s="76" t="s">
        <v>15</v>
      </c>
      <c r="C381" s="79" t="s">
        <v>357</v>
      </c>
      <c r="D381" s="141"/>
      <c r="E381" s="53" t="s">
        <v>10</v>
      </c>
      <c r="F381" s="20" t="str">
        <f>IF(H382=1,IF(H380=H$2,H380,""),"")</f>
        <v/>
      </c>
      <c r="G381" s="17"/>
      <c r="H381" s="19" t="str">
        <f>IF(E$397="comprobar",COUNTIF(D380:D384,"x"),"")</f>
        <v/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1:40" x14ac:dyDescent="0.25">
      <c r="B382" s="76" t="s">
        <v>15</v>
      </c>
      <c r="C382" t="s">
        <v>358</v>
      </c>
      <c r="D382" s="141"/>
      <c r="E382" s="53" t="s">
        <v>11</v>
      </c>
      <c r="F382" s="21" t="str">
        <f>IF(H382=-0.33,IF(H380=H$1,H380,""),"")</f>
        <v/>
      </c>
      <c r="G382" s="17"/>
      <c r="H382" s="22">
        <f t="shared" ref="H382" si="33">IF(H381=1,IF(H380=H$2,1,-0.33),0)</f>
        <v>0</v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1:40" x14ac:dyDescent="0.25">
      <c r="B383" s="76" t="s">
        <v>15</v>
      </c>
      <c r="C383" s="79" t="s">
        <v>359</v>
      </c>
      <c r="D383" s="141"/>
      <c r="E383" s="53" t="s">
        <v>12</v>
      </c>
      <c r="F383" s="25"/>
      <c r="G383" s="17"/>
      <c r="H383" s="22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1:40" x14ac:dyDescent="0.25">
      <c r="B384" s="44"/>
      <c r="C384" s="64"/>
      <c r="D384" s="141"/>
      <c r="E384" s="53" t="s">
        <v>13</v>
      </c>
      <c r="F384" s="18"/>
      <c r="G384" s="17"/>
      <c r="H384" s="22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s="15" customFormat="1" ht="18.95" customHeight="1" x14ac:dyDescent="0.25">
      <c r="A385" s="4"/>
      <c r="B385" s="116" t="s">
        <v>27</v>
      </c>
      <c r="C385" s="120" t="s">
        <v>360</v>
      </c>
      <c r="D385" s="142"/>
      <c r="E385" s="52"/>
      <c r="F385" s="27"/>
      <c r="G385" s="13"/>
      <c r="H385" s="13"/>
    </row>
    <row r="386" spans="1:40" x14ac:dyDescent="0.25">
      <c r="B386" s="76" t="s">
        <v>15</v>
      </c>
      <c r="C386" s="117" t="s">
        <v>361</v>
      </c>
      <c r="D386" s="141"/>
      <c r="E386" s="53" t="s">
        <v>9</v>
      </c>
      <c r="F386" s="25"/>
      <c r="G386" s="17"/>
      <c r="H386" s="19" t="b">
        <f>IF(D389="x",H$2,H$1)</f>
        <v>0</v>
      </c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 x14ac:dyDescent="0.25">
      <c r="B387" s="76" t="s">
        <v>15</v>
      </c>
      <c r="C387" s="79" t="s">
        <v>362</v>
      </c>
      <c r="D387" s="141"/>
      <c r="E387" s="53" t="s">
        <v>10</v>
      </c>
      <c r="F387" s="20" t="str">
        <f>IF(H388=1,IF(H386=H$2,H386,""),"")</f>
        <v/>
      </c>
      <c r="G387" s="17"/>
      <c r="H387" s="19" t="str">
        <f>IF(E$397="comprobar",COUNTIF(D386:D390,"x"),"")</f>
        <v/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</row>
    <row r="388" spans="1:40" x14ac:dyDescent="0.25">
      <c r="B388" s="76" t="s">
        <v>15</v>
      </c>
      <c r="C388" t="s">
        <v>363</v>
      </c>
      <c r="D388" s="141"/>
      <c r="E388" s="53" t="s">
        <v>11</v>
      </c>
      <c r="F388" s="21" t="str">
        <f>IF(H388=-0.33,IF(H386=H$1,H386,""),"")</f>
        <v/>
      </c>
      <c r="G388" s="17"/>
      <c r="H388" s="22">
        <f t="shared" ref="H388" si="34">IF(H387=1,IF(H386=H$2,1,-0.33),0)</f>
        <v>0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 x14ac:dyDescent="0.25">
      <c r="B389" s="76" t="s">
        <v>15</v>
      </c>
      <c r="C389" s="79" t="s">
        <v>364</v>
      </c>
      <c r="D389" s="141"/>
      <c r="E389" s="53" t="s">
        <v>12</v>
      </c>
      <c r="F389" s="25"/>
      <c r="G389" s="17"/>
      <c r="H389" s="22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s="34" customFormat="1" x14ac:dyDescent="0.25">
      <c r="A390" s="4"/>
      <c r="B390" s="114"/>
      <c r="C390" s="64"/>
      <c r="D390" s="141"/>
      <c r="E390" s="53" t="s">
        <v>14</v>
      </c>
      <c r="F390" s="18"/>
      <c r="G390" s="17"/>
      <c r="H390" s="22"/>
      <c r="I390" s="49"/>
      <c r="J390" s="49"/>
      <c r="K390" s="49"/>
      <c r="L390" s="49"/>
      <c r="M390" s="49"/>
      <c r="N390" s="49"/>
      <c r="O390" s="49"/>
      <c r="P390" s="49"/>
      <c r="Q390" s="49"/>
      <c r="R390" s="49"/>
      <c r="S390" s="49"/>
      <c r="T390" s="49"/>
      <c r="U390" s="49"/>
      <c r="V390" s="49"/>
      <c r="W390" s="49"/>
      <c r="X390" s="49"/>
      <c r="Y390" s="49"/>
      <c r="Z390" s="49"/>
      <c r="AA390" s="49"/>
      <c r="AB390" s="49"/>
      <c r="AC390" s="49"/>
      <c r="AD390" s="49"/>
      <c r="AE390" s="49"/>
      <c r="AF390" s="49"/>
      <c r="AG390" s="49"/>
      <c r="AH390" s="49"/>
      <c r="AI390" s="49"/>
      <c r="AJ390" s="49"/>
      <c r="AK390" s="49"/>
      <c r="AL390" s="49"/>
      <c r="AM390" s="49"/>
      <c r="AN390" s="49"/>
    </row>
    <row r="391" spans="1:40" s="15" customFormat="1" ht="18.95" customHeight="1" x14ac:dyDescent="0.25">
      <c r="A391" s="4"/>
      <c r="B391" s="116" t="s">
        <v>25</v>
      </c>
      <c r="C391" s="120" t="s">
        <v>365</v>
      </c>
      <c r="D391" s="142"/>
      <c r="E391" s="52"/>
      <c r="F391" s="27"/>
      <c r="G391" s="26"/>
      <c r="H391" s="13"/>
    </row>
    <row r="392" spans="1:40" x14ac:dyDescent="0.25">
      <c r="B392" s="76" t="s">
        <v>15</v>
      </c>
      <c r="C392" s="117" t="s">
        <v>366</v>
      </c>
      <c r="D392" s="141"/>
      <c r="E392" s="53" t="s">
        <v>9</v>
      </c>
      <c r="F392" s="25"/>
      <c r="G392" s="24"/>
      <c r="H392" s="19" t="b">
        <f>IF(D393="x",H$2,H$1)</f>
        <v>0</v>
      </c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</row>
    <row r="393" spans="1:40" x14ac:dyDescent="0.25">
      <c r="B393" s="76" t="s">
        <v>15</v>
      </c>
      <c r="C393" s="79" t="s">
        <v>367</v>
      </c>
      <c r="D393" s="141"/>
      <c r="E393" s="53" t="s">
        <v>10</v>
      </c>
      <c r="F393" s="20" t="str">
        <f>IF(H394=1,IF(H392=H$2,H392,""),"")</f>
        <v/>
      </c>
      <c r="G393" s="24"/>
      <c r="H393" s="19" t="str">
        <f>IF(E$397="comprobar",COUNTIF(D392:D396,"x"),"")</f>
        <v/>
      </c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</row>
    <row r="394" spans="1:40" x14ac:dyDescent="0.25">
      <c r="B394" s="76" t="s">
        <v>15</v>
      </c>
      <c r="C394" t="s">
        <v>368</v>
      </c>
      <c r="D394" s="141"/>
      <c r="E394" s="53" t="s">
        <v>11</v>
      </c>
      <c r="F394" s="21" t="str">
        <f>IF(H394=-0.33,IF(H392=H$1,H392,""),"")</f>
        <v/>
      </c>
      <c r="G394" s="24"/>
      <c r="H394" s="22">
        <f>IF(H393=1,IF(H392=H$2,1,-0.33),0)</f>
        <v>0</v>
      </c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 x14ac:dyDescent="0.25">
      <c r="B395" s="76" t="s">
        <v>15</v>
      </c>
      <c r="C395" s="79" t="s">
        <v>369</v>
      </c>
      <c r="D395" s="141"/>
      <c r="E395" s="53" t="s">
        <v>12</v>
      </c>
      <c r="F395" s="25"/>
      <c r="G395" s="24"/>
      <c r="H395" s="22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ht="18.75" x14ac:dyDescent="0.25">
      <c r="B396" s="112"/>
      <c r="C396" s="64"/>
      <c r="D396" s="38"/>
      <c r="E396" s="53" t="s">
        <v>13</v>
      </c>
      <c r="F396" s="18"/>
      <c r="G396" s="24"/>
      <c r="H396" s="22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 x14ac:dyDescent="0.25">
      <c r="B397" s="44"/>
      <c r="C397" s="41"/>
      <c r="D397" s="48"/>
      <c r="E397" s="54"/>
      <c r="F397" s="18"/>
      <c r="G397" s="17"/>
      <c r="H397" s="17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 x14ac:dyDescent="0.25">
      <c r="B398" s="44"/>
      <c r="C398" s="16"/>
      <c r="D398" s="48"/>
      <c r="E398" s="57"/>
      <c r="F398" s="28" t="s">
        <v>8</v>
      </c>
      <c r="G398" s="17" t="s">
        <v>6</v>
      </c>
      <c r="H398" s="17" t="s">
        <v>7</v>
      </c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</row>
    <row r="399" spans="1:40" ht="19.5" x14ac:dyDescent="0.25">
      <c r="B399" s="44"/>
      <c r="C399" s="16"/>
      <c r="D399" s="125"/>
      <c r="E399" s="51"/>
      <c r="F399" s="29" t="str">
        <f>IF(E$397="comprobar",H394+H388+H382+H376+H370+H364+H358+H352+H346+H340,"")</f>
        <v/>
      </c>
      <c r="G399" s="17">
        <f>10/2</f>
        <v>5</v>
      </c>
      <c r="H399" s="17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</row>
    <row r="400" spans="1:40" ht="16.5" thickBot="1" x14ac:dyDescent="0.3">
      <c r="B400" s="45"/>
      <c r="C400" s="30"/>
      <c r="D400" s="31"/>
      <c r="E400" s="55"/>
      <c r="F400" s="32" t="str">
        <f>IF(F399&gt;G399,G398,H398)</f>
        <v>APROBADO</v>
      </c>
      <c r="G400" s="17"/>
      <c r="H400" s="17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ht="28.5" x14ac:dyDescent="0.45">
      <c r="B401" s="60" t="s">
        <v>31</v>
      </c>
      <c r="C401" s="126" t="s">
        <v>40</v>
      </c>
      <c r="D401" s="126"/>
      <c r="E401" s="126"/>
      <c r="F401" s="127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s="15" customFormat="1" ht="18.95" customHeight="1" x14ac:dyDescent="0.25">
      <c r="A402" s="4"/>
      <c r="B402" s="116" t="s">
        <v>17</v>
      </c>
      <c r="C402" s="121" t="s">
        <v>277</v>
      </c>
      <c r="D402" s="140"/>
      <c r="E402" s="52"/>
      <c r="F402" s="27"/>
      <c r="G402" s="13"/>
      <c r="H402" s="13"/>
    </row>
    <row r="403" spans="1:40" ht="18.75" x14ac:dyDescent="0.3">
      <c r="B403" s="76" t="s">
        <v>15</v>
      </c>
      <c r="C403" s="111" t="s">
        <v>278</v>
      </c>
      <c r="D403" s="139"/>
      <c r="E403" s="53" t="s">
        <v>9</v>
      </c>
      <c r="F403" s="25"/>
      <c r="G403" s="24"/>
      <c r="H403" s="19" t="b">
        <f>IF(D405="x",H$2,H$1)</f>
        <v>0</v>
      </c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ht="18.75" x14ac:dyDescent="0.3">
      <c r="B404" s="76" t="s">
        <v>15</v>
      </c>
      <c r="C404" s="111" t="s">
        <v>279</v>
      </c>
      <c r="D404" s="139"/>
      <c r="E404" s="53" t="s">
        <v>10</v>
      </c>
      <c r="F404" s="20" t="str">
        <f>IF(H405=1,IF(H403=H$2,H403,""),"")</f>
        <v/>
      </c>
      <c r="G404" s="24"/>
      <c r="H404" s="19" t="str">
        <f>IF(E$462="comprobar",COUNTIF(D403:D407,"x"),"")</f>
        <v/>
      </c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</row>
    <row r="405" spans="1:40" ht="18.75" x14ac:dyDescent="0.3">
      <c r="B405" s="76" t="s">
        <v>15</v>
      </c>
      <c r="C405" s="111" t="s">
        <v>280</v>
      </c>
      <c r="D405" s="139"/>
      <c r="E405" s="53" t="s">
        <v>11</v>
      </c>
      <c r="F405" s="21" t="str">
        <f>IF(H405=-0.33,IF(H403=H$1,H403,""),"")</f>
        <v/>
      </c>
      <c r="G405" s="24"/>
      <c r="H405" s="22">
        <f>IF(H404=1,IF(H403=H$2,1,-0.33),0)</f>
        <v>0</v>
      </c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</row>
    <row r="406" spans="1:40" ht="18.75" x14ac:dyDescent="0.3">
      <c r="B406" s="76" t="s">
        <v>15</v>
      </c>
      <c r="C406" s="111" t="s">
        <v>281</v>
      </c>
      <c r="D406" s="139"/>
      <c r="E406" s="53" t="s">
        <v>12</v>
      </c>
      <c r="F406" s="25"/>
      <c r="G406" s="24"/>
      <c r="H406" s="22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ht="18.75" x14ac:dyDescent="0.3">
      <c r="B407" s="63"/>
      <c r="C407" s="113"/>
      <c r="D407" s="139"/>
      <c r="E407" s="53" t="s">
        <v>13</v>
      </c>
      <c r="F407" s="18"/>
      <c r="G407" s="24"/>
      <c r="H407" s="22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s="15" customFormat="1" ht="18.95" customHeight="1" x14ac:dyDescent="0.25">
      <c r="A408" s="4"/>
      <c r="B408" s="116" t="s">
        <v>16</v>
      </c>
      <c r="C408" s="121" t="s">
        <v>282</v>
      </c>
      <c r="D408" s="140"/>
      <c r="E408" s="52"/>
      <c r="F408" s="73"/>
      <c r="G408" s="13"/>
      <c r="H408" s="13"/>
    </row>
    <row r="409" spans="1:40" ht="18.75" x14ac:dyDescent="0.3">
      <c r="B409" s="76" t="s">
        <v>15</v>
      </c>
      <c r="C409" s="111" t="s">
        <v>283</v>
      </c>
      <c r="D409" s="139"/>
      <c r="E409" s="53" t="s">
        <v>9</v>
      </c>
      <c r="F409" s="25"/>
      <c r="G409" s="24"/>
      <c r="H409" s="19" t="b">
        <f>IF(D411="x",H$2,H$1)</f>
        <v>0</v>
      </c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ht="18.75" x14ac:dyDescent="0.3">
      <c r="B410" s="76" t="s">
        <v>15</v>
      </c>
      <c r="C410" s="111" t="s">
        <v>284</v>
      </c>
      <c r="D410" s="139"/>
      <c r="E410" s="53" t="s">
        <v>10</v>
      </c>
      <c r="F410" s="20" t="str">
        <f>IF(H411=1,IF(H409=H$2,H409,""),"")</f>
        <v/>
      </c>
      <c r="G410" s="24"/>
      <c r="H410" s="19" t="str">
        <f>IF(E$462="comprobar",COUNTIF(D409:D413,"x"),"")</f>
        <v/>
      </c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</row>
    <row r="411" spans="1:40" ht="18.75" x14ac:dyDescent="0.3">
      <c r="B411" s="76" t="s">
        <v>15</v>
      </c>
      <c r="C411" s="111" t="s">
        <v>285</v>
      </c>
      <c r="D411" s="139"/>
      <c r="E411" s="53" t="s">
        <v>11</v>
      </c>
      <c r="F411" s="21" t="str">
        <f>IF(H411=-0.33,IF(H409=H$1,H409,""),"")</f>
        <v/>
      </c>
      <c r="G411" s="24"/>
      <c r="H411" s="22">
        <f>IF(H410=1,IF(H409=H$2,1,-0.33),0)</f>
        <v>0</v>
      </c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</row>
    <row r="412" spans="1:40" ht="18.75" x14ac:dyDescent="0.3">
      <c r="B412" s="76" t="s">
        <v>15</v>
      </c>
      <c r="C412" s="111" t="s">
        <v>286</v>
      </c>
      <c r="D412" s="139"/>
      <c r="E412" s="53" t="s">
        <v>12</v>
      </c>
      <c r="F412" s="25"/>
      <c r="G412" s="24"/>
      <c r="H412" s="22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ht="18.75" x14ac:dyDescent="0.3">
      <c r="B413" s="63"/>
      <c r="C413" s="113"/>
      <c r="D413" s="139"/>
      <c r="E413" s="53" t="s">
        <v>13</v>
      </c>
      <c r="F413" s="18"/>
      <c r="G413" s="24"/>
      <c r="H413" s="22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s="15" customFormat="1" ht="35.25" customHeight="1" x14ac:dyDescent="0.25">
      <c r="A414" s="4"/>
      <c r="B414" s="116" t="s">
        <v>18</v>
      </c>
      <c r="C414" s="147" t="s">
        <v>287</v>
      </c>
      <c r="D414" s="140"/>
      <c r="E414" s="52"/>
      <c r="F414" s="27"/>
      <c r="G414" s="13"/>
      <c r="H414" s="13"/>
    </row>
    <row r="415" spans="1:40" ht="18.75" x14ac:dyDescent="0.3">
      <c r="B415" s="76" t="s">
        <v>15</v>
      </c>
      <c r="C415" s="111" t="s">
        <v>288</v>
      </c>
      <c r="D415" s="139"/>
      <c r="E415" s="53" t="s">
        <v>9</v>
      </c>
      <c r="F415" s="25"/>
      <c r="G415" s="24"/>
      <c r="H415" s="19" t="b">
        <f>IF(D418="x",H$2,H$1)</f>
        <v>0</v>
      </c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ht="18.75" x14ac:dyDescent="0.3">
      <c r="B416" s="76" t="s">
        <v>15</v>
      </c>
      <c r="C416" s="111" t="s">
        <v>289</v>
      </c>
      <c r="D416" s="139"/>
      <c r="E416" s="53" t="s">
        <v>10</v>
      </c>
      <c r="F416" s="20" t="str">
        <f>IF(H417=1,IF(H415=H$2,H415,""),"")</f>
        <v/>
      </c>
      <c r="G416" s="24"/>
      <c r="H416" s="19" t="str">
        <f>IF(E$462="comprobar",COUNTIF(D415:D419,"x"),"")</f>
        <v/>
      </c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</row>
    <row r="417" spans="1:40" ht="18.75" x14ac:dyDescent="0.3">
      <c r="B417" s="76" t="s">
        <v>15</v>
      </c>
      <c r="C417" s="111" t="s">
        <v>278</v>
      </c>
      <c r="D417" s="139"/>
      <c r="E417" s="53" t="s">
        <v>11</v>
      </c>
      <c r="F417" s="21" t="str">
        <f>IF(H417=-0.33,IF(H415=H$1,H415,""),"")</f>
        <v/>
      </c>
      <c r="G417" s="24"/>
      <c r="H417" s="22">
        <f>IF(H416=1,IF(H415=H$2,1,-0.33),0)</f>
        <v>0</v>
      </c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</row>
    <row r="418" spans="1:40" ht="18.75" x14ac:dyDescent="0.3">
      <c r="B418" s="76" t="s">
        <v>15</v>
      </c>
      <c r="C418" s="111" t="s">
        <v>290</v>
      </c>
      <c r="D418" s="139"/>
      <c r="E418" s="53" t="s">
        <v>12</v>
      </c>
      <c r="F418" s="25"/>
      <c r="G418" s="24"/>
      <c r="H418" s="22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ht="18.75" x14ac:dyDescent="0.3">
      <c r="B419" s="63"/>
      <c r="C419" s="113"/>
      <c r="D419" s="139"/>
      <c r="E419" s="53" t="s">
        <v>13</v>
      </c>
      <c r="F419" s="18"/>
      <c r="G419" s="24"/>
      <c r="H419" s="22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s="15" customFormat="1" ht="18.95" customHeight="1" x14ac:dyDescent="0.25">
      <c r="A420" s="4"/>
      <c r="B420" s="116" t="s">
        <v>19</v>
      </c>
      <c r="C420" s="147" t="s">
        <v>291</v>
      </c>
      <c r="D420" s="140"/>
      <c r="E420" s="52"/>
      <c r="F420" s="27"/>
      <c r="G420" s="13"/>
      <c r="H420" s="13"/>
    </row>
    <row r="421" spans="1:40" ht="18.75" x14ac:dyDescent="0.3">
      <c r="B421" s="76" t="s">
        <v>15</v>
      </c>
      <c r="C421" s="111" t="s">
        <v>278</v>
      </c>
      <c r="D421" s="139"/>
      <c r="E421" s="53" t="s">
        <v>9</v>
      </c>
      <c r="F421" s="25"/>
      <c r="G421" s="24"/>
      <c r="H421" s="19" t="b">
        <f>IF(D422="x",H$2,H$1)</f>
        <v>0</v>
      </c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ht="18.75" x14ac:dyDescent="0.3">
      <c r="B422" s="76" t="s">
        <v>15</v>
      </c>
      <c r="C422" s="111" t="s">
        <v>292</v>
      </c>
      <c r="D422" s="139"/>
      <c r="E422" s="53" t="s">
        <v>10</v>
      </c>
      <c r="F422" s="20" t="str">
        <f>IF(H423=1,IF(H421=H$2,H421,""),"")</f>
        <v/>
      </c>
      <c r="G422" s="24"/>
      <c r="H422" s="19" t="str">
        <f>IF(E$462="comprobar",COUNTIF(D421:D425,"x"),"")</f>
        <v/>
      </c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</row>
    <row r="423" spans="1:40" ht="18.75" x14ac:dyDescent="0.3">
      <c r="B423" s="76" t="s">
        <v>15</v>
      </c>
      <c r="C423" s="111" t="s">
        <v>293</v>
      </c>
      <c r="D423" s="139"/>
      <c r="E423" s="53" t="s">
        <v>11</v>
      </c>
      <c r="F423" s="21" t="str">
        <f>IF(H423=-0.33,IF(H421=H$1,H421,""),"")</f>
        <v/>
      </c>
      <c r="G423" s="24"/>
      <c r="H423" s="22">
        <f>IF(H422=1,IF(H421=H$2,1,-0.33),0)</f>
        <v>0</v>
      </c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</row>
    <row r="424" spans="1:40" ht="18.75" x14ac:dyDescent="0.3">
      <c r="B424" s="76" t="s">
        <v>15</v>
      </c>
      <c r="C424" s="111" t="s">
        <v>294</v>
      </c>
      <c r="D424" s="139"/>
      <c r="E424" s="53" t="s">
        <v>12</v>
      </c>
      <c r="F424" s="25"/>
      <c r="G424" s="24"/>
      <c r="H424" s="22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ht="18.75" x14ac:dyDescent="0.3">
      <c r="B425" s="63"/>
      <c r="C425" s="113"/>
      <c r="D425" s="139"/>
      <c r="E425" s="53" t="s">
        <v>13</v>
      </c>
      <c r="F425" s="18"/>
      <c r="G425" s="24"/>
      <c r="H425" s="22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s="15" customFormat="1" x14ac:dyDescent="0.25">
      <c r="A426" s="4"/>
      <c r="B426" s="116" t="s">
        <v>20</v>
      </c>
      <c r="C426" s="121" t="s">
        <v>295</v>
      </c>
      <c r="D426" s="140"/>
      <c r="E426" s="52"/>
      <c r="F426" s="27"/>
      <c r="G426" s="13"/>
      <c r="H426" s="13"/>
    </row>
    <row r="427" spans="1:40" ht="18.75" x14ac:dyDescent="0.3">
      <c r="B427" s="76" t="s">
        <v>15</v>
      </c>
      <c r="C427" s="111" t="s">
        <v>296</v>
      </c>
      <c r="D427" s="139"/>
      <c r="E427" s="53" t="s">
        <v>9</v>
      </c>
      <c r="F427" s="25"/>
      <c r="G427" s="24"/>
      <c r="H427" s="19" t="b">
        <f>IF(D428="x",H$2,H$1)</f>
        <v>0</v>
      </c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ht="18.75" x14ac:dyDescent="0.3">
      <c r="B428" s="76" t="s">
        <v>15</v>
      </c>
      <c r="C428" s="111" t="s">
        <v>297</v>
      </c>
      <c r="D428" s="139"/>
      <c r="E428" s="53" t="s">
        <v>10</v>
      </c>
      <c r="F428" s="20" t="str">
        <f>IF(H429=1,IF(H427=H$2,H427,""),"")</f>
        <v/>
      </c>
      <c r="G428" s="24"/>
      <c r="H428" s="19" t="str">
        <f>IF(E$462="comprobar",COUNTIF(D427:D431,"x"),"")</f>
        <v/>
      </c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</row>
    <row r="429" spans="1:40" ht="18.75" x14ac:dyDescent="0.3">
      <c r="B429" s="76" t="s">
        <v>15</v>
      </c>
      <c r="C429" s="111" t="s">
        <v>298</v>
      </c>
      <c r="D429" s="139"/>
      <c r="E429" s="53" t="s">
        <v>11</v>
      </c>
      <c r="F429" s="21" t="str">
        <f>IF(H429=-0.33,IF(H427=H$1,H427,""),"")</f>
        <v/>
      </c>
      <c r="G429" s="24"/>
      <c r="H429" s="22">
        <f>IF(H428=1,IF(H427=H$2,1,-0.33),0)</f>
        <v>0</v>
      </c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</row>
    <row r="430" spans="1:40" ht="18.75" x14ac:dyDescent="0.3">
      <c r="B430" s="76" t="s">
        <v>15</v>
      </c>
      <c r="C430" s="111" t="s">
        <v>299</v>
      </c>
      <c r="D430" s="139"/>
      <c r="E430" s="53" t="s">
        <v>12</v>
      </c>
      <c r="F430" s="25"/>
      <c r="G430" s="24"/>
      <c r="H430" s="22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ht="18.75" x14ac:dyDescent="0.3">
      <c r="B431" s="63"/>
      <c r="C431" s="113"/>
      <c r="D431" s="139"/>
      <c r="E431" s="53" t="s">
        <v>13</v>
      </c>
      <c r="F431" s="18"/>
      <c r="G431" s="24"/>
      <c r="H431" s="22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s="15" customFormat="1" x14ac:dyDescent="0.25">
      <c r="A432" s="4"/>
      <c r="B432" s="116" t="s">
        <v>21</v>
      </c>
      <c r="C432" s="121" t="s">
        <v>300</v>
      </c>
      <c r="D432" s="140"/>
      <c r="E432" s="52"/>
      <c r="F432" s="27"/>
      <c r="G432" s="13"/>
      <c r="H432" s="13"/>
    </row>
    <row r="433" spans="1:40" ht="18.75" x14ac:dyDescent="0.3">
      <c r="B433" s="76" t="s">
        <v>15</v>
      </c>
      <c r="C433" s="111" t="s">
        <v>278</v>
      </c>
      <c r="D433" s="139"/>
      <c r="E433" s="53" t="s">
        <v>9</v>
      </c>
      <c r="F433" s="25"/>
      <c r="G433" s="24"/>
      <c r="H433" s="19" t="b">
        <f>IF(D435="x",H$2,H$1)</f>
        <v>0</v>
      </c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ht="18.75" x14ac:dyDescent="0.3">
      <c r="B434" s="76" t="s">
        <v>15</v>
      </c>
      <c r="C434" s="111" t="s">
        <v>301</v>
      </c>
      <c r="D434" s="139"/>
      <c r="E434" s="53" t="s">
        <v>10</v>
      </c>
      <c r="F434" s="20" t="str">
        <f>IF(H435=1,IF(H433=H$2,H433,""),"")</f>
        <v/>
      </c>
      <c r="G434" s="24"/>
      <c r="H434" s="19" t="str">
        <f>IF(E$462="comprobar",COUNTIF(D433:D437,"x"),"")</f>
        <v/>
      </c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</row>
    <row r="435" spans="1:40" ht="18.75" x14ac:dyDescent="0.3">
      <c r="B435" s="76" t="s">
        <v>15</v>
      </c>
      <c r="C435" s="111" t="s">
        <v>302</v>
      </c>
      <c r="D435" s="139"/>
      <c r="E435" s="53" t="s">
        <v>11</v>
      </c>
      <c r="F435" s="21" t="str">
        <f>IF(H435=-0.33,IF(H433=H$1,H433,""),"")</f>
        <v/>
      </c>
      <c r="G435" s="24"/>
      <c r="H435" s="22">
        <f>IF(H434=1,IF(H433=H$2,1,-0.33),0)</f>
        <v>0</v>
      </c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</row>
    <row r="436" spans="1:40" ht="18.75" x14ac:dyDescent="0.3">
      <c r="B436" s="76" t="s">
        <v>15</v>
      </c>
      <c r="C436" s="111" t="s">
        <v>303</v>
      </c>
      <c r="D436" s="139"/>
      <c r="E436" s="53" t="s">
        <v>12</v>
      </c>
      <c r="F436" s="25"/>
      <c r="G436" s="24"/>
      <c r="H436" s="22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ht="18.75" x14ac:dyDescent="0.3">
      <c r="B437" s="63"/>
      <c r="C437" s="113"/>
      <c r="D437" s="139"/>
      <c r="E437" s="53" t="s">
        <v>13</v>
      </c>
      <c r="F437" s="18"/>
      <c r="G437" s="24"/>
      <c r="H437" s="22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s="15" customFormat="1" x14ac:dyDescent="0.25">
      <c r="A438" s="4"/>
      <c r="B438" s="116" t="s">
        <v>22</v>
      </c>
      <c r="C438" s="121" t="s">
        <v>304</v>
      </c>
      <c r="D438" s="140"/>
      <c r="E438" s="52"/>
      <c r="F438" s="27"/>
      <c r="G438" s="13"/>
      <c r="H438" s="13"/>
    </row>
    <row r="439" spans="1:40" ht="18.75" x14ac:dyDescent="0.3">
      <c r="B439" s="76" t="s">
        <v>15</v>
      </c>
      <c r="C439" s="111" t="s">
        <v>305</v>
      </c>
      <c r="D439" s="139"/>
      <c r="E439" s="53" t="s">
        <v>9</v>
      </c>
      <c r="F439" s="25"/>
      <c r="G439" s="24"/>
      <c r="H439" s="19" t="b">
        <f>IF(D441="x",H$2,H$1)</f>
        <v>0</v>
      </c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ht="18.75" x14ac:dyDescent="0.3">
      <c r="B440" s="76" t="s">
        <v>15</v>
      </c>
      <c r="C440" s="111" t="s">
        <v>306</v>
      </c>
      <c r="D440" s="139"/>
      <c r="E440" s="53" t="s">
        <v>10</v>
      </c>
      <c r="F440" s="20" t="str">
        <f>IF(H441=1,IF(H439=H$2,H439,""),"")</f>
        <v/>
      </c>
      <c r="G440" s="24"/>
      <c r="H440" s="19" t="str">
        <f>IF(E$462="comprobar",COUNTIF(D439:D443,"x"),"")</f>
        <v/>
      </c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</row>
    <row r="441" spans="1:40" ht="18.75" x14ac:dyDescent="0.3">
      <c r="B441" s="76" t="s">
        <v>15</v>
      </c>
      <c r="C441" s="111" t="s">
        <v>307</v>
      </c>
      <c r="D441" s="139"/>
      <c r="E441" s="53" t="s">
        <v>11</v>
      </c>
      <c r="F441" s="21" t="str">
        <f>IF(H441=-0.33,IF(H439=H$1,H439,""),"")</f>
        <v/>
      </c>
      <c r="G441" s="24"/>
      <c r="H441" s="22">
        <f>IF(H440=1,IF(H439=H$2,1,-0.33),0)</f>
        <v>0</v>
      </c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</row>
    <row r="442" spans="1:40" ht="18.75" x14ac:dyDescent="0.3">
      <c r="B442" s="76" t="s">
        <v>15</v>
      </c>
      <c r="C442" s="111" t="s">
        <v>308</v>
      </c>
      <c r="D442" s="139"/>
      <c r="E442" s="53" t="s">
        <v>12</v>
      </c>
      <c r="F442" s="25"/>
      <c r="G442" s="24"/>
      <c r="H442" s="22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ht="18.75" x14ac:dyDescent="0.3">
      <c r="B443" s="63"/>
      <c r="C443" s="113"/>
      <c r="D443" s="139"/>
      <c r="E443" s="53" t="s">
        <v>13</v>
      </c>
      <c r="F443" s="18"/>
      <c r="G443" s="24"/>
      <c r="H443" s="22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s="15" customFormat="1" x14ac:dyDescent="0.25">
      <c r="A444" s="4"/>
      <c r="B444" s="116" t="s">
        <v>23</v>
      </c>
      <c r="C444" s="121" t="s">
        <v>309</v>
      </c>
      <c r="D444" s="140"/>
      <c r="E444" s="52"/>
      <c r="F444" s="27"/>
      <c r="G444" s="13"/>
      <c r="H444" s="13"/>
    </row>
    <row r="445" spans="1:40" ht="18.75" x14ac:dyDescent="0.3">
      <c r="B445" s="76" t="s">
        <v>15</v>
      </c>
      <c r="C445" s="111" t="s">
        <v>310</v>
      </c>
      <c r="D445" s="139"/>
      <c r="E445" s="53" t="s">
        <v>9</v>
      </c>
      <c r="F445" s="25"/>
      <c r="G445" s="24"/>
      <c r="H445" s="19" t="b">
        <f>IF(D445="x",H$2,H$1)</f>
        <v>0</v>
      </c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</row>
    <row r="446" spans="1:40" ht="18.75" x14ac:dyDescent="0.3">
      <c r="B446" s="76" t="s">
        <v>15</v>
      </c>
      <c r="C446" s="111" t="s">
        <v>311</v>
      </c>
      <c r="D446" s="139"/>
      <c r="E446" s="53" t="s">
        <v>10</v>
      </c>
      <c r="F446" s="20" t="str">
        <f>IF(H447=1,IF(H445=H$2,H445,""),"")</f>
        <v/>
      </c>
      <c r="G446" s="24"/>
      <c r="H446" s="19" t="str">
        <f>IF(E$462="comprobar",COUNTIF(D445:D449,"x"),"")</f>
        <v/>
      </c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</row>
    <row r="447" spans="1:40" ht="18.75" x14ac:dyDescent="0.3">
      <c r="B447" s="76" t="s">
        <v>15</v>
      </c>
      <c r="C447" s="111" t="s">
        <v>312</v>
      </c>
      <c r="D447" s="139"/>
      <c r="E447" s="53" t="s">
        <v>11</v>
      </c>
      <c r="F447" s="21" t="str">
        <f>IF(H447=-0.33,IF(H445=H$1,H445,""),"")</f>
        <v/>
      </c>
      <c r="G447" s="24"/>
      <c r="H447" s="22">
        <f>IF(H446=1,IF(H445=H$2,1,-0.33),0)</f>
        <v>0</v>
      </c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ht="18.75" x14ac:dyDescent="0.3">
      <c r="B448" s="76" t="s">
        <v>15</v>
      </c>
      <c r="C448" s="111" t="s">
        <v>278</v>
      </c>
      <c r="D448" s="139"/>
      <c r="E448" s="53" t="s">
        <v>12</v>
      </c>
      <c r="F448" s="25"/>
      <c r="G448" s="24"/>
      <c r="H448" s="22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ht="18.75" x14ac:dyDescent="0.3">
      <c r="B449" s="63"/>
      <c r="C449" s="113"/>
      <c r="D449" s="139"/>
      <c r="E449" s="53" t="s">
        <v>13</v>
      </c>
      <c r="F449" s="18"/>
      <c r="G449" s="24"/>
      <c r="H449" s="22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s="15" customFormat="1" x14ac:dyDescent="0.25">
      <c r="A450" s="4"/>
      <c r="B450" s="116" t="s">
        <v>27</v>
      </c>
      <c r="C450" s="121" t="s">
        <v>313</v>
      </c>
      <c r="D450" s="140"/>
      <c r="E450" s="52"/>
      <c r="F450" s="27"/>
      <c r="G450" s="13"/>
      <c r="H450" s="13"/>
    </row>
    <row r="451" spans="1:40" ht="18.75" x14ac:dyDescent="0.3">
      <c r="B451" s="76" t="s">
        <v>15</v>
      </c>
      <c r="C451" s="111" t="s">
        <v>278</v>
      </c>
      <c r="D451" s="139"/>
      <c r="E451" s="53" t="s">
        <v>9</v>
      </c>
      <c r="F451" s="25"/>
      <c r="G451" s="24"/>
      <c r="H451" s="19" t="b">
        <f>IF(D454="x",H$2,H$1)</f>
        <v>0</v>
      </c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</row>
    <row r="452" spans="1:40" ht="18.75" x14ac:dyDescent="0.3">
      <c r="B452" s="76" t="s">
        <v>15</v>
      </c>
      <c r="C452" s="111" t="s">
        <v>314</v>
      </c>
      <c r="D452" s="139"/>
      <c r="E452" s="53" t="s">
        <v>10</v>
      </c>
      <c r="F452" s="20" t="str">
        <f>IF(H453=1,IF(H451=H$2,H451,""),"")</f>
        <v/>
      </c>
      <c r="G452" s="24"/>
      <c r="H452" s="19" t="str">
        <f>IF(E$462="comprobar",COUNTIF(D451:D455,"x"),"")</f>
        <v/>
      </c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</row>
    <row r="453" spans="1:40" ht="18.75" x14ac:dyDescent="0.3">
      <c r="B453" s="76" t="s">
        <v>15</v>
      </c>
      <c r="C453" s="111" t="s">
        <v>315</v>
      </c>
      <c r="D453" s="139"/>
      <c r="E453" s="53" t="s">
        <v>11</v>
      </c>
      <c r="F453" s="21" t="str">
        <f>IF(H453=-0.33,IF(H451=H$1,H451,""),"")</f>
        <v/>
      </c>
      <c r="G453" s="24"/>
      <c r="H453" s="22">
        <f>IF(H452=1,IF(H451=H$2,1,-0.33),0)</f>
        <v>0</v>
      </c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ht="18.75" x14ac:dyDescent="0.3">
      <c r="B454" s="76" t="s">
        <v>15</v>
      </c>
      <c r="C454" s="111" t="s">
        <v>316</v>
      </c>
      <c r="D454" s="139"/>
      <c r="E454" s="53" t="s">
        <v>12</v>
      </c>
      <c r="F454" s="25"/>
      <c r="G454" s="24"/>
      <c r="H454" s="22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ht="18.75" x14ac:dyDescent="0.3">
      <c r="B455" s="63"/>
      <c r="C455" s="113"/>
      <c r="D455" s="139"/>
      <c r="E455" s="53" t="s">
        <v>13</v>
      </c>
      <c r="F455" s="18"/>
      <c r="G455" s="24"/>
      <c r="H455" s="22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s="15" customFormat="1" x14ac:dyDescent="0.25">
      <c r="A456" s="4"/>
      <c r="B456" s="116" t="s">
        <v>25</v>
      </c>
      <c r="C456" s="121" t="s">
        <v>317</v>
      </c>
      <c r="D456" s="140"/>
      <c r="E456" s="52"/>
      <c r="F456" s="27"/>
      <c r="G456" s="13"/>
      <c r="H456" s="13"/>
    </row>
    <row r="457" spans="1:40" ht="18.75" x14ac:dyDescent="0.3">
      <c r="B457" s="76" t="s">
        <v>15</v>
      </c>
      <c r="C457" s="111" t="s">
        <v>318</v>
      </c>
      <c r="D457" s="139"/>
      <c r="E457" s="53" t="s">
        <v>9</v>
      </c>
      <c r="F457" s="25"/>
      <c r="G457" s="24"/>
      <c r="H457" s="19" t="b">
        <f>IF(D459="x",H$2,H$1)</f>
        <v>0</v>
      </c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</row>
    <row r="458" spans="1:40" ht="18.75" x14ac:dyDescent="0.3">
      <c r="B458" s="76" t="s">
        <v>15</v>
      </c>
      <c r="C458" s="111" t="s">
        <v>278</v>
      </c>
      <c r="D458" s="139"/>
      <c r="E458" s="53" t="s">
        <v>10</v>
      </c>
      <c r="F458" s="20" t="str">
        <f>IF(H459=1,IF(H457=H$2,H457,""),"")</f>
        <v/>
      </c>
      <c r="G458" s="24"/>
      <c r="H458" s="19" t="str">
        <f>IF(E$462="comprobar",COUNTIF(D457:D461,"x"),"")</f>
        <v/>
      </c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ht="18.75" x14ac:dyDescent="0.3">
      <c r="B459" s="76" t="s">
        <v>15</v>
      </c>
      <c r="C459" s="111" t="s">
        <v>319</v>
      </c>
      <c r="D459" s="139"/>
      <c r="E459" s="53" t="s">
        <v>11</v>
      </c>
      <c r="F459" s="21" t="str">
        <f>IF(H459=-0.33,IF(H457=H$1,H457,""),"")</f>
        <v/>
      </c>
      <c r="G459" s="24"/>
      <c r="H459" s="22">
        <f>IF(H458=1,IF(H457=H$2,1,-0.33),0)</f>
        <v>0</v>
      </c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ht="18.75" x14ac:dyDescent="0.3">
      <c r="B460" s="76" t="s">
        <v>15</v>
      </c>
      <c r="C460" s="111" t="s">
        <v>320</v>
      </c>
      <c r="D460" s="139"/>
      <c r="E460" s="53" t="s">
        <v>12</v>
      </c>
      <c r="F460" s="25"/>
      <c r="G460" s="24"/>
      <c r="H460" s="22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ht="18.75" x14ac:dyDescent="0.3">
      <c r="B461" s="63"/>
      <c r="C461" s="113"/>
      <c r="D461" s="38"/>
      <c r="E461" s="53" t="s">
        <v>13</v>
      </c>
      <c r="F461" s="18"/>
      <c r="G461" s="24"/>
      <c r="H461" s="22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 x14ac:dyDescent="0.25">
      <c r="B462" s="63"/>
      <c r="C462" s="64"/>
      <c r="D462" s="48"/>
      <c r="E462" s="54"/>
      <c r="F462" s="18"/>
      <c r="H462" s="17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 x14ac:dyDescent="0.25">
      <c r="B463" s="44"/>
      <c r="C463" s="40"/>
      <c r="D463" s="48"/>
      <c r="E463" s="54"/>
      <c r="F463" s="18"/>
      <c r="G463" s="17" t="s">
        <v>6</v>
      </c>
      <c r="H463" s="17" t="s">
        <v>7</v>
      </c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</row>
    <row r="464" spans="1:40" ht="19.5" x14ac:dyDescent="0.25">
      <c r="B464" s="44"/>
      <c r="C464" s="16"/>
      <c r="D464" s="125"/>
      <c r="E464" s="51"/>
      <c r="F464" s="29" t="str">
        <f>IF(E$462="comprobar",H405+H411+H417+H423+H429+H435+H441+H447+H453+H459,"")</f>
        <v/>
      </c>
      <c r="G464" s="17">
        <f>10/2</f>
        <v>5</v>
      </c>
      <c r="H464" s="17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</row>
    <row r="465" spans="1:40" ht="16.5" thickBot="1" x14ac:dyDescent="0.3">
      <c r="B465" s="45"/>
      <c r="C465" s="30"/>
      <c r="D465" s="31"/>
      <c r="E465" s="55"/>
      <c r="F465" s="32" t="str">
        <f>IF(F464&gt;G464,G463,H463)</f>
        <v>APROBADO</v>
      </c>
      <c r="G465" s="17"/>
      <c r="H465" s="17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ht="28.5" x14ac:dyDescent="0.45">
      <c r="B466" s="60" t="s">
        <v>31</v>
      </c>
      <c r="C466" s="126" t="s">
        <v>570</v>
      </c>
      <c r="D466" s="126"/>
      <c r="E466" s="126"/>
      <c r="F466" s="127"/>
    </row>
    <row r="467" spans="1:40" s="15" customFormat="1" x14ac:dyDescent="0.25">
      <c r="A467" s="4"/>
      <c r="B467" s="116" t="s">
        <v>17</v>
      </c>
      <c r="C467" s="121"/>
      <c r="D467" s="12"/>
      <c r="E467" s="12"/>
      <c r="F467" s="14"/>
      <c r="G467" s="26"/>
      <c r="H467" s="13"/>
    </row>
    <row r="468" spans="1:40" x14ac:dyDescent="0.25">
      <c r="B468" s="76" t="s">
        <v>15</v>
      </c>
      <c r="C468" s="109"/>
      <c r="D468" s="38"/>
      <c r="E468" s="125" t="s">
        <v>9</v>
      </c>
      <c r="F468" s="18"/>
      <c r="G468" s="24"/>
      <c r="H468" s="19" t="b">
        <f>IF(D468="x",H$2,H$1)</f>
        <v>0</v>
      </c>
    </row>
    <row r="469" spans="1:40" x14ac:dyDescent="0.25">
      <c r="B469" s="76" t="s">
        <v>15</v>
      </c>
      <c r="C469" s="109"/>
      <c r="D469" s="38"/>
      <c r="E469" s="125" t="s">
        <v>10</v>
      </c>
      <c r="F469" s="20" t="str">
        <f>IF(H470=1,IF(H468=H$2,H468,""),"")</f>
        <v/>
      </c>
      <c r="G469" s="24"/>
      <c r="H469" s="19" t="str">
        <f>IF(E$529="comprobar",COUNTIF(D468:D472,"x"),"")</f>
        <v/>
      </c>
    </row>
    <row r="470" spans="1:40" x14ac:dyDescent="0.25">
      <c r="B470" s="76" t="s">
        <v>15</v>
      </c>
      <c r="C470" s="109"/>
      <c r="D470" s="38"/>
      <c r="E470" s="125" t="s">
        <v>11</v>
      </c>
      <c r="F470" s="21" t="str">
        <f>IF(H470=-0.33,IF(H468=H$1,H468,""),"")</f>
        <v/>
      </c>
      <c r="G470" s="24"/>
      <c r="H470" s="22">
        <f>IF(H469=1,IF(H468=H$2,1,-0.33),0)</f>
        <v>0</v>
      </c>
    </row>
    <row r="471" spans="1:40" x14ac:dyDescent="0.25">
      <c r="B471" s="76" t="s">
        <v>15</v>
      </c>
      <c r="C471" s="109"/>
      <c r="D471" s="38"/>
      <c r="E471" s="125" t="s">
        <v>12</v>
      </c>
      <c r="F471" s="18"/>
      <c r="G471" s="24"/>
      <c r="H471" s="22"/>
    </row>
    <row r="472" spans="1:40" x14ac:dyDescent="0.25">
      <c r="B472" s="42"/>
      <c r="C472" s="109"/>
      <c r="D472" s="38"/>
      <c r="E472" s="125" t="s">
        <v>13</v>
      </c>
      <c r="F472" s="18"/>
      <c r="G472" s="17"/>
      <c r="H472" s="22"/>
    </row>
    <row r="473" spans="1:40" s="15" customFormat="1" x14ac:dyDescent="0.25">
      <c r="A473" s="4"/>
      <c r="B473" s="122" t="s">
        <v>16</v>
      </c>
      <c r="C473" s="123"/>
      <c r="D473" s="39"/>
      <c r="E473" s="12"/>
      <c r="F473" s="14"/>
      <c r="G473" s="26"/>
      <c r="H473" s="13"/>
    </row>
    <row r="474" spans="1:40" x14ac:dyDescent="0.25">
      <c r="B474" s="76" t="s">
        <v>15</v>
      </c>
      <c r="C474" s="109"/>
      <c r="D474" s="38"/>
      <c r="E474" s="125" t="s">
        <v>9</v>
      </c>
      <c r="F474" s="18"/>
      <c r="G474" s="24"/>
      <c r="H474" s="19" t="b">
        <f>IF(D476="x",H$2,H$1)</f>
        <v>0</v>
      </c>
    </row>
    <row r="475" spans="1:40" x14ac:dyDescent="0.25">
      <c r="B475" s="76" t="s">
        <v>15</v>
      </c>
      <c r="C475" s="109"/>
      <c r="D475" s="38"/>
      <c r="E475" s="125" t="s">
        <v>10</v>
      </c>
      <c r="F475" s="20" t="str">
        <f>IF(H476=1,IF(H474=H$2,H474,""),"")</f>
        <v/>
      </c>
      <c r="G475" s="24"/>
      <c r="H475" s="19" t="str">
        <f>IF(E$529="comprobar",COUNTIF(D474:D478,"x"),"")</f>
        <v/>
      </c>
    </row>
    <row r="476" spans="1:40" x14ac:dyDescent="0.25">
      <c r="B476" s="76" t="s">
        <v>15</v>
      </c>
      <c r="C476" s="110"/>
      <c r="D476" s="38"/>
      <c r="E476" s="125" t="s">
        <v>11</v>
      </c>
      <c r="F476" s="21" t="str">
        <f>IF(H476=-0.33,IF(H474=H$1,H474,""),"")</f>
        <v/>
      </c>
      <c r="G476" s="24"/>
      <c r="H476" s="22">
        <f t="shared" ref="H476" si="35">IF(H475=1,IF(H474=H$2,1,-0.33),0)</f>
        <v>0</v>
      </c>
    </row>
    <row r="477" spans="1:40" x14ac:dyDescent="0.25">
      <c r="B477" s="76" t="s">
        <v>15</v>
      </c>
      <c r="C477" s="109"/>
      <c r="D477" s="38"/>
      <c r="E477" s="125" t="s">
        <v>12</v>
      </c>
      <c r="F477" s="18"/>
      <c r="G477" s="24"/>
      <c r="H477" s="22"/>
    </row>
    <row r="478" spans="1:40" x14ac:dyDescent="0.25">
      <c r="B478" s="76"/>
      <c r="C478" s="109"/>
      <c r="D478" s="38"/>
      <c r="E478" s="125" t="s">
        <v>13</v>
      </c>
      <c r="F478" s="18"/>
      <c r="G478" s="17"/>
      <c r="H478" s="22"/>
    </row>
    <row r="479" spans="1:40" s="15" customFormat="1" x14ac:dyDescent="0.25">
      <c r="A479" s="4"/>
      <c r="B479" s="122" t="s">
        <v>18</v>
      </c>
      <c r="C479" s="124"/>
      <c r="D479" s="39"/>
      <c r="E479" s="12"/>
      <c r="F479" s="14"/>
      <c r="G479" s="26"/>
      <c r="H479" s="13"/>
    </row>
    <row r="480" spans="1:40" x14ac:dyDescent="0.25">
      <c r="B480" s="76" t="s">
        <v>15</v>
      </c>
      <c r="C480" s="109"/>
      <c r="D480" s="38"/>
      <c r="E480" s="125" t="s">
        <v>9</v>
      </c>
      <c r="F480" s="18"/>
      <c r="G480" s="24"/>
      <c r="H480" s="19" t="b">
        <f>IF(D482="x",H$2,H$1)</f>
        <v>0</v>
      </c>
    </row>
    <row r="481" spans="1:8" x14ac:dyDescent="0.25">
      <c r="B481" s="76" t="s">
        <v>15</v>
      </c>
      <c r="C481" s="109"/>
      <c r="D481" s="38"/>
      <c r="E481" s="125" t="s">
        <v>10</v>
      </c>
      <c r="F481" s="20" t="str">
        <f>IF(H482=1,IF(H480=H$2,H480,""),"")</f>
        <v/>
      </c>
      <c r="G481" s="24"/>
      <c r="H481" s="19" t="str">
        <f>IF(E$529="comprobar",COUNTIF(D480:D484,"x"),"")</f>
        <v/>
      </c>
    </row>
    <row r="482" spans="1:8" x14ac:dyDescent="0.25">
      <c r="B482" s="76" t="s">
        <v>15</v>
      </c>
      <c r="C482" s="109"/>
      <c r="D482" s="38"/>
      <c r="E482" s="125" t="s">
        <v>11</v>
      </c>
      <c r="F482" s="21" t="str">
        <f>IF(H482=-0.33,IF(H480=H$1,H480,""),"")</f>
        <v/>
      </c>
      <c r="G482" s="24"/>
      <c r="H482" s="22">
        <f t="shared" ref="H482" si="36">IF(H481=1,IF(H480=H$2,1,-0.33),0)</f>
        <v>0</v>
      </c>
    </row>
    <row r="483" spans="1:8" x14ac:dyDescent="0.25">
      <c r="B483" s="76" t="s">
        <v>15</v>
      </c>
      <c r="C483" s="109"/>
      <c r="D483" s="38"/>
      <c r="E483" s="125" t="s">
        <v>12</v>
      </c>
      <c r="F483" s="18"/>
      <c r="G483" s="24"/>
      <c r="H483" s="22"/>
    </row>
    <row r="484" spans="1:8" x14ac:dyDescent="0.25">
      <c r="B484" s="76"/>
      <c r="C484" s="109"/>
      <c r="D484" s="38"/>
      <c r="E484" s="125" t="s">
        <v>13</v>
      </c>
      <c r="F484" s="18"/>
      <c r="G484" s="17"/>
      <c r="H484" s="22"/>
    </row>
    <row r="485" spans="1:8" s="15" customFormat="1" x14ac:dyDescent="0.25">
      <c r="A485" s="4"/>
      <c r="B485" s="122" t="s">
        <v>19</v>
      </c>
      <c r="C485" s="123"/>
      <c r="D485" s="39"/>
      <c r="E485" s="12"/>
      <c r="F485" s="14"/>
      <c r="G485" s="26"/>
      <c r="H485" s="13"/>
    </row>
    <row r="486" spans="1:8" x14ac:dyDescent="0.25">
      <c r="B486" s="76" t="s">
        <v>15</v>
      </c>
      <c r="C486" s="109"/>
      <c r="D486" s="38"/>
      <c r="E486" s="125" t="s">
        <v>9</v>
      </c>
      <c r="F486" s="18"/>
      <c r="G486" s="24"/>
      <c r="H486" s="19" t="b">
        <f>IF(D488="x",H$2,H$1)</f>
        <v>0</v>
      </c>
    </row>
    <row r="487" spans="1:8" x14ac:dyDescent="0.25">
      <c r="B487" s="76" t="s">
        <v>15</v>
      </c>
      <c r="C487" s="109"/>
      <c r="D487" s="38"/>
      <c r="E487" s="125" t="s">
        <v>10</v>
      </c>
      <c r="F487" s="20" t="str">
        <f>IF(H488=1,IF(H486=H$2,H486,""),"")</f>
        <v/>
      </c>
      <c r="G487" s="24"/>
      <c r="H487" s="19" t="str">
        <f>IF(E$529="comprobar",COUNTIF(D486:D490,"x"),"")</f>
        <v/>
      </c>
    </row>
    <row r="488" spans="1:8" x14ac:dyDescent="0.25">
      <c r="B488" s="76" t="s">
        <v>15</v>
      </c>
      <c r="C488" s="109"/>
      <c r="D488" s="38"/>
      <c r="E488" s="125" t="s">
        <v>11</v>
      </c>
      <c r="F488" s="21" t="str">
        <f>IF(H488=-0.33,IF(H486=H$1,H486,""),"")</f>
        <v/>
      </c>
      <c r="G488" s="24"/>
      <c r="H488" s="22">
        <f t="shared" ref="H488" si="37">IF(H487=1,IF(H486=H$2,1,-0.33),0)</f>
        <v>0</v>
      </c>
    </row>
    <row r="489" spans="1:8" x14ac:dyDescent="0.25">
      <c r="B489" s="76" t="s">
        <v>15</v>
      </c>
      <c r="C489" s="109"/>
      <c r="D489" s="38"/>
      <c r="E489" s="125" t="s">
        <v>12</v>
      </c>
      <c r="F489" s="18"/>
      <c r="G489" s="24"/>
      <c r="H489" s="22"/>
    </row>
    <row r="490" spans="1:8" x14ac:dyDescent="0.25">
      <c r="B490" s="76"/>
      <c r="C490" s="109"/>
      <c r="D490" s="38"/>
      <c r="E490" s="125" t="s">
        <v>13</v>
      </c>
      <c r="F490" s="18"/>
      <c r="G490" s="17"/>
      <c r="H490" s="22"/>
    </row>
    <row r="491" spans="1:8" s="15" customFormat="1" x14ac:dyDescent="0.25">
      <c r="A491" s="4"/>
      <c r="B491" s="122" t="s">
        <v>20</v>
      </c>
      <c r="C491" s="123"/>
      <c r="D491" s="39"/>
      <c r="E491" s="12"/>
      <c r="F491" s="14"/>
      <c r="G491" s="26"/>
      <c r="H491" s="13"/>
    </row>
    <row r="492" spans="1:8" x14ac:dyDescent="0.25">
      <c r="B492" s="76" t="s">
        <v>15</v>
      </c>
      <c r="C492" s="108"/>
      <c r="D492" s="38"/>
      <c r="E492" s="125" t="s">
        <v>9</v>
      </c>
      <c r="F492" s="18"/>
      <c r="G492" s="24"/>
      <c r="H492" s="19" t="b">
        <f>IF(D494="x",H$2,H$1)</f>
        <v>0</v>
      </c>
    </row>
    <row r="493" spans="1:8" x14ac:dyDescent="0.25">
      <c r="B493" s="76" t="s">
        <v>15</v>
      </c>
      <c r="C493" s="109"/>
      <c r="D493" s="38"/>
      <c r="E493" s="125" t="s">
        <v>10</v>
      </c>
      <c r="F493" s="20" t="str">
        <f>IF(H494=1,IF(H492=H$2,H492,""),"")</f>
        <v/>
      </c>
      <c r="G493" s="24"/>
      <c r="H493" s="19" t="str">
        <f>IF(E$529="comprobar",COUNTIF(D492:D496,"x"),"")</f>
        <v/>
      </c>
    </row>
    <row r="494" spans="1:8" x14ac:dyDescent="0.25">
      <c r="B494" s="76" t="s">
        <v>15</v>
      </c>
      <c r="C494" s="109"/>
      <c r="D494" s="38"/>
      <c r="E494" s="125" t="s">
        <v>11</v>
      </c>
      <c r="F494" s="21" t="str">
        <f>IF(H494=-0.33,IF(H492=H$1,H492,""),"")</f>
        <v/>
      </c>
      <c r="G494" s="24"/>
      <c r="H494" s="22">
        <f t="shared" ref="H494" si="38">IF(H493=1,IF(H492=H$2,1,-0.33),0)</f>
        <v>0</v>
      </c>
    </row>
    <row r="495" spans="1:8" x14ac:dyDescent="0.25">
      <c r="B495" s="76" t="s">
        <v>15</v>
      </c>
      <c r="C495" s="109"/>
      <c r="D495" s="38"/>
      <c r="E495" s="125" t="s">
        <v>12</v>
      </c>
      <c r="F495" s="18"/>
      <c r="G495" s="24"/>
      <c r="H495" s="22"/>
    </row>
    <row r="496" spans="1:8" x14ac:dyDescent="0.25">
      <c r="B496" s="76"/>
      <c r="C496" s="16"/>
      <c r="D496" s="38"/>
      <c r="E496" s="125" t="s">
        <v>13</v>
      </c>
      <c r="F496" s="18"/>
      <c r="G496" s="17"/>
      <c r="H496" s="22"/>
    </row>
    <row r="497" spans="1:8" s="15" customFormat="1" x14ac:dyDescent="0.25">
      <c r="A497" s="4"/>
      <c r="B497" s="122" t="s">
        <v>21</v>
      </c>
      <c r="C497" s="124"/>
      <c r="D497" s="39"/>
      <c r="E497" s="12"/>
      <c r="F497" s="14"/>
      <c r="G497" s="26"/>
      <c r="H497" s="13"/>
    </row>
    <row r="498" spans="1:8" x14ac:dyDescent="0.25">
      <c r="B498" s="76" t="s">
        <v>15</v>
      </c>
      <c r="C498" s="108"/>
      <c r="D498" s="38"/>
      <c r="E498" s="125" t="s">
        <v>9</v>
      </c>
      <c r="F498" s="18"/>
      <c r="G498" s="24"/>
      <c r="H498" s="19" t="b">
        <f>IF(D499="x",H$2,H$1)</f>
        <v>0</v>
      </c>
    </row>
    <row r="499" spans="1:8" x14ac:dyDescent="0.25">
      <c r="B499" s="76" t="s">
        <v>15</v>
      </c>
      <c r="C499" s="109"/>
      <c r="D499" s="38"/>
      <c r="E499" s="125" t="s">
        <v>10</v>
      </c>
      <c r="F499" s="20" t="str">
        <f>IF(H500=1,IF(H498=H$2,H498,""),"")</f>
        <v/>
      </c>
      <c r="G499" s="24"/>
      <c r="H499" s="19" t="str">
        <f>IF(E$529="comprobar",COUNTIF(D498:D502,"x"),"")</f>
        <v/>
      </c>
    </row>
    <row r="500" spans="1:8" x14ac:dyDescent="0.25">
      <c r="B500" s="76" t="s">
        <v>15</v>
      </c>
      <c r="C500" s="109"/>
      <c r="D500" s="38"/>
      <c r="E500" s="125" t="s">
        <v>11</v>
      </c>
      <c r="F500" s="21" t="str">
        <f>IF(H500=-0.33,IF(H498=H$1,H498,""),"")</f>
        <v/>
      </c>
      <c r="G500" s="24"/>
      <c r="H500" s="22">
        <f t="shared" ref="H500" si="39">IF(H499=1,IF(H498=H$2,1,-0.33),0)</f>
        <v>0</v>
      </c>
    </row>
    <row r="501" spans="1:8" x14ac:dyDescent="0.25">
      <c r="B501" s="76" t="s">
        <v>15</v>
      </c>
      <c r="C501" s="109"/>
      <c r="D501" s="38"/>
      <c r="E501" s="125" t="s">
        <v>12</v>
      </c>
      <c r="F501" s="18"/>
      <c r="G501" s="24"/>
      <c r="H501" s="22"/>
    </row>
    <row r="502" spans="1:8" x14ac:dyDescent="0.25">
      <c r="B502" s="42"/>
      <c r="C502" s="16"/>
      <c r="D502" s="38"/>
      <c r="E502" s="125" t="s">
        <v>13</v>
      </c>
      <c r="F502" s="18"/>
      <c r="G502" s="17"/>
      <c r="H502" s="22"/>
    </row>
    <row r="503" spans="1:8" s="15" customFormat="1" x14ac:dyDescent="0.25">
      <c r="A503" s="4"/>
      <c r="B503" s="122" t="s">
        <v>22</v>
      </c>
      <c r="C503" s="124"/>
      <c r="D503" s="39"/>
      <c r="E503" s="12"/>
      <c r="F503" s="14"/>
      <c r="G503" s="26"/>
      <c r="H503" s="13"/>
    </row>
    <row r="504" spans="1:8" x14ac:dyDescent="0.25">
      <c r="B504" s="76" t="s">
        <v>15</v>
      </c>
      <c r="C504" s="108"/>
      <c r="D504" s="38"/>
      <c r="E504" s="125" t="s">
        <v>9</v>
      </c>
      <c r="F504" s="18"/>
      <c r="G504" s="24"/>
      <c r="H504" s="19" t="b">
        <f>IF(D505="x",H$2,H$1)</f>
        <v>0</v>
      </c>
    </row>
    <row r="505" spans="1:8" x14ac:dyDescent="0.25">
      <c r="B505" s="76" t="s">
        <v>15</v>
      </c>
      <c r="C505" s="109"/>
      <c r="D505" s="38"/>
      <c r="E505" s="125" t="s">
        <v>10</v>
      </c>
      <c r="F505" s="20" t="str">
        <f>IF(H506=1,IF(H504=H$2,H504,""),"")</f>
        <v/>
      </c>
      <c r="G505" s="24"/>
      <c r="H505" s="19" t="str">
        <f>IF(E$529="comprobar",COUNTIF(D504:D508,"x"),"")</f>
        <v/>
      </c>
    </row>
    <row r="506" spans="1:8" x14ac:dyDescent="0.25">
      <c r="B506" s="76" t="s">
        <v>15</v>
      </c>
      <c r="C506" s="109"/>
      <c r="D506" s="38"/>
      <c r="E506" s="125" t="s">
        <v>11</v>
      </c>
      <c r="F506" s="21" t="str">
        <f>IF(H506=-0.33,IF(H504=H$1,H504,""),"")</f>
        <v/>
      </c>
      <c r="G506" s="24"/>
      <c r="H506" s="22">
        <f t="shared" ref="H506" si="40">IF(H505=1,IF(H504=H$2,1,-0.33),0)</f>
        <v>0</v>
      </c>
    </row>
    <row r="507" spans="1:8" x14ac:dyDescent="0.25">
      <c r="B507" s="76" t="s">
        <v>15</v>
      </c>
      <c r="C507" s="108"/>
      <c r="D507" s="38"/>
      <c r="E507" s="125" t="s">
        <v>12</v>
      </c>
      <c r="F507" s="18"/>
      <c r="G507" s="24"/>
      <c r="H507" s="22"/>
    </row>
    <row r="508" spans="1:8" x14ac:dyDescent="0.25">
      <c r="B508" s="42"/>
      <c r="C508" s="109"/>
      <c r="D508" s="38"/>
      <c r="E508" s="125" t="s">
        <v>13</v>
      </c>
      <c r="F508" s="18"/>
      <c r="G508" s="17"/>
      <c r="H508" s="22"/>
    </row>
    <row r="509" spans="1:8" s="15" customFormat="1" x14ac:dyDescent="0.25">
      <c r="A509" s="4"/>
      <c r="B509" s="122" t="s">
        <v>23</v>
      </c>
      <c r="C509" s="124"/>
      <c r="D509" s="39"/>
      <c r="E509" s="12"/>
      <c r="F509" s="14"/>
      <c r="G509" s="26"/>
      <c r="H509" s="13"/>
    </row>
    <row r="510" spans="1:8" x14ac:dyDescent="0.25">
      <c r="B510" s="76" t="s">
        <v>15</v>
      </c>
      <c r="C510" s="108"/>
      <c r="D510" s="38"/>
      <c r="E510" s="125" t="s">
        <v>9</v>
      </c>
      <c r="F510" s="18"/>
      <c r="G510" s="24"/>
      <c r="H510" s="19" t="b">
        <f>IF(D512="x",H$2,H$1)</f>
        <v>0</v>
      </c>
    </row>
    <row r="511" spans="1:8" x14ac:dyDescent="0.25">
      <c r="B511" s="76" t="s">
        <v>15</v>
      </c>
      <c r="C511" s="108"/>
      <c r="D511" s="38"/>
      <c r="E511" s="125" t="s">
        <v>10</v>
      </c>
      <c r="F511" s="20" t="str">
        <f>IF(H512=1,IF(H510=H$2,H510,""),"")</f>
        <v/>
      </c>
      <c r="G511" s="24"/>
      <c r="H511" s="19" t="str">
        <f>IF(E$529="comprobar",COUNTIF(D510:D514,"x"),"")</f>
        <v/>
      </c>
    </row>
    <row r="512" spans="1:8" x14ac:dyDescent="0.25">
      <c r="B512" s="76" t="s">
        <v>15</v>
      </c>
      <c r="C512" s="108"/>
      <c r="D512" s="38"/>
      <c r="E512" s="125" t="s">
        <v>11</v>
      </c>
      <c r="F512" s="21" t="str">
        <f>IF(H512=-0.33,IF(H510=H$1,H510,""),"")</f>
        <v/>
      </c>
      <c r="G512" s="24"/>
      <c r="H512" s="22">
        <f t="shared" ref="H512" si="41">IF(H511=1,IF(H510=H$2,1,-0.33),0)</f>
        <v>0</v>
      </c>
    </row>
    <row r="513" spans="2:8" x14ac:dyDescent="0.25">
      <c r="B513" s="76" t="s">
        <v>15</v>
      </c>
      <c r="C513" s="108"/>
      <c r="D513" s="38"/>
      <c r="E513" s="125" t="s">
        <v>12</v>
      </c>
      <c r="F513" s="18"/>
      <c r="G513" s="24"/>
      <c r="H513" s="22"/>
    </row>
    <row r="514" spans="2:8" x14ac:dyDescent="0.25">
      <c r="B514" s="101"/>
      <c r="C514" s="16"/>
      <c r="D514" s="38"/>
      <c r="E514" s="125" t="s">
        <v>13</v>
      </c>
      <c r="F514" s="18"/>
      <c r="G514" s="17"/>
      <c r="H514" s="22"/>
    </row>
    <row r="515" spans="2:8" x14ac:dyDescent="0.25">
      <c r="B515" s="101"/>
      <c r="C515" s="16"/>
      <c r="D515" s="48"/>
      <c r="E515" s="125"/>
      <c r="F515" s="18"/>
      <c r="G515" s="17"/>
      <c r="H515" s="22"/>
    </row>
    <row r="516" spans="2:8" x14ac:dyDescent="0.25">
      <c r="B516" s="122" t="s">
        <v>27</v>
      </c>
      <c r="C516" s="124"/>
      <c r="D516" s="39"/>
      <c r="E516" s="12"/>
      <c r="F516" s="14"/>
      <c r="G516" s="26"/>
      <c r="H516" s="13"/>
    </row>
    <row r="517" spans="2:8" x14ac:dyDescent="0.25">
      <c r="B517" s="76" t="s">
        <v>15</v>
      </c>
      <c r="C517" s="108"/>
      <c r="D517" s="38"/>
      <c r="E517" s="125" t="s">
        <v>9</v>
      </c>
      <c r="F517" s="18"/>
      <c r="G517" s="24"/>
      <c r="H517" s="19" t="b">
        <f>IF(D519="x",H$2,H$1)</f>
        <v>0</v>
      </c>
    </row>
    <row r="518" spans="2:8" x14ac:dyDescent="0.25">
      <c r="B518" s="76" t="s">
        <v>15</v>
      </c>
      <c r="C518" s="108"/>
      <c r="D518" s="38"/>
      <c r="E518" s="125" t="s">
        <v>10</v>
      </c>
      <c r="F518" s="20" t="str">
        <f>IF(H519=1,IF(H517=H$2,H517,""),"")</f>
        <v/>
      </c>
      <c r="G518" s="24"/>
      <c r="H518" s="19" t="str">
        <f>IF(E$529="comprobar",COUNTIF(D517:D521,"x"),"")</f>
        <v/>
      </c>
    </row>
    <row r="519" spans="2:8" x14ac:dyDescent="0.25">
      <c r="B519" s="76" t="s">
        <v>15</v>
      </c>
      <c r="C519" s="108"/>
      <c r="D519" s="38"/>
      <c r="E519" s="125" t="s">
        <v>11</v>
      </c>
      <c r="F519" s="21" t="str">
        <f>IF(H519=-0.33,IF(H517=H$1,H517,""),"")</f>
        <v/>
      </c>
      <c r="G519" s="24"/>
      <c r="H519" s="22">
        <f t="shared" ref="H519" si="42">IF(H518=1,IF(H517=H$2,1,-0.33),0)</f>
        <v>0</v>
      </c>
    </row>
    <row r="520" spans="2:8" x14ac:dyDescent="0.25">
      <c r="B520" s="76" t="s">
        <v>15</v>
      </c>
      <c r="C520" s="108"/>
      <c r="D520" s="38"/>
      <c r="E520" s="125" t="s">
        <v>12</v>
      </c>
      <c r="F520" s="18"/>
      <c r="G520" s="24"/>
      <c r="H520" s="22"/>
    </row>
    <row r="521" spans="2:8" x14ac:dyDescent="0.25">
      <c r="B521" s="101"/>
      <c r="C521" s="16"/>
      <c r="D521" s="38"/>
      <c r="E521" s="125" t="s">
        <v>13</v>
      </c>
      <c r="F521" s="18"/>
      <c r="G521" s="17"/>
      <c r="H521" s="22"/>
    </row>
    <row r="522" spans="2:8" x14ac:dyDescent="0.25">
      <c r="B522" s="101"/>
      <c r="C522" s="16"/>
      <c r="D522" s="48"/>
      <c r="E522" s="125"/>
      <c r="F522" s="18"/>
      <c r="G522" s="17"/>
      <c r="H522" s="22"/>
    </row>
    <row r="523" spans="2:8" x14ac:dyDescent="0.25">
      <c r="B523" s="122" t="s">
        <v>25</v>
      </c>
      <c r="C523" s="124"/>
      <c r="D523" s="39"/>
      <c r="E523" s="12"/>
      <c r="F523" s="14"/>
      <c r="G523" s="26"/>
      <c r="H523" s="13"/>
    </row>
    <row r="524" spans="2:8" x14ac:dyDescent="0.25">
      <c r="B524" s="76" t="s">
        <v>15</v>
      </c>
      <c r="C524" s="108"/>
      <c r="D524" s="38"/>
      <c r="E524" s="125" t="s">
        <v>9</v>
      </c>
      <c r="F524" s="18"/>
      <c r="G524" s="24"/>
      <c r="H524" s="19" t="b">
        <f>IF(D527="x",H$2,H$1)</f>
        <v>0</v>
      </c>
    </row>
    <row r="525" spans="2:8" x14ac:dyDescent="0.25">
      <c r="B525" s="76" t="s">
        <v>15</v>
      </c>
      <c r="C525" s="108"/>
      <c r="D525" s="38"/>
      <c r="E525" s="125" t="s">
        <v>10</v>
      </c>
      <c r="F525" s="20" t="str">
        <f>IF(H526=1,IF(H524=H$2,H524,""),"")</f>
        <v/>
      </c>
      <c r="G525" s="24"/>
      <c r="H525" s="19" t="str">
        <f>IF(E$529="comprobar",COUNTIF(D524:D528,"x"),"")</f>
        <v/>
      </c>
    </row>
    <row r="526" spans="2:8" x14ac:dyDescent="0.25">
      <c r="B526" s="76" t="s">
        <v>15</v>
      </c>
      <c r="C526" s="108"/>
      <c r="D526" s="38"/>
      <c r="E526" s="125" t="s">
        <v>11</v>
      </c>
      <c r="F526" s="21" t="str">
        <f>IF(H526=-0.33,IF(H524=H$1,H524,""),"")</f>
        <v/>
      </c>
      <c r="G526" s="24"/>
      <c r="H526" s="22">
        <f t="shared" ref="H526" si="43">IF(H525=1,IF(H524=H$2,1,-0.33),0)</f>
        <v>0</v>
      </c>
    </row>
    <row r="527" spans="2:8" x14ac:dyDescent="0.25">
      <c r="B527" s="76" t="s">
        <v>15</v>
      </c>
      <c r="C527" s="108"/>
      <c r="D527" s="38"/>
      <c r="E527" s="125" t="s">
        <v>12</v>
      </c>
      <c r="F527" s="18"/>
      <c r="G527" s="24"/>
      <c r="H527" s="22"/>
    </row>
    <row r="528" spans="2:8" x14ac:dyDescent="0.25">
      <c r="B528" s="101"/>
      <c r="C528" s="16"/>
      <c r="D528" s="38"/>
      <c r="E528" s="125" t="s">
        <v>13</v>
      </c>
      <c r="F528" s="18"/>
      <c r="G528" s="17"/>
      <c r="H528" s="22"/>
    </row>
    <row r="529" spans="2:9" x14ac:dyDescent="0.25">
      <c r="B529" s="101"/>
      <c r="C529" s="16"/>
      <c r="D529" s="48"/>
      <c r="E529" s="54"/>
      <c r="F529" s="18"/>
      <c r="G529" s="17"/>
      <c r="H529" s="22"/>
    </row>
    <row r="530" spans="2:9" x14ac:dyDescent="0.25">
      <c r="B530" s="42"/>
      <c r="C530" s="8"/>
      <c r="D530" s="48"/>
      <c r="E530" s="59"/>
      <c r="F530" s="28" t="s">
        <v>8</v>
      </c>
      <c r="G530" s="17" t="s">
        <v>6</v>
      </c>
      <c r="H530" s="17" t="s">
        <v>7</v>
      </c>
    </row>
    <row r="531" spans="2:9" ht="19.5" x14ac:dyDescent="0.25">
      <c r="B531" s="42"/>
      <c r="C531" s="8"/>
      <c r="D531" s="148"/>
      <c r="E531" s="148"/>
      <c r="F531" s="29" t="str">
        <f>IF(E$529="comprobar",H512+H506+H500+H494+H488+H482+H476+H470+H519+H526,"")</f>
        <v/>
      </c>
      <c r="G531" s="17">
        <f>10/2</f>
        <v>5</v>
      </c>
      <c r="H531" s="17"/>
    </row>
    <row r="532" spans="2:9" ht="16.5" thickBot="1" x14ac:dyDescent="0.3">
      <c r="B532" s="65"/>
      <c r="C532" s="66"/>
      <c r="D532" s="31"/>
      <c r="E532" s="9"/>
      <c r="F532" s="32" t="str">
        <f>IF(F531&gt;G531,G530,H530)</f>
        <v>APROBADO</v>
      </c>
      <c r="G532" s="17"/>
      <c r="H532" s="17"/>
    </row>
    <row r="533" spans="2:9" ht="28.5" x14ac:dyDescent="0.45">
      <c r="B533" s="60" t="s">
        <v>31</v>
      </c>
      <c r="C533" s="126" t="s">
        <v>371</v>
      </c>
      <c r="D533" s="126"/>
      <c r="E533" s="126"/>
      <c r="F533" s="127"/>
    </row>
    <row r="534" spans="2:9" x14ac:dyDescent="0.25">
      <c r="B534" s="116" t="s">
        <v>17</v>
      </c>
      <c r="C534" s="124" t="s">
        <v>415</v>
      </c>
      <c r="D534" s="142"/>
      <c r="E534" s="12"/>
      <c r="F534" s="14"/>
      <c r="G534" s="26"/>
      <c r="H534" s="13"/>
      <c r="I534" s="15"/>
    </row>
    <row r="535" spans="2:9" x14ac:dyDescent="0.25">
      <c r="B535" s="76" t="s">
        <v>15</v>
      </c>
      <c r="C535" s="108" t="s">
        <v>416</v>
      </c>
      <c r="D535" s="141"/>
      <c r="E535" s="125" t="s">
        <v>9</v>
      </c>
      <c r="F535" s="18"/>
      <c r="G535" s="24"/>
      <c r="H535" s="19" t="b">
        <f>IF(D537="x",H$2,H$1)</f>
        <v>0</v>
      </c>
    </row>
    <row r="536" spans="2:9" x14ac:dyDescent="0.25">
      <c r="B536" s="76" t="s">
        <v>15</v>
      </c>
      <c r="C536" s="108" t="s">
        <v>417</v>
      </c>
      <c r="D536" s="141"/>
      <c r="E536" s="125" t="s">
        <v>10</v>
      </c>
      <c r="F536" s="20" t="str">
        <f>IF(H537=1,IF(H535=H$2,H535,""),"")</f>
        <v/>
      </c>
      <c r="G536" s="24"/>
      <c r="H536" s="19">
        <f>IF(E856="comprobar",COUNTIF(D535:D539,"x"),"")</f>
        <v>0</v>
      </c>
    </row>
    <row r="537" spans="2:9" x14ac:dyDescent="0.25">
      <c r="B537" s="76" t="s">
        <v>15</v>
      </c>
      <c r="C537" s="108" t="s">
        <v>418</v>
      </c>
      <c r="D537" s="141"/>
      <c r="E537" s="125" t="s">
        <v>11</v>
      </c>
      <c r="F537" s="21" t="str">
        <f>IF(H537=-0.33,IF(H535=H$1,H535,""),"")</f>
        <v/>
      </c>
      <c r="G537" s="24"/>
      <c r="H537" s="22">
        <f>IF(H536=1,IF(H535=H$2,1,-0.33),0)</f>
        <v>0</v>
      </c>
    </row>
    <row r="538" spans="2:9" x14ac:dyDescent="0.25">
      <c r="B538" s="76" t="s">
        <v>15</v>
      </c>
      <c r="C538" s="108" t="s">
        <v>419</v>
      </c>
      <c r="D538" s="141"/>
      <c r="E538" s="125" t="s">
        <v>12</v>
      </c>
      <c r="F538" s="18"/>
      <c r="G538" s="24"/>
      <c r="H538" s="22"/>
    </row>
    <row r="539" spans="2:9" x14ac:dyDescent="0.25">
      <c r="B539" s="42"/>
      <c r="C539" s="16"/>
      <c r="D539" s="141"/>
      <c r="E539" s="125" t="s">
        <v>13</v>
      </c>
      <c r="F539" s="18"/>
      <c r="G539" s="17"/>
      <c r="H539" s="22"/>
    </row>
    <row r="540" spans="2:9" x14ac:dyDescent="0.25">
      <c r="B540" s="122" t="s">
        <v>16</v>
      </c>
      <c r="C540" s="124" t="s">
        <v>420</v>
      </c>
      <c r="D540" s="142"/>
      <c r="E540" s="12"/>
      <c r="F540" s="14"/>
      <c r="G540" s="26"/>
      <c r="H540" s="13"/>
      <c r="I540" s="15"/>
    </row>
    <row r="541" spans="2:9" x14ac:dyDescent="0.25">
      <c r="B541" s="76" t="s">
        <v>15</v>
      </c>
      <c r="C541" s="108" t="s">
        <v>421</v>
      </c>
      <c r="D541" s="141"/>
      <c r="E541" s="125" t="s">
        <v>9</v>
      </c>
      <c r="F541" s="18"/>
      <c r="G541" s="24"/>
      <c r="H541" s="19" t="b">
        <f>IF(D542="x",H$2,H$1)</f>
        <v>0</v>
      </c>
    </row>
    <row r="542" spans="2:9" x14ac:dyDescent="0.25">
      <c r="B542" s="76" t="s">
        <v>15</v>
      </c>
      <c r="C542" s="108" t="s">
        <v>422</v>
      </c>
      <c r="D542" s="141"/>
      <c r="E542" s="125" t="s">
        <v>10</v>
      </c>
      <c r="F542" s="20" t="str">
        <f>IF(H543=1,IF(H541=H$2,H541,""),"")</f>
        <v/>
      </c>
      <c r="G542" s="24"/>
      <c r="H542" s="19">
        <f>IF(E856="comprobar",COUNTIF(D541:D545,"x"),"")</f>
        <v>0</v>
      </c>
    </row>
    <row r="543" spans="2:9" x14ac:dyDescent="0.25">
      <c r="B543" s="76" t="s">
        <v>15</v>
      </c>
      <c r="C543" s="108" t="s">
        <v>423</v>
      </c>
      <c r="D543" s="141"/>
      <c r="E543" s="125" t="s">
        <v>11</v>
      </c>
      <c r="F543" s="21" t="str">
        <f>IF(H543=-0.33,IF(H541=H$1,H541,""),"")</f>
        <v/>
      </c>
      <c r="G543" s="24"/>
      <c r="H543" s="22">
        <f t="shared" ref="H543" si="44">IF(H542=1,IF(H541=H$2,1,-0.33),0)</f>
        <v>0</v>
      </c>
    </row>
    <row r="544" spans="2:9" x14ac:dyDescent="0.25">
      <c r="B544" s="76" t="s">
        <v>15</v>
      </c>
      <c r="C544" s="108" t="s">
        <v>424</v>
      </c>
      <c r="D544" s="141"/>
      <c r="E544" s="125" t="s">
        <v>12</v>
      </c>
      <c r="F544" s="18"/>
      <c r="G544" s="24"/>
      <c r="H544" s="22"/>
    </row>
    <row r="545" spans="2:9" x14ac:dyDescent="0.25">
      <c r="B545" s="76"/>
      <c r="C545" s="16"/>
      <c r="D545" s="141"/>
      <c r="E545" s="125" t="s">
        <v>13</v>
      </c>
      <c r="F545" s="18"/>
      <c r="G545" s="17"/>
      <c r="H545" s="22"/>
    </row>
    <row r="546" spans="2:9" x14ac:dyDescent="0.25">
      <c r="B546" s="122" t="s">
        <v>18</v>
      </c>
      <c r="C546" s="124" t="s">
        <v>425</v>
      </c>
      <c r="D546" s="142"/>
      <c r="E546" s="12"/>
      <c r="F546" s="14"/>
      <c r="G546" s="26"/>
      <c r="H546" s="13"/>
      <c r="I546" s="15"/>
    </row>
    <row r="547" spans="2:9" x14ac:dyDescent="0.25">
      <c r="B547" s="76" t="s">
        <v>15</v>
      </c>
      <c r="C547" s="108" t="s">
        <v>426</v>
      </c>
      <c r="D547" s="141"/>
      <c r="E547" s="125" t="s">
        <v>9</v>
      </c>
      <c r="F547" s="18"/>
      <c r="G547" s="24"/>
      <c r="H547" s="19" t="b">
        <f>IF(D550="x",H$2,H$1)</f>
        <v>0</v>
      </c>
    </row>
    <row r="548" spans="2:9" x14ac:dyDescent="0.25">
      <c r="B548" s="76" t="s">
        <v>15</v>
      </c>
      <c r="C548" s="108" t="s">
        <v>427</v>
      </c>
      <c r="D548" s="141"/>
      <c r="E548" s="125" t="s">
        <v>10</v>
      </c>
      <c r="F548" s="20" t="str">
        <f>IF(H549=1,IF(H547=H$2,H547,""),"")</f>
        <v/>
      </c>
      <c r="G548" s="24"/>
      <c r="H548" s="19">
        <f>IF(E856="comprobar",COUNTIF(D547:D551,"x"),"")</f>
        <v>0</v>
      </c>
    </row>
    <row r="549" spans="2:9" x14ac:dyDescent="0.25">
      <c r="B549" s="76" t="s">
        <v>15</v>
      </c>
      <c r="C549" s="108" t="s">
        <v>428</v>
      </c>
      <c r="D549" s="141"/>
      <c r="E549" s="125" t="s">
        <v>11</v>
      </c>
      <c r="F549" s="21" t="str">
        <f>IF(H549=-0.33,IF(H547=H$1,H547,""),"")</f>
        <v/>
      </c>
      <c r="G549" s="24"/>
      <c r="H549" s="22">
        <f t="shared" ref="H549" si="45">IF(H548=1,IF(H547=H$2,1,-0.33),0)</f>
        <v>0</v>
      </c>
    </row>
    <row r="550" spans="2:9" x14ac:dyDescent="0.25">
      <c r="B550" s="76" t="s">
        <v>15</v>
      </c>
      <c r="C550" s="108" t="s">
        <v>429</v>
      </c>
      <c r="D550" s="141"/>
      <c r="E550" s="125" t="s">
        <v>12</v>
      </c>
      <c r="F550" s="18"/>
      <c r="G550" s="24"/>
      <c r="H550" s="22"/>
    </row>
    <row r="551" spans="2:9" x14ac:dyDescent="0.25">
      <c r="B551" s="76"/>
      <c r="C551" s="16"/>
      <c r="D551" s="141"/>
      <c r="E551" s="125" t="s">
        <v>13</v>
      </c>
      <c r="F551" s="18"/>
      <c r="G551" s="17"/>
      <c r="H551" s="22"/>
    </row>
    <row r="552" spans="2:9" x14ac:dyDescent="0.25">
      <c r="B552" s="122" t="s">
        <v>19</v>
      </c>
      <c r="C552" s="124" t="s">
        <v>430</v>
      </c>
      <c r="D552" s="142"/>
      <c r="E552" s="12"/>
      <c r="F552" s="14"/>
      <c r="G552" s="26"/>
      <c r="H552" s="13"/>
      <c r="I552" s="15"/>
    </row>
    <row r="553" spans="2:9" x14ac:dyDescent="0.25">
      <c r="B553" s="76" t="s">
        <v>15</v>
      </c>
      <c r="C553" s="108" t="s">
        <v>431</v>
      </c>
      <c r="D553" s="141"/>
      <c r="E553" s="125" t="s">
        <v>9</v>
      </c>
      <c r="F553" s="18"/>
      <c r="G553" s="24"/>
      <c r="H553" s="19" t="b">
        <f>IF(D553="x",H$2,H$1)</f>
        <v>0</v>
      </c>
    </row>
    <row r="554" spans="2:9" x14ac:dyDescent="0.25">
      <c r="B554" s="76" t="s">
        <v>15</v>
      </c>
      <c r="C554" s="108" t="s">
        <v>432</v>
      </c>
      <c r="D554" s="141"/>
      <c r="E554" s="125" t="s">
        <v>10</v>
      </c>
      <c r="F554" s="20" t="str">
        <f>IF(H555=1,IF(H553=H$2,H553,""),"")</f>
        <v/>
      </c>
      <c r="G554" s="24"/>
      <c r="H554" s="19">
        <f>IF(E856="comprobar",COUNTIF(D553:D557,"x"),"")</f>
        <v>0</v>
      </c>
    </row>
    <row r="555" spans="2:9" x14ac:dyDescent="0.25">
      <c r="B555" s="76" t="s">
        <v>15</v>
      </c>
      <c r="C555" s="108" t="s">
        <v>433</v>
      </c>
      <c r="D555" s="141"/>
      <c r="E555" s="125" t="s">
        <v>11</v>
      </c>
      <c r="F555" s="21" t="str">
        <f>IF(H555=-0.33,IF(H553=H$1,H553,""),"")</f>
        <v/>
      </c>
      <c r="G555" s="24"/>
      <c r="H555" s="22">
        <f t="shared" ref="H555" si="46">IF(H554=1,IF(H553=H$2,1,-0.33),0)</f>
        <v>0</v>
      </c>
    </row>
    <row r="556" spans="2:9" x14ac:dyDescent="0.25">
      <c r="B556" s="76" t="s">
        <v>15</v>
      </c>
      <c r="C556" s="108" t="s">
        <v>434</v>
      </c>
      <c r="D556" s="141"/>
      <c r="E556" s="125" t="s">
        <v>12</v>
      </c>
      <c r="F556" s="18"/>
      <c r="G556" s="24"/>
      <c r="H556" s="22"/>
    </row>
    <row r="557" spans="2:9" x14ac:dyDescent="0.25">
      <c r="B557" s="76"/>
      <c r="C557" s="16"/>
      <c r="D557" s="141"/>
      <c r="E557" s="125" t="s">
        <v>13</v>
      </c>
      <c r="F557" s="18"/>
      <c r="G557" s="17"/>
      <c r="H557" s="22"/>
    </row>
    <row r="558" spans="2:9" x14ac:dyDescent="0.25">
      <c r="B558" s="122" t="s">
        <v>20</v>
      </c>
      <c r="C558" s="124" t="s">
        <v>435</v>
      </c>
      <c r="D558" s="142"/>
      <c r="E558" s="12"/>
      <c r="F558" s="14"/>
      <c r="G558" s="26"/>
      <c r="H558" s="13"/>
      <c r="I558" s="15"/>
    </row>
    <row r="559" spans="2:9" x14ac:dyDescent="0.25">
      <c r="B559" s="76" t="s">
        <v>15</v>
      </c>
      <c r="C559" s="108" t="s">
        <v>32</v>
      </c>
      <c r="D559" s="141"/>
      <c r="E559" s="125" t="s">
        <v>9</v>
      </c>
      <c r="F559" s="18"/>
      <c r="G559" s="24"/>
      <c r="H559" s="19" t="b">
        <f>IF(D562="x",H$2,H$1)</f>
        <v>0</v>
      </c>
    </row>
    <row r="560" spans="2:9" x14ac:dyDescent="0.25">
      <c r="B560" s="76" t="s">
        <v>15</v>
      </c>
      <c r="C560" s="108" t="s">
        <v>436</v>
      </c>
      <c r="D560" s="141"/>
      <c r="E560" s="125" t="s">
        <v>10</v>
      </c>
      <c r="F560" s="20" t="str">
        <f>IF(H561=1,IF(H559=H$2,H559,""),"")</f>
        <v/>
      </c>
      <c r="G560" s="24"/>
      <c r="H560" s="19">
        <f>IF(E856="comprobar",COUNTIF(D559:D563,"x"),"")</f>
        <v>0</v>
      </c>
    </row>
    <row r="561" spans="2:9" x14ac:dyDescent="0.25">
      <c r="B561" s="76" t="s">
        <v>15</v>
      </c>
      <c r="C561" s="108" t="s">
        <v>33</v>
      </c>
      <c r="D561" s="141"/>
      <c r="E561" s="125" t="s">
        <v>11</v>
      </c>
      <c r="F561" s="21" t="str">
        <f>IF(H561=-0.33,IF(H559=H$1,H559,""),"")</f>
        <v/>
      </c>
      <c r="G561" s="24"/>
      <c r="H561" s="22">
        <f t="shared" ref="H561" si="47">IF(H560=1,IF(H559=H$2,1,-0.33),0)</f>
        <v>0</v>
      </c>
    </row>
    <row r="562" spans="2:9" x14ac:dyDescent="0.25">
      <c r="B562" s="76" t="s">
        <v>15</v>
      </c>
      <c r="C562" s="108" t="s">
        <v>437</v>
      </c>
      <c r="D562" s="141"/>
      <c r="E562" s="125" t="s">
        <v>12</v>
      </c>
      <c r="F562" s="18"/>
      <c r="G562" s="24"/>
      <c r="H562" s="22"/>
    </row>
    <row r="563" spans="2:9" x14ac:dyDescent="0.25">
      <c r="B563" s="76"/>
      <c r="C563" s="16"/>
      <c r="D563" s="141"/>
      <c r="E563" s="125" t="s">
        <v>13</v>
      </c>
      <c r="F563" s="18"/>
      <c r="G563" s="17"/>
      <c r="H563" s="22"/>
    </row>
    <row r="564" spans="2:9" x14ac:dyDescent="0.25">
      <c r="B564" s="122" t="s">
        <v>21</v>
      </c>
      <c r="C564" s="124" t="s">
        <v>438</v>
      </c>
      <c r="D564" s="142"/>
      <c r="E564" s="12"/>
      <c r="F564" s="14"/>
      <c r="G564" s="26"/>
      <c r="H564" s="13"/>
      <c r="I564" s="15"/>
    </row>
    <row r="565" spans="2:9" x14ac:dyDescent="0.25">
      <c r="B565" s="76" t="s">
        <v>15</v>
      </c>
      <c r="C565" s="108" t="s">
        <v>439</v>
      </c>
      <c r="D565" s="141"/>
      <c r="E565" s="125" t="s">
        <v>9</v>
      </c>
      <c r="F565" s="18"/>
      <c r="G565" s="24"/>
      <c r="H565" s="19" t="b">
        <f>IF(D568="x",H$2,H$1)</f>
        <v>0</v>
      </c>
    </row>
    <row r="566" spans="2:9" x14ac:dyDescent="0.25">
      <c r="B566" s="76" t="s">
        <v>15</v>
      </c>
      <c r="C566" s="108" t="s">
        <v>440</v>
      </c>
      <c r="D566" s="141"/>
      <c r="E566" s="125" t="s">
        <v>10</v>
      </c>
      <c r="F566" s="20" t="str">
        <f>IF(H567=1,IF(H565=H$2,H565,""),"")</f>
        <v/>
      </c>
      <c r="G566" s="24"/>
      <c r="H566" s="19">
        <f>IF(E856="comprobar",COUNTIF(D565:D569,"x"),"")</f>
        <v>0</v>
      </c>
    </row>
    <row r="567" spans="2:9" x14ac:dyDescent="0.25">
      <c r="B567" s="76" t="s">
        <v>15</v>
      </c>
      <c r="C567" s="108" t="s">
        <v>441</v>
      </c>
      <c r="D567" s="141"/>
      <c r="E567" s="125" t="s">
        <v>11</v>
      </c>
      <c r="F567" s="21" t="str">
        <f>IF(H567=-0.33,IF(H565=H$1,H565,""),"")</f>
        <v/>
      </c>
      <c r="G567" s="24"/>
      <c r="H567" s="22">
        <f t="shared" ref="H567" si="48">IF(H566=1,IF(H565=H$2,1,-0.33),0)</f>
        <v>0</v>
      </c>
    </row>
    <row r="568" spans="2:9" x14ac:dyDescent="0.25">
      <c r="B568" s="76" t="s">
        <v>15</v>
      </c>
      <c r="C568" s="108" t="s">
        <v>442</v>
      </c>
      <c r="D568" s="141"/>
      <c r="E568" s="125" t="s">
        <v>12</v>
      </c>
      <c r="F568" s="18"/>
      <c r="G568" s="24"/>
      <c r="H568" s="22"/>
    </row>
    <row r="569" spans="2:9" x14ac:dyDescent="0.25">
      <c r="B569" s="42"/>
      <c r="C569" s="16"/>
      <c r="D569" s="141"/>
      <c r="E569" s="125" t="s">
        <v>13</v>
      </c>
      <c r="F569" s="18"/>
      <c r="G569" s="17"/>
      <c r="H569" s="22"/>
    </row>
    <row r="570" spans="2:9" x14ac:dyDescent="0.25">
      <c r="B570" s="122" t="s">
        <v>22</v>
      </c>
      <c r="C570" s="124" t="s">
        <v>443</v>
      </c>
      <c r="D570" s="142"/>
      <c r="E570" s="12"/>
      <c r="F570" s="14"/>
      <c r="G570" s="26"/>
      <c r="H570" s="13"/>
      <c r="I570" s="15"/>
    </row>
    <row r="571" spans="2:9" x14ac:dyDescent="0.25">
      <c r="B571" s="76" t="s">
        <v>15</v>
      </c>
      <c r="C571" s="108" t="s">
        <v>444</v>
      </c>
      <c r="D571" s="141"/>
      <c r="E571" s="125" t="s">
        <v>9</v>
      </c>
      <c r="F571" s="18"/>
      <c r="G571" s="24"/>
      <c r="H571" s="19" t="b">
        <f>IF(D573="x",H$2,H$1)</f>
        <v>0</v>
      </c>
    </row>
    <row r="572" spans="2:9" x14ac:dyDescent="0.25">
      <c r="B572" s="76" t="s">
        <v>15</v>
      </c>
      <c r="C572" s="108" t="s">
        <v>445</v>
      </c>
      <c r="D572" s="141"/>
      <c r="E572" s="125" t="s">
        <v>10</v>
      </c>
      <c r="F572" s="20" t="str">
        <f>IF(H573=1,IF(H571=H$2,H571,""),"")</f>
        <v/>
      </c>
      <c r="G572" s="24"/>
      <c r="H572" s="19">
        <f>IF(E856="comprobar",COUNTIF(D571:D575,"x"),"")</f>
        <v>0</v>
      </c>
    </row>
    <row r="573" spans="2:9" x14ac:dyDescent="0.25">
      <c r="B573" s="76" t="s">
        <v>15</v>
      </c>
      <c r="C573" s="108" t="s">
        <v>446</v>
      </c>
      <c r="D573" s="141"/>
      <c r="E573" s="125" t="s">
        <v>11</v>
      </c>
      <c r="F573" s="21" t="str">
        <f>IF(H573=-0.33,IF(H571=H$1,H571,""),"")</f>
        <v/>
      </c>
      <c r="G573" s="24"/>
      <c r="H573" s="22">
        <f t="shared" ref="H573" si="49">IF(H572=1,IF(H571=H$2,1,-0.33),0)</f>
        <v>0</v>
      </c>
    </row>
    <row r="574" spans="2:9" x14ac:dyDescent="0.25">
      <c r="B574" s="76" t="s">
        <v>15</v>
      </c>
      <c r="C574" s="108" t="s">
        <v>447</v>
      </c>
      <c r="D574" s="141"/>
      <c r="E574" s="125" t="s">
        <v>12</v>
      </c>
      <c r="F574" s="18"/>
      <c r="G574" s="24"/>
      <c r="H574" s="22"/>
    </row>
    <row r="575" spans="2:9" x14ac:dyDescent="0.25">
      <c r="B575" s="42"/>
      <c r="C575" s="16"/>
      <c r="D575" s="141"/>
      <c r="E575" s="125" t="s">
        <v>13</v>
      </c>
      <c r="F575" s="18"/>
      <c r="G575" s="17"/>
      <c r="H575" s="22"/>
    </row>
    <row r="576" spans="2:9" x14ac:dyDescent="0.25">
      <c r="B576" s="122" t="s">
        <v>23</v>
      </c>
      <c r="C576" s="124" t="s">
        <v>448</v>
      </c>
      <c r="D576" s="142"/>
      <c r="E576" s="12"/>
      <c r="F576" s="12"/>
      <c r="G576" s="26"/>
      <c r="H576" s="13"/>
      <c r="I576" s="15"/>
    </row>
    <row r="577" spans="2:8" x14ac:dyDescent="0.25">
      <c r="B577" s="76" t="s">
        <v>15</v>
      </c>
      <c r="C577" s="108" t="s">
        <v>449</v>
      </c>
      <c r="D577" s="141"/>
      <c r="E577" s="125" t="s">
        <v>9</v>
      </c>
      <c r="F577" s="18"/>
      <c r="G577" s="24"/>
      <c r="H577" s="19" t="b">
        <f>IF(D579="x",H$2,H$1)</f>
        <v>0</v>
      </c>
    </row>
    <row r="578" spans="2:8" x14ac:dyDescent="0.25">
      <c r="B578" s="76" t="s">
        <v>15</v>
      </c>
      <c r="C578" s="108" t="s">
        <v>450</v>
      </c>
      <c r="D578" s="141"/>
      <c r="E578" s="125" t="s">
        <v>10</v>
      </c>
      <c r="F578" s="20" t="str">
        <f>IF(H579=1,IF(H577=H$2,H577,""),"")</f>
        <v/>
      </c>
      <c r="G578" s="24"/>
      <c r="H578" s="19">
        <f>IF(E856="comprobar",COUNTIF(D577:D581,"x"),"")</f>
        <v>0</v>
      </c>
    </row>
    <row r="579" spans="2:8" x14ac:dyDescent="0.25">
      <c r="B579" s="76" t="s">
        <v>15</v>
      </c>
      <c r="C579" s="108" t="s">
        <v>451</v>
      </c>
      <c r="D579" s="141"/>
      <c r="E579" s="125" t="s">
        <v>11</v>
      </c>
      <c r="F579" s="21" t="str">
        <f>IF(H579=-0.33,IF(H577=H$1,H577,""),"")</f>
        <v/>
      </c>
      <c r="G579" s="24"/>
      <c r="H579" s="22">
        <f t="shared" ref="H579" si="50">IF(H578=1,IF(H577=H$2,1,-0.33),0)</f>
        <v>0</v>
      </c>
    </row>
    <row r="580" spans="2:8" x14ac:dyDescent="0.25">
      <c r="B580" s="76" t="s">
        <v>15</v>
      </c>
      <c r="C580" s="108" t="s">
        <v>452</v>
      </c>
      <c r="D580" s="141"/>
      <c r="E580" s="125" t="s">
        <v>12</v>
      </c>
      <c r="F580" s="18"/>
      <c r="G580" s="24"/>
      <c r="H580" s="22"/>
    </row>
    <row r="581" spans="2:8" x14ac:dyDescent="0.25">
      <c r="B581" s="101"/>
      <c r="C581" s="16"/>
      <c r="D581" s="141"/>
      <c r="E581" s="125" t="s">
        <v>13</v>
      </c>
      <c r="F581" s="18"/>
      <c r="G581" s="17"/>
      <c r="H581" s="22"/>
    </row>
    <row r="582" spans="2:8" x14ac:dyDescent="0.25">
      <c r="B582" s="101"/>
      <c r="E582" s="125"/>
      <c r="F582" s="18"/>
      <c r="G582" s="17"/>
      <c r="H582" s="22"/>
    </row>
    <row r="583" spans="2:8" x14ac:dyDescent="0.25">
      <c r="B583" s="122" t="s">
        <v>27</v>
      </c>
      <c r="C583" s="124" t="s">
        <v>453</v>
      </c>
      <c r="D583" s="142"/>
      <c r="E583" s="12"/>
      <c r="F583" s="14"/>
      <c r="G583" s="26"/>
      <c r="H583" s="13"/>
    </row>
    <row r="584" spans="2:8" x14ac:dyDescent="0.25">
      <c r="B584" s="76" t="s">
        <v>15</v>
      </c>
      <c r="C584" s="108" t="s">
        <v>417</v>
      </c>
      <c r="D584" s="141"/>
      <c r="E584" s="125" t="s">
        <v>9</v>
      </c>
      <c r="F584" s="18"/>
      <c r="G584" s="24"/>
      <c r="H584" s="19" t="b">
        <f>IF(D585="x",H$2,H$1)</f>
        <v>0</v>
      </c>
    </row>
    <row r="585" spans="2:8" x14ac:dyDescent="0.25">
      <c r="B585" s="76" t="s">
        <v>15</v>
      </c>
      <c r="C585" s="108" t="s">
        <v>419</v>
      </c>
      <c r="D585" s="141"/>
      <c r="E585" s="125" t="s">
        <v>10</v>
      </c>
      <c r="F585" s="20" t="str">
        <f>IF(H586=1,IF(H584=H$2,H584,""),"")</f>
        <v/>
      </c>
      <c r="G585" s="24"/>
      <c r="H585" s="19">
        <f>IF(E856="comprobar",COUNTIF(D584:D589,"x"),"")</f>
        <v>0</v>
      </c>
    </row>
    <row r="586" spans="2:8" x14ac:dyDescent="0.25">
      <c r="B586" s="76" t="s">
        <v>15</v>
      </c>
      <c r="C586" s="108" t="s">
        <v>418</v>
      </c>
      <c r="D586" s="141"/>
      <c r="E586" s="125" t="s">
        <v>11</v>
      </c>
      <c r="F586" s="21" t="str">
        <f>IF(H586=-0.33,IF(H584=H$1,H584,""),"")</f>
        <v/>
      </c>
      <c r="G586" s="24"/>
      <c r="H586" s="22">
        <f t="shared" ref="H586" si="51">IF(H585=1,IF(H584=H$2,1,-0.33),0)</f>
        <v>0</v>
      </c>
    </row>
    <row r="587" spans="2:8" x14ac:dyDescent="0.25">
      <c r="B587" s="76" t="s">
        <v>15</v>
      </c>
      <c r="C587" s="108" t="s">
        <v>416</v>
      </c>
      <c r="D587" s="141"/>
      <c r="E587" s="125" t="s">
        <v>12</v>
      </c>
      <c r="F587" s="18"/>
      <c r="G587" s="24"/>
      <c r="H587" s="22"/>
    </row>
    <row r="588" spans="2:8" x14ac:dyDescent="0.25">
      <c r="B588" s="101"/>
      <c r="C588" s="16"/>
      <c r="D588" s="141"/>
      <c r="E588" s="125" t="s">
        <v>13</v>
      </c>
      <c r="F588" s="18"/>
      <c r="G588" s="17"/>
      <c r="H588" s="22"/>
    </row>
    <row r="589" spans="2:8" x14ac:dyDescent="0.25">
      <c r="B589" s="101"/>
      <c r="E589" s="125"/>
      <c r="F589" s="18"/>
      <c r="G589" s="17"/>
      <c r="H589" s="22"/>
    </row>
    <row r="590" spans="2:8" x14ac:dyDescent="0.25">
      <c r="B590" s="122" t="s">
        <v>25</v>
      </c>
      <c r="C590" s="124" t="s">
        <v>454</v>
      </c>
      <c r="D590" s="142"/>
      <c r="E590" s="12"/>
      <c r="F590" s="14"/>
      <c r="G590" s="26"/>
      <c r="H590" s="13"/>
    </row>
    <row r="591" spans="2:8" x14ac:dyDescent="0.25">
      <c r="B591" s="76" t="s">
        <v>15</v>
      </c>
      <c r="C591" s="108" t="s">
        <v>455</v>
      </c>
      <c r="D591" s="141"/>
      <c r="E591" s="125" t="s">
        <v>9</v>
      </c>
      <c r="F591" s="18"/>
      <c r="G591" s="24"/>
      <c r="H591" s="19" t="b">
        <f>IF(D591="x",H$2,H$1)</f>
        <v>0</v>
      </c>
    </row>
    <row r="592" spans="2:8" x14ac:dyDescent="0.25">
      <c r="B592" s="76" t="s">
        <v>15</v>
      </c>
      <c r="C592" s="108" t="s">
        <v>456</v>
      </c>
      <c r="D592" s="141"/>
      <c r="E592" s="125" t="s">
        <v>10</v>
      </c>
      <c r="F592" s="20" t="str">
        <f>IF(H593=1,IF(H591=H$2,H591,""),"")</f>
        <v/>
      </c>
      <c r="G592" s="24"/>
      <c r="H592" s="19">
        <f>IF(E856="comprobar",COUNTIF(D591:D595,"x"),"")</f>
        <v>0</v>
      </c>
    </row>
    <row r="593" spans="2:8" x14ac:dyDescent="0.25">
      <c r="B593" s="76" t="s">
        <v>15</v>
      </c>
      <c r="C593" s="108" t="s">
        <v>457</v>
      </c>
      <c r="D593" s="141"/>
      <c r="E593" s="125" t="s">
        <v>11</v>
      </c>
      <c r="F593" s="21" t="str">
        <f>IF(H593=-0.33,IF(H591=H$1,H591,""),"")</f>
        <v/>
      </c>
      <c r="G593" s="24"/>
      <c r="H593" s="22">
        <f t="shared" ref="H593" si="52">IF(H592=1,IF(H591=H$2,1,-0.33),0)</f>
        <v>0</v>
      </c>
    </row>
    <row r="594" spans="2:8" x14ac:dyDescent="0.25">
      <c r="B594" s="76" t="s">
        <v>15</v>
      </c>
      <c r="C594" s="108" t="s">
        <v>458</v>
      </c>
      <c r="D594" s="141"/>
      <c r="E594" s="125" t="s">
        <v>12</v>
      </c>
      <c r="F594" s="18"/>
      <c r="G594" s="24"/>
      <c r="H594" s="22"/>
    </row>
    <row r="595" spans="2:8" x14ac:dyDescent="0.25">
      <c r="B595" s="101"/>
      <c r="C595" s="16"/>
      <c r="D595" s="141"/>
      <c r="E595" s="125" t="s">
        <v>13</v>
      </c>
      <c r="F595" s="18"/>
      <c r="G595" s="17"/>
      <c r="H595" s="22"/>
    </row>
    <row r="596" spans="2:8" x14ac:dyDescent="0.25">
      <c r="B596" s="122" t="s">
        <v>372</v>
      </c>
      <c r="C596" s="124" t="s">
        <v>459</v>
      </c>
      <c r="D596" s="142"/>
      <c r="E596" s="12"/>
      <c r="F596" s="14"/>
      <c r="G596" s="26"/>
      <c r="H596" s="13"/>
    </row>
    <row r="597" spans="2:8" x14ac:dyDescent="0.25">
      <c r="B597" s="76" t="s">
        <v>15</v>
      </c>
      <c r="C597" s="108" t="s">
        <v>460</v>
      </c>
      <c r="D597" s="141"/>
      <c r="E597" s="128" t="s">
        <v>9</v>
      </c>
      <c r="F597" s="18"/>
      <c r="G597" s="24"/>
      <c r="H597" s="19" t="b">
        <f>IF(D599="x",H$2,H$1)</f>
        <v>0</v>
      </c>
    </row>
    <row r="598" spans="2:8" x14ac:dyDescent="0.25">
      <c r="B598" s="76" t="s">
        <v>15</v>
      </c>
      <c r="C598" s="108" t="s">
        <v>461</v>
      </c>
      <c r="D598" s="141"/>
      <c r="E598" s="128" t="s">
        <v>10</v>
      </c>
      <c r="F598" s="20" t="str">
        <f t="shared" ref="F598" si="53">IF(H599=1,IF(H597=H$2,H597,""),"")</f>
        <v/>
      </c>
      <c r="G598" s="24"/>
      <c r="H598" s="19">
        <f>IF(E856="comprobar",COUNTIF(D597:D601,"x"),"")</f>
        <v>0</v>
      </c>
    </row>
    <row r="599" spans="2:8" x14ac:dyDescent="0.25">
      <c r="B599" s="76" t="s">
        <v>15</v>
      </c>
      <c r="C599" s="108" t="s">
        <v>428</v>
      </c>
      <c r="D599" s="141"/>
      <c r="E599" s="128" t="s">
        <v>11</v>
      </c>
      <c r="F599" s="21" t="str">
        <f t="shared" ref="F599" si="54">IF(H599=-0.33,IF(H597=H$1,H597,""),"")</f>
        <v/>
      </c>
      <c r="G599" s="24"/>
      <c r="H599" s="22">
        <f t="shared" ref="H599:H659" si="55">IF(H598=1,IF(H597=H$2,1,-0.33),0)</f>
        <v>0</v>
      </c>
    </row>
    <row r="600" spans="2:8" x14ac:dyDescent="0.25">
      <c r="B600" s="76" t="s">
        <v>15</v>
      </c>
      <c r="C600" s="108" t="s">
        <v>424</v>
      </c>
      <c r="D600" s="141"/>
      <c r="E600" s="128" t="s">
        <v>12</v>
      </c>
      <c r="F600" s="18"/>
      <c r="G600" s="24"/>
      <c r="H600" s="22"/>
    </row>
    <row r="601" spans="2:8" x14ac:dyDescent="0.25">
      <c r="B601" s="101"/>
      <c r="C601" s="16"/>
      <c r="D601" s="141"/>
      <c r="E601" s="128" t="s">
        <v>13</v>
      </c>
      <c r="F601" s="18"/>
      <c r="G601" s="17"/>
      <c r="H601" s="22"/>
    </row>
    <row r="602" spans="2:8" x14ac:dyDescent="0.25">
      <c r="B602" s="122" t="s">
        <v>373</v>
      </c>
      <c r="C602" s="124" t="s">
        <v>462</v>
      </c>
      <c r="D602" s="142"/>
      <c r="E602" s="12"/>
      <c r="F602" s="14"/>
      <c r="G602" s="26"/>
      <c r="H602" s="13"/>
    </row>
    <row r="603" spans="2:8" x14ac:dyDescent="0.25">
      <c r="B603" s="76" t="s">
        <v>15</v>
      </c>
      <c r="C603" s="108" t="s">
        <v>463</v>
      </c>
      <c r="D603" s="141"/>
      <c r="E603" s="128" t="s">
        <v>9</v>
      </c>
      <c r="F603" s="18"/>
      <c r="G603" s="24"/>
      <c r="H603" s="19" t="b">
        <f>IF(D605="x",H$2,H$1)</f>
        <v>0</v>
      </c>
    </row>
    <row r="604" spans="2:8" x14ac:dyDescent="0.25">
      <c r="B604" s="76" t="s">
        <v>15</v>
      </c>
      <c r="C604" s="108" t="s">
        <v>464</v>
      </c>
      <c r="D604" s="141"/>
      <c r="E604" s="128" t="s">
        <v>10</v>
      </c>
      <c r="F604" s="20" t="str">
        <f t="shared" ref="F604" si="56">IF(H605=1,IF(H603=H$2,H603,""),"")</f>
        <v/>
      </c>
      <c r="G604" s="24"/>
      <c r="H604" s="19">
        <f>IF(E856="comprobar",COUNTIF(D603:D607,"x"),"")</f>
        <v>0</v>
      </c>
    </row>
    <row r="605" spans="2:8" x14ac:dyDescent="0.25">
      <c r="B605" s="76" t="s">
        <v>15</v>
      </c>
      <c r="C605" s="108" t="s">
        <v>465</v>
      </c>
      <c r="D605" s="141"/>
      <c r="E605" s="128" t="s">
        <v>11</v>
      </c>
      <c r="F605" s="21" t="str">
        <f t="shared" ref="F605" si="57">IF(H605=-0.33,IF(H603=H$1,H603,""),"")</f>
        <v/>
      </c>
      <c r="G605" s="24"/>
      <c r="H605" s="22">
        <f t="shared" si="55"/>
        <v>0</v>
      </c>
    </row>
    <row r="606" spans="2:8" x14ac:dyDescent="0.25">
      <c r="B606" s="76" t="s">
        <v>15</v>
      </c>
      <c r="C606" s="108" t="s">
        <v>466</v>
      </c>
      <c r="D606" s="141"/>
      <c r="E606" s="128" t="s">
        <v>12</v>
      </c>
      <c r="F606" s="18"/>
      <c r="G606" s="24"/>
      <c r="H606" s="22"/>
    </row>
    <row r="607" spans="2:8" x14ac:dyDescent="0.25">
      <c r="B607" s="101"/>
      <c r="C607" s="16"/>
      <c r="D607" s="141"/>
      <c r="E607" s="128" t="s">
        <v>13</v>
      </c>
      <c r="F607" s="18"/>
      <c r="G607" s="17"/>
      <c r="H607" s="22"/>
    </row>
    <row r="608" spans="2:8" x14ac:dyDescent="0.25">
      <c r="B608" s="122" t="s">
        <v>374</v>
      </c>
      <c r="C608" s="124" t="s">
        <v>467</v>
      </c>
      <c r="D608" s="142"/>
      <c r="E608" s="12"/>
      <c r="F608" s="14"/>
      <c r="G608" s="26"/>
      <c r="H608" s="13"/>
    </row>
    <row r="609" spans="2:8" x14ac:dyDescent="0.25">
      <c r="B609" s="76" t="s">
        <v>15</v>
      </c>
      <c r="C609" s="108" t="s">
        <v>424</v>
      </c>
      <c r="D609" s="141"/>
      <c r="E609" s="128" t="s">
        <v>9</v>
      </c>
      <c r="F609" s="18"/>
      <c r="G609" s="24"/>
      <c r="H609" s="19" t="b">
        <f>IF(D609="x",H$2,H$1)</f>
        <v>0</v>
      </c>
    </row>
    <row r="610" spans="2:8" x14ac:dyDescent="0.25">
      <c r="B610" s="76" t="s">
        <v>15</v>
      </c>
      <c r="C610" s="108" t="s">
        <v>428</v>
      </c>
      <c r="D610" s="141"/>
      <c r="E610" s="128" t="s">
        <v>10</v>
      </c>
      <c r="F610" s="20" t="str">
        <f t="shared" ref="F610" si="58">IF(H611=1,IF(H609=H$2,H609,""),"")</f>
        <v/>
      </c>
      <c r="G610" s="24"/>
      <c r="H610" s="19">
        <f>IF(E856="comprobar",COUNTIF(D609:D613,"x"),"")</f>
        <v>0</v>
      </c>
    </row>
    <row r="611" spans="2:8" x14ac:dyDescent="0.25">
      <c r="B611" s="76" t="s">
        <v>15</v>
      </c>
      <c r="C611" s="108" t="s">
        <v>468</v>
      </c>
      <c r="D611" s="141"/>
      <c r="E611" s="128" t="s">
        <v>11</v>
      </c>
      <c r="F611" s="21" t="str">
        <f t="shared" ref="F611" si="59">IF(H611=-0.33,IF(H609=H$1,H609,""),"")</f>
        <v/>
      </c>
      <c r="G611" s="24"/>
      <c r="H611" s="22">
        <f t="shared" si="55"/>
        <v>0</v>
      </c>
    </row>
    <row r="612" spans="2:8" x14ac:dyDescent="0.25">
      <c r="B612" s="76" t="s">
        <v>15</v>
      </c>
      <c r="C612" s="108" t="s">
        <v>469</v>
      </c>
      <c r="D612" s="141"/>
      <c r="E612" s="128" t="s">
        <v>12</v>
      </c>
      <c r="F612" s="18"/>
      <c r="G612" s="24"/>
      <c r="H612" s="22"/>
    </row>
    <row r="613" spans="2:8" x14ac:dyDescent="0.25">
      <c r="B613" s="101"/>
      <c r="C613" s="16"/>
      <c r="D613" s="141"/>
      <c r="E613" s="128" t="s">
        <v>13</v>
      </c>
      <c r="F613" s="18"/>
      <c r="G613" s="17"/>
      <c r="H613" s="22"/>
    </row>
    <row r="614" spans="2:8" x14ac:dyDescent="0.25">
      <c r="B614" s="122" t="s">
        <v>375</v>
      </c>
      <c r="C614" s="124" t="s">
        <v>470</v>
      </c>
      <c r="D614" s="142"/>
      <c r="E614" s="12"/>
      <c r="F614" s="14"/>
      <c r="G614" s="26"/>
      <c r="H614" s="13"/>
    </row>
    <row r="615" spans="2:8" x14ac:dyDescent="0.25">
      <c r="B615" s="76" t="s">
        <v>15</v>
      </c>
      <c r="C615" s="108" t="s">
        <v>471</v>
      </c>
      <c r="D615" s="141"/>
      <c r="E615" s="128" t="s">
        <v>9</v>
      </c>
      <c r="F615" s="18"/>
      <c r="G615" s="24"/>
      <c r="H615" s="19" t="b">
        <f>IF(D617="x",H$2,H$1)</f>
        <v>0</v>
      </c>
    </row>
    <row r="616" spans="2:8" x14ac:dyDescent="0.25">
      <c r="B616" s="76" t="s">
        <v>15</v>
      </c>
      <c r="C616" s="108" t="s">
        <v>472</v>
      </c>
      <c r="D616" s="141"/>
      <c r="E616" s="128" t="s">
        <v>10</v>
      </c>
      <c r="F616" s="20" t="str">
        <f t="shared" ref="F616" si="60">IF(H617=1,IF(H615=H$2,H615,""),"")</f>
        <v/>
      </c>
      <c r="G616" s="24"/>
      <c r="H616" s="19">
        <f>IF(E856="comprobar",COUNTIF(D615:D619,"x"),"")</f>
        <v>0</v>
      </c>
    </row>
    <row r="617" spans="2:8" x14ac:dyDescent="0.25">
      <c r="B617" s="76" t="s">
        <v>15</v>
      </c>
      <c r="C617" s="108" t="s">
        <v>473</v>
      </c>
      <c r="D617" s="141"/>
      <c r="E617" s="128" t="s">
        <v>11</v>
      </c>
      <c r="F617" s="21" t="str">
        <f t="shared" ref="F617" si="61">IF(H617=-0.33,IF(H615=H$1,H615,""),"")</f>
        <v/>
      </c>
      <c r="G617" s="24"/>
      <c r="H617" s="22">
        <f t="shared" si="55"/>
        <v>0</v>
      </c>
    </row>
    <row r="618" spans="2:8" x14ac:dyDescent="0.25">
      <c r="B618" s="76" t="s">
        <v>15</v>
      </c>
      <c r="C618" s="108" t="s">
        <v>474</v>
      </c>
      <c r="D618" s="141"/>
      <c r="E618" s="128" t="s">
        <v>12</v>
      </c>
      <c r="F618" s="18"/>
      <c r="G618" s="24"/>
      <c r="H618" s="22"/>
    </row>
    <row r="619" spans="2:8" x14ac:dyDescent="0.25">
      <c r="B619" s="101"/>
      <c r="C619" s="16"/>
      <c r="D619" s="141"/>
      <c r="E619" s="128" t="s">
        <v>13</v>
      </c>
      <c r="F619" s="18"/>
      <c r="G619" s="17"/>
      <c r="H619" s="22"/>
    </row>
    <row r="620" spans="2:8" x14ac:dyDescent="0.25">
      <c r="B620" s="122" t="s">
        <v>376</v>
      </c>
      <c r="C620" s="124" t="s">
        <v>475</v>
      </c>
      <c r="D620" s="142"/>
      <c r="E620" s="12"/>
      <c r="F620" s="14"/>
      <c r="G620" s="26"/>
      <c r="H620" s="13"/>
    </row>
    <row r="621" spans="2:8" x14ac:dyDescent="0.25">
      <c r="B621" s="76" t="s">
        <v>15</v>
      </c>
      <c r="C621" s="108" t="s">
        <v>476</v>
      </c>
      <c r="D621" s="141"/>
      <c r="E621" s="128" t="s">
        <v>9</v>
      </c>
      <c r="F621" s="18"/>
      <c r="G621" s="24"/>
      <c r="H621" s="19" t="b">
        <f>IF(D621="x",H$2,H$1)</f>
        <v>0</v>
      </c>
    </row>
    <row r="622" spans="2:8" x14ac:dyDescent="0.25">
      <c r="B622" s="76" t="s">
        <v>15</v>
      </c>
      <c r="C622" s="108" t="s">
        <v>477</v>
      </c>
      <c r="D622" s="141"/>
      <c r="E622" s="128" t="s">
        <v>10</v>
      </c>
      <c r="F622" s="20" t="str">
        <f t="shared" ref="F622" si="62">IF(H623=1,IF(H621=H$2,H621,""),"")</f>
        <v/>
      </c>
      <c r="G622" s="24"/>
      <c r="H622" s="19">
        <f>IF(E856="comprobar",COUNTIF(D621:D625,"x"),"")</f>
        <v>0</v>
      </c>
    </row>
    <row r="623" spans="2:8" x14ac:dyDescent="0.25">
      <c r="B623" s="76" t="s">
        <v>15</v>
      </c>
      <c r="C623" s="108" t="s">
        <v>478</v>
      </c>
      <c r="D623" s="141"/>
      <c r="E623" s="128" t="s">
        <v>11</v>
      </c>
      <c r="F623" s="21" t="str">
        <f t="shared" ref="F623" si="63">IF(H623=-0.33,IF(H621=H$1,H621,""),"")</f>
        <v/>
      </c>
      <c r="G623" s="24"/>
      <c r="H623" s="22">
        <f t="shared" si="55"/>
        <v>0</v>
      </c>
    </row>
    <row r="624" spans="2:8" x14ac:dyDescent="0.25">
      <c r="B624" s="76" t="s">
        <v>15</v>
      </c>
      <c r="C624" s="108" t="s">
        <v>479</v>
      </c>
      <c r="D624" s="141"/>
      <c r="E624" s="128" t="s">
        <v>12</v>
      </c>
      <c r="F624" s="18"/>
      <c r="G624" s="24"/>
      <c r="H624" s="22"/>
    </row>
    <row r="625" spans="2:8" x14ac:dyDescent="0.25">
      <c r="B625" s="101"/>
      <c r="C625" s="16"/>
      <c r="D625" s="141"/>
      <c r="E625" s="128" t="s">
        <v>13</v>
      </c>
      <c r="F625" s="18"/>
      <c r="G625" s="17"/>
      <c r="H625" s="22"/>
    </row>
    <row r="626" spans="2:8" x14ac:dyDescent="0.25">
      <c r="B626" s="122" t="s">
        <v>377</v>
      </c>
      <c r="C626" s="124" t="s">
        <v>480</v>
      </c>
      <c r="D626" s="142"/>
      <c r="E626" s="12"/>
      <c r="F626" s="14"/>
      <c r="G626" s="26"/>
      <c r="H626" s="13"/>
    </row>
    <row r="627" spans="2:8" x14ac:dyDescent="0.25">
      <c r="B627" s="76" t="s">
        <v>15</v>
      </c>
      <c r="C627" s="108" t="s">
        <v>481</v>
      </c>
      <c r="D627" s="141"/>
      <c r="E627" s="128" t="s">
        <v>9</v>
      </c>
      <c r="F627" s="18"/>
      <c r="G627" s="24"/>
      <c r="H627" s="19" t="b">
        <f>IF(D630="x",H$2,H$1)</f>
        <v>0</v>
      </c>
    </row>
    <row r="628" spans="2:8" x14ac:dyDescent="0.25">
      <c r="B628" s="76" t="s">
        <v>15</v>
      </c>
      <c r="C628" s="108" t="s">
        <v>482</v>
      </c>
      <c r="D628" s="141"/>
      <c r="E628" s="128" t="s">
        <v>10</v>
      </c>
      <c r="F628" s="20" t="str">
        <f t="shared" ref="F628" si="64">IF(H629=1,IF(H627=H$2,H627,""),"")</f>
        <v/>
      </c>
      <c r="G628" s="24"/>
      <c r="H628" s="19">
        <f>IF(E856="comprobar",COUNTIF(D627:D631,"x"),"")</f>
        <v>0</v>
      </c>
    </row>
    <row r="629" spans="2:8" x14ac:dyDescent="0.25">
      <c r="B629" s="76" t="s">
        <v>15</v>
      </c>
      <c r="C629" s="108" t="s">
        <v>483</v>
      </c>
      <c r="D629" s="141"/>
      <c r="E629" s="128" t="s">
        <v>11</v>
      </c>
      <c r="F629" s="21" t="str">
        <f t="shared" ref="F629" si="65">IF(H629=-0.33,IF(H627=H$1,H627,""),"")</f>
        <v/>
      </c>
      <c r="G629" s="24"/>
      <c r="H629" s="22">
        <f t="shared" si="55"/>
        <v>0</v>
      </c>
    </row>
    <row r="630" spans="2:8" x14ac:dyDescent="0.25">
      <c r="B630" s="76" t="s">
        <v>15</v>
      </c>
      <c r="C630" s="108" t="s">
        <v>460</v>
      </c>
      <c r="D630" s="141"/>
      <c r="E630" s="128" t="s">
        <v>12</v>
      </c>
      <c r="F630" s="18"/>
      <c r="G630" s="24"/>
      <c r="H630" s="22"/>
    </row>
    <row r="631" spans="2:8" x14ac:dyDescent="0.25">
      <c r="B631" s="101"/>
      <c r="C631" s="16"/>
      <c r="D631" s="141"/>
      <c r="E631" s="128" t="s">
        <v>13</v>
      </c>
      <c r="F631" s="18"/>
      <c r="G631" s="17"/>
      <c r="H631" s="22"/>
    </row>
    <row r="632" spans="2:8" x14ac:dyDescent="0.25">
      <c r="B632" s="122" t="s">
        <v>378</v>
      </c>
      <c r="C632" s="124" t="s">
        <v>484</v>
      </c>
      <c r="D632" s="142"/>
      <c r="E632" s="12"/>
      <c r="F632" s="14"/>
      <c r="G632" s="26"/>
      <c r="H632" s="13"/>
    </row>
    <row r="633" spans="2:8" x14ac:dyDescent="0.25">
      <c r="B633" s="76" t="s">
        <v>15</v>
      </c>
      <c r="C633" s="108" t="s">
        <v>485</v>
      </c>
      <c r="D633" s="141"/>
      <c r="E633" s="128" t="s">
        <v>9</v>
      </c>
      <c r="F633" s="18"/>
      <c r="G633" s="24"/>
      <c r="H633" s="19" t="b">
        <f>IF(D635="x",H$2,H$1)</f>
        <v>0</v>
      </c>
    </row>
    <row r="634" spans="2:8" x14ac:dyDescent="0.25">
      <c r="B634" s="76" t="s">
        <v>15</v>
      </c>
      <c r="C634" s="108" t="s">
        <v>486</v>
      </c>
      <c r="D634" s="141"/>
      <c r="E634" s="128" t="s">
        <v>10</v>
      </c>
      <c r="F634" s="20" t="str">
        <f t="shared" ref="F634" si="66">IF(H635=1,IF(H633=H$2,H633,""),"")</f>
        <v/>
      </c>
      <c r="G634" s="24"/>
      <c r="H634" s="19">
        <f>IF(E856="comprobar",COUNTIF(D633:D637,"x"),"")</f>
        <v>0</v>
      </c>
    </row>
    <row r="635" spans="2:8" x14ac:dyDescent="0.25">
      <c r="B635" s="76" t="s">
        <v>15</v>
      </c>
      <c r="C635" s="108" t="s">
        <v>487</v>
      </c>
      <c r="D635" s="141"/>
      <c r="E635" s="128" t="s">
        <v>11</v>
      </c>
      <c r="F635" s="21" t="str">
        <f t="shared" ref="F635" si="67">IF(H635=-0.33,IF(H633=H$1,H633,""),"")</f>
        <v/>
      </c>
      <c r="G635" s="24"/>
      <c r="H635" s="22">
        <f t="shared" si="55"/>
        <v>0</v>
      </c>
    </row>
    <row r="636" spans="2:8" x14ac:dyDescent="0.25">
      <c r="B636" s="76" t="s">
        <v>15</v>
      </c>
      <c r="C636" s="108" t="s">
        <v>488</v>
      </c>
      <c r="D636" s="141"/>
      <c r="E636" s="128" t="s">
        <v>12</v>
      </c>
      <c r="F636" s="18"/>
      <c r="G636" s="24"/>
      <c r="H636" s="22"/>
    </row>
    <row r="637" spans="2:8" x14ac:dyDescent="0.25">
      <c r="B637" s="101"/>
      <c r="C637" s="16"/>
      <c r="D637" s="141"/>
      <c r="E637" s="128" t="s">
        <v>13</v>
      </c>
      <c r="F637" s="18"/>
      <c r="G637" s="17"/>
      <c r="H637" s="22"/>
    </row>
    <row r="638" spans="2:8" x14ac:dyDescent="0.25">
      <c r="B638" s="122" t="s">
        <v>379</v>
      </c>
      <c r="C638" s="124" t="s">
        <v>489</v>
      </c>
      <c r="D638" s="142"/>
      <c r="E638" s="12"/>
      <c r="F638" s="14"/>
      <c r="G638" s="26"/>
      <c r="H638" s="13"/>
    </row>
    <row r="639" spans="2:8" x14ac:dyDescent="0.25">
      <c r="B639" s="76" t="s">
        <v>15</v>
      </c>
      <c r="C639" s="108" t="s">
        <v>416</v>
      </c>
      <c r="D639" s="141"/>
      <c r="E639" s="128" t="s">
        <v>9</v>
      </c>
      <c r="F639" s="18"/>
      <c r="G639" s="24"/>
      <c r="H639" s="19" t="b">
        <f>IF(D640="x",H$2,H$1)</f>
        <v>0</v>
      </c>
    </row>
    <row r="640" spans="2:8" x14ac:dyDescent="0.25">
      <c r="B640" s="76" t="s">
        <v>15</v>
      </c>
      <c r="C640" s="108" t="s">
        <v>417</v>
      </c>
      <c r="D640" s="141"/>
      <c r="E640" s="128" t="s">
        <v>10</v>
      </c>
      <c r="F640" s="20" t="str">
        <f t="shared" ref="F640" si="68">IF(H641=1,IF(H639=H$2,H639,""),"")</f>
        <v/>
      </c>
      <c r="G640" s="24"/>
      <c r="H640" s="19">
        <f>IF(E856="comprobar",COUNTIF(D639:D643,"x"),"")</f>
        <v>0</v>
      </c>
    </row>
    <row r="641" spans="2:8" x14ac:dyDescent="0.25">
      <c r="B641" s="76" t="s">
        <v>15</v>
      </c>
      <c r="C641" s="108" t="s">
        <v>418</v>
      </c>
      <c r="D641" s="141"/>
      <c r="E641" s="128" t="s">
        <v>11</v>
      </c>
      <c r="F641" s="21" t="str">
        <f t="shared" ref="F641" si="69">IF(H641=-0.33,IF(H639=H$1,H639,""),"")</f>
        <v/>
      </c>
      <c r="G641" s="24"/>
      <c r="H641" s="22">
        <f t="shared" si="55"/>
        <v>0</v>
      </c>
    </row>
    <row r="642" spans="2:8" x14ac:dyDescent="0.25">
      <c r="B642" s="76" t="s">
        <v>15</v>
      </c>
      <c r="C642" s="108" t="s">
        <v>419</v>
      </c>
      <c r="D642" s="141"/>
      <c r="E642" s="128" t="s">
        <v>12</v>
      </c>
      <c r="F642" s="18"/>
      <c r="G642" s="24"/>
      <c r="H642" s="22"/>
    </row>
    <row r="643" spans="2:8" x14ac:dyDescent="0.25">
      <c r="B643" s="101"/>
      <c r="C643" s="16"/>
      <c r="D643" s="141"/>
      <c r="E643" s="128" t="s">
        <v>13</v>
      </c>
      <c r="F643" s="18"/>
      <c r="G643" s="17"/>
      <c r="H643" s="22"/>
    </row>
    <row r="644" spans="2:8" x14ac:dyDescent="0.25">
      <c r="B644" s="122" t="s">
        <v>380</v>
      </c>
      <c r="C644" s="124" t="s">
        <v>490</v>
      </c>
      <c r="D644" s="142"/>
      <c r="E644" s="12"/>
      <c r="F644" s="14"/>
      <c r="G644" s="26"/>
      <c r="H644" s="13"/>
    </row>
    <row r="645" spans="2:8" x14ac:dyDescent="0.25">
      <c r="B645" s="76" t="s">
        <v>15</v>
      </c>
      <c r="C645" s="108" t="s">
        <v>491</v>
      </c>
      <c r="D645" s="141"/>
      <c r="E645" s="128" t="s">
        <v>9</v>
      </c>
      <c r="F645" s="18"/>
      <c r="G645" s="24"/>
      <c r="H645" s="19" t="b">
        <f>IF(D645="x",H$2,H$1)</f>
        <v>0</v>
      </c>
    </row>
    <row r="646" spans="2:8" x14ac:dyDescent="0.25">
      <c r="B646" s="76" t="s">
        <v>15</v>
      </c>
      <c r="C646" s="108" t="s">
        <v>492</v>
      </c>
      <c r="D646" s="141"/>
      <c r="E646" s="128" t="s">
        <v>10</v>
      </c>
      <c r="F646" s="20" t="str">
        <f t="shared" ref="F646" si="70">IF(H647=1,IF(H645=H$2,H645,""),"")</f>
        <v/>
      </c>
      <c r="G646" s="24"/>
      <c r="H646" s="19">
        <f>IF(E856="comprobar",COUNTIF(D645:D649,"x"),"")</f>
        <v>0</v>
      </c>
    </row>
    <row r="647" spans="2:8" x14ac:dyDescent="0.25">
      <c r="B647" s="76" t="s">
        <v>15</v>
      </c>
      <c r="C647" s="108" t="s">
        <v>493</v>
      </c>
      <c r="D647" s="141"/>
      <c r="E647" s="128" t="s">
        <v>11</v>
      </c>
      <c r="F647" s="21" t="str">
        <f t="shared" ref="F647" si="71">IF(H647=-0.33,IF(H645=H$1,H645,""),"")</f>
        <v/>
      </c>
      <c r="G647" s="24"/>
      <c r="H647" s="22">
        <f t="shared" si="55"/>
        <v>0</v>
      </c>
    </row>
    <row r="648" spans="2:8" x14ac:dyDescent="0.25">
      <c r="B648" s="76" t="s">
        <v>15</v>
      </c>
      <c r="C648" s="108" t="s">
        <v>494</v>
      </c>
      <c r="D648" s="141"/>
      <c r="E648" s="128" t="s">
        <v>12</v>
      </c>
      <c r="F648" s="18"/>
      <c r="G648" s="24"/>
      <c r="H648" s="22"/>
    </row>
    <row r="649" spans="2:8" x14ac:dyDescent="0.25">
      <c r="B649" s="101"/>
      <c r="C649" s="16"/>
      <c r="D649" s="141"/>
      <c r="E649" s="128" t="s">
        <v>13</v>
      </c>
      <c r="F649" s="18"/>
      <c r="G649" s="17"/>
      <c r="H649" s="22"/>
    </row>
    <row r="650" spans="2:8" x14ac:dyDescent="0.25">
      <c r="B650" s="122" t="s">
        <v>381</v>
      </c>
      <c r="C650" s="124" t="s">
        <v>495</v>
      </c>
      <c r="D650" s="142"/>
      <c r="E650" s="12"/>
      <c r="F650" s="14"/>
      <c r="G650" s="26"/>
      <c r="H650" s="13"/>
    </row>
    <row r="651" spans="2:8" x14ac:dyDescent="0.25">
      <c r="B651" s="76" t="s">
        <v>15</v>
      </c>
      <c r="C651" s="108" t="s">
        <v>496</v>
      </c>
      <c r="D651" s="141"/>
      <c r="E651" s="128" t="s">
        <v>9</v>
      </c>
      <c r="F651" s="18"/>
      <c r="G651" s="24"/>
      <c r="H651" s="19" t="b">
        <f>IF(D654="x",H$2,H$1)</f>
        <v>0</v>
      </c>
    </row>
    <row r="652" spans="2:8" x14ac:dyDescent="0.25">
      <c r="B652" s="76" t="s">
        <v>15</v>
      </c>
      <c r="C652" s="108" t="s">
        <v>497</v>
      </c>
      <c r="D652" s="141"/>
      <c r="E652" s="128" t="s">
        <v>10</v>
      </c>
      <c r="F652" s="20" t="str">
        <f t="shared" ref="F652" si="72">IF(H653=1,IF(H651=H$2,H651,""),"")</f>
        <v/>
      </c>
      <c r="G652" s="24"/>
      <c r="H652" s="19">
        <f>IF(E856="comprobar",COUNTIF(D651:D655,"x"),"")</f>
        <v>0</v>
      </c>
    </row>
    <row r="653" spans="2:8" x14ac:dyDescent="0.25">
      <c r="B653" s="76" t="s">
        <v>15</v>
      </c>
      <c r="C653" s="108" t="s">
        <v>498</v>
      </c>
      <c r="D653" s="141"/>
      <c r="E653" s="128" t="s">
        <v>11</v>
      </c>
      <c r="F653" s="21" t="str">
        <f t="shared" ref="F653" si="73">IF(H653=-0.33,IF(H651=H$1,H651,""),"")</f>
        <v/>
      </c>
      <c r="G653" s="24"/>
      <c r="H653" s="22">
        <f t="shared" si="55"/>
        <v>0</v>
      </c>
    </row>
    <row r="654" spans="2:8" x14ac:dyDescent="0.25">
      <c r="B654" s="76" t="s">
        <v>15</v>
      </c>
      <c r="C654" s="108" t="s">
        <v>499</v>
      </c>
      <c r="D654" s="141"/>
      <c r="E654" s="128" t="s">
        <v>12</v>
      </c>
      <c r="F654" s="18"/>
      <c r="G654" s="24"/>
      <c r="H654" s="22"/>
    </row>
    <row r="655" spans="2:8" x14ac:dyDescent="0.25">
      <c r="B655" s="101"/>
      <c r="C655" s="16"/>
      <c r="D655" s="141"/>
      <c r="E655" s="128" t="s">
        <v>13</v>
      </c>
      <c r="F655" s="18"/>
      <c r="G655" s="17"/>
      <c r="H655" s="22"/>
    </row>
    <row r="656" spans="2:8" x14ac:dyDescent="0.25">
      <c r="B656" s="122" t="s">
        <v>382</v>
      </c>
      <c r="C656" s="124" t="s">
        <v>500</v>
      </c>
      <c r="D656" s="142"/>
      <c r="E656" s="12"/>
      <c r="F656" s="14"/>
      <c r="G656" s="26"/>
      <c r="H656" s="13"/>
    </row>
    <row r="657" spans="2:8" x14ac:dyDescent="0.25">
      <c r="B657" s="76" t="s">
        <v>15</v>
      </c>
      <c r="C657" s="108" t="s">
        <v>501</v>
      </c>
      <c r="D657" s="141"/>
      <c r="E657" s="128" t="s">
        <v>9</v>
      </c>
      <c r="F657" s="18"/>
      <c r="G657" s="24"/>
      <c r="H657" s="19" t="b">
        <f>IF(D660="x",H$2,H$1)</f>
        <v>0</v>
      </c>
    </row>
    <row r="658" spans="2:8" x14ac:dyDescent="0.25">
      <c r="B658" s="76" t="s">
        <v>15</v>
      </c>
      <c r="C658" s="108" t="s">
        <v>502</v>
      </c>
      <c r="D658" s="141"/>
      <c r="E658" s="128" t="s">
        <v>10</v>
      </c>
      <c r="F658" s="20" t="str">
        <f t="shared" ref="F658" si="74">IF(H659=1,IF(H657=H$2,H657,""),"")</f>
        <v/>
      </c>
      <c r="G658" s="24"/>
      <c r="H658" s="19">
        <f>IF(E856="comprobar",COUNTIF(D657:D661,"x"),"")</f>
        <v>0</v>
      </c>
    </row>
    <row r="659" spans="2:8" x14ac:dyDescent="0.25">
      <c r="B659" s="76" t="s">
        <v>15</v>
      </c>
      <c r="C659" s="108" t="s">
        <v>503</v>
      </c>
      <c r="D659" s="141"/>
      <c r="E659" s="128" t="s">
        <v>11</v>
      </c>
      <c r="F659" s="21" t="str">
        <f t="shared" ref="F659" si="75">IF(H659=-0.33,IF(H657=H$1,H657,""),"")</f>
        <v/>
      </c>
      <c r="G659" s="24"/>
      <c r="H659" s="22">
        <f t="shared" si="55"/>
        <v>0</v>
      </c>
    </row>
    <row r="660" spans="2:8" x14ac:dyDescent="0.25">
      <c r="B660" s="76" t="s">
        <v>15</v>
      </c>
      <c r="C660" s="108" t="s">
        <v>504</v>
      </c>
      <c r="D660" s="141"/>
      <c r="E660" s="128" t="s">
        <v>12</v>
      </c>
      <c r="F660" s="18"/>
      <c r="G660" s="24"/>
      <c r="H660" s="22"/>
    </row>
    <row r="661" spans="2:8" x14ac:dyDescent="0.25">
      <c r="B661" s="101"/>
      <c r="C661" s="16"/>
      <c r="D661" s="141"/>
      <c r="E661" s="128" t="s">
        <v>13</v>
      </c>
      <c r="F661" s="18"/>
      <c r="G661" s="17"/>
      <c r="H661" s="22"/>
    </row>
    <row r="662" spans="2:8" x14ac:dyDescent="0.25">
      <c r="B662" s="122" t="s">
        <v>383</v>
      </c>
      <c r="C662" s="124" t="s">
        <v>505</v>
      </c>
      <c r="D662" s="142"/>
      <c r="E662" s="12"/>
      <c r="F662" s="14"/>
      <c r="G662" s="26"/>
      <c r="H662" s="13"/>
    </row>
    <row r="663" spans="2:8" x14ac:dyDescent="0.25">
      <c r="B663" s="76" t="s">
        <v>15</v>
      </c>
      <c r="C663" s="108" t="s">
        <v>497</v>
      </c>
      <c r="D663" s="141"/>
      <c r="E663" s="128" t="s">
        <v>9</v>
      </c>
      <c r="F663" s="18"/>
      <c r="G663" s="24"/>
      <c r="H663" s="19" t="b">
        <f>IF(D663="x",H$2,H$1)</f>
        <v>0</v>
      </c>
    </row>
    <row r="664" spans="2:8" x14ac:dyDescent="0.25">
      <c r="B664" s="76" t="s">
        <v>15</v>
      </c>
      <c r="C664" s="108" t="s">
        <v>499</v>
      </c>
      <c r="D664" s="141"/>
      <c r="E664" s="128" t="s">
        <v>10</v>
      </c>
      <c r="F664" s="20" t="str">
        <f t="shared" ref="F664" si="76">IF(H665=1,IF(H663=H$2,H663,""),"")</f>
        <v/>
      </c>
      <c r="G664" s="24"/>
      <c r="H664" s="19">
        <f>IF(E856="comprobar",COUNTIF(D663:D667,"x"),"")</f>
        <v>0</v>
      </c>
    </row>
    <row r="665" spans="2:8" x14ac:dyDescent="0.25">
      <c r="B665" s="76" t="s">
        <v>15</v>
      </c>
      <c r="C665" s="108" t="s">
        <v>496</v>
      </c>
      <c r="D665" s="141"/>
      <c r="E665" s="128" t="s">
        <v>11</v>
      </c>
      <c r="F665" s="21" t="str">
        <f t="shared" ref="F665" si="77">IF(H665=-0.33,IF(H663=H$1,H663,""),"")</f>
        <v/>
      </c>
      <c r="G665" s="24"/>
      <c r="H665" s="22">
        <f t="shared" ref="H665:H725" si="78">IF(H664=1,IF(H663=H$2,1,-0.33),0)</f>
        <v>0</v>
      </c>
    </row>
    <row r="666" spans="2:8" x14ac:dyDescent="0.25">
      <c r="B666" s="76" t="s">
        <v>15</v>
      </c>
      <c r="C666" s="108" t="s">
        <v>498</v>
      </c>
      <c r="D666" s="141"/>
      <c r="E666" s="128" t="s">
        <v>12</v>
      </c>
      <c r="F666" s="18"/>
      <c r="G666" s="24"/>
      <c r="H666" s="22"/>
    </row>
    <row r="667" spans="2:8" x14ac:dyDescent="0.25">
      <c r="B667" s="101"/>
      <c r="C667" s="16"/>
      <c r="D667" s="141"/>
      <c r="E667" s="128" t="s">
        <v>13</v>
      </c>
      <c r="F667" s="18"/>
      <c r="G667" s="17"/>
      <c r="H667" s="22"/>
    </row>
    <row r="668" spans="2:8" x14ac:dyDescent="0.25">
      <c r="B668" s="122" t="s">
        <v>384</v>
      </c>
      <c r="C668" s="124" t="s">
        <v>506</v>
      </c>
      <c r="D668" s="142"/>
      <c r="E668" s="12"/>
      <c r="F668" s="14"/>
      <c r="G668" s="26"/>
      <c r="H668" s="13"/>
    </row>
    <row r="669" spans="2:8" x14ac:dyDescent="0.25">
      <c r="B669" s="76" t="s">
        <v>15</v>
      </c>
      <c r="C669" s="108" t="s">
        <v>450</v>
      </c>
      <c r="D669" s="141"/>
      <c r="E669" s="128" t="s">
        <v>9</v>
      </c>
      <c r="F669" s="18"/>
      <c r="G669" s="24"/>
      <c r="H669" s="19" t="b">
        <f>IF(D670="x",H$2,H$1)</f>
        <v>0</v>
      </c>
    </row>
    <row r="670" spans="2:8" x14ac:dyDescent="0.25">
      <c r="B670" s="76" t="s">
        <v>15</v>
      </c>
      <c r="C670" s="108" t="s">
        <v>507</v>
      </c>
      <c r="D670" s="141"/>
      <c r="E670" s="128" t="s">
        <v>10</v>
      </c>
      <c r="F670" s="20" t="str">
        <f t="shared" ref="F670" si="79">IF(H671=1,IF(H669=H$2,H669,""),"")</f>
        <v/>
      </c>
      <c r="G670" s="24"/>
      <c r="H670" s="19">
        <f>IF(E856="comprobar",COUNTIF(D669:D673,"x"),"")</f>
        <v>0</v>
      </c>
    </row>
    <row r="671" spans="2:8" x14ac:dyDescent="0.25">
      <c r="B671" s="76" t="s">
        <v>15</v>
      </c>
      <c r="C671" s="108" t="s">
        <v>452</v>
      </c>
      <c r="D671" s="141"/>
      <c r="E671" s="128" t="s">
        <v>11</v>
      </c>
      <c r="F671" s="21" t="str">
        <f t="shared" ref="F671" si="80">IF(H671=-0.33,IF(H669=H$1,H669,""),"")</f>
        <v/>
      </c>
      <c r="G671" s="24"/>
      <c r="H671" s="22">
        <f t="shared" si="78"/>
        <v>0</v>
      </c>
    </row>
    <row r="672" spans="2:8" x14ac:dyDescent="0.25">
      <c r="B672" s="76" t="s">
        <v>15</v>
      </c>
      <c r="C672" s="108" t="s">
        <v>451</v>
      </c>
      <c r="D672" s="141"/>
      <c r="E672" s="128" t="s">
        <v>12</v>
      </c>
      <c r="F672" s="18"/>
      <c r="G672" s="24"/>
      <c r="H672" s="22"/>
    </row>
    <row r="673" spans="2:8" x14ac:dyDescent="0.25">
      <c r="B673" s="101"/>
      <c r="C673" s="16"/>
      <c r="D673" s="141"/>
      <c r="E673" s="128" t="s">
        <v>13</v>
      </c>
      <c r="F673" s="18"/>
      <c r="G673" s="17"/>
      <c r="H673" s="22"/>
    </row>
    <row r="674" spans="2:8" x14ac:dyDescent="0.25">
      <c r="B674" s="122" t="s">
        <v>385</v>
      </c>
      <c r="C674" s="124" t="s">
        <v>508</v>
      </c>
      <c r="D674" s="142"/>
      <c r="E674" s="12"/>
      <c r="F674" s="14"/>
      <c r="G674" s="26"/>
      <c r="H674" s="13"/>
    </row>
    <row r="675" spans="2:8" x14ac:dyDescent="0.25">
      <c r="B675" s="76" t="s">
        <v>15</v>
      </c>
      <c r="C675" s="108" t="s">
        <v>493</v>
      </c>
      <c r="D675" s="141"/>
      <c r="E675" s="128" t="s">
        <v>9</v>
      </c>
      <c r="F675" s="18"/>
      <c r="G675" s="24"/>
      <c r="H675" s="19" t="b">
        <f>IF(D676="x",H$2,H$1)</f>
        <v>0</v>
      </c>
    </row>
    <row r="676" spans="2:8" x14ac:dyDescent="0.25">
      <c r="B676" s="76" t="s">
        <v>15</v>
      </c>
      <c r="C676" s="108" t="s">
        <v>491</v>
      </c>
      <c r="D676" s="141"/>
      <c r="E676" s="128" t="s">
        <v>10</v>
      </c>
      <c r="F676" s="20" t="str">
        <f t="shared" ref="F676" si="81">IF(H677=1,IF(H675=H$2,H675,""),"")</f>
        <v/>
      </c>
      <c r="G676" s="24"/>
      <c r="H676" s="19">
        <f>IF(E856="comprobar",COUNTIF(D675:D679,"x"),"")</f>
        <v>0</v>
      </c>
    </row>
    <row r="677" spans="2:8" x14ac:dyDescent="0.25">
      <c r="B677" s="76" t="s">
        <v>15</v>
      </c>
      <c r="C677" s="108" t="s">
        <v>494</v>
      </c>
      <c r="D677" s="141"/>
      <c r="E677" s="128" t="s">
        <v>11</v>
      </c>
      <c r="F677" s="21" t="str">
        <f t="shared" ref="F677" si="82">IF(H677=-0.33,IF(H675=H$1,H675,""),"")</f>
        <v/>
      </c>
      <c r="G677" s="24"/>
      <c r="H677" s="22">
        <f t="shared" si="78"/>
        <v>0</v>
      </c>
    </row>
    <row r="678" spans="2:8" x14ac:dyDescent="0.25">
      <c r="B678" s="76" t="s">
        <v>15</v>
      </c>
      <c r="C678" s="108" t="s">
        <v>492</v>
      </c>
      <c r="D678" s="141"/>
      <c r="E678" s="128" t="s">
        <v>12</v>
      </c>
      <c r="F678" s="18"/>
      <c r="G678" s="24"/>
      <c r="H678" s="22"/>
    </row>
    <row r="679" spans="2:8" x14ac:dyDescent="0.25">
      <c r="B679" s="101"/>
      <c r="C679" s="16"/>
      <c r="D679" s="141"/>
      <c r="E679" s="128" t="s">
        <v>13</v>
      </c>
      <c r="F679" s="18"/>
      <c r="G679" s="17"/>
      <c r="H679" s="22"/>
    </row>
    <row r="680" spans="2:8" x14ac:dyDescent="0.25">
      <c r="B680" s="122" t="s">
        <v>386</v>
      </c>
      <c r="C680" s="124" t="s">
        <v>509</v>
      </c>
      <c r="D680" s="142"/>
      <c r="E680" s="12"/>
      <c r="F680" s="14"/>
      <c r="G680" s="26"/>
      <c r="H680" s="13"/>
    </row>
    <row r="681" spans="2:8" x14ac:dyDescent="0.25">
      <c r="B681" s="76" t="s">
        <v>15</v>
      </c>
      <c r="C681" s="108" t="s">
        <v>474</v>
      </c>
      <c r="D681" s="141"/>
      <c r="E681" s="128" t="s">
        <v>9</v>
      </c>
      <c r="F681" s="18"/>
      <c r="G681" s="24"/>
      <c r="H681" s="19" t="b">
        <f>IF(D682="x",H$2,H$1)</f>
        <v>0</v>
      </c>
    </row>
    <row r="682" spans="2:8" x14ac:dyDescent="0.25">
      <c r="B682" s="76" t="s">
        <v>15</v>
      </c>
      <c r="C682" s="108" t="s">
        <v>471</v>
      </c>
      <c r="D682" s="141"/>
      <c r="E682" s="128" t="s">
        <v>10</v>
      </c>
      <c r="F682" s="20" t="str">
        <f t="shared" ref="F682" si="83">IF(H683=1,IF(H681=H$2,H681,""),"")</f>
        <v/>
      </c>
      <c r="G682" s="24"/>
      <c r="H682" s="19">
        <f>IF(E856="comprobar",COUNTIF(D681:D685,"x"),"")</f>
        <v>0</v>
      </c>
    </row>
    <row r="683" spans="2:8" x14ac:dyDescent="0.25">
      <c r="B683" s="76" t="s">
        <v>15</v>
      </c>
      <c r="C683" s="108" t="s">
        <v>473</v>
      </c>
      <c r="D683" s="141"/>
      <c r="E683" s="128" t="s">
        <v>11</v>
      </c>
      <c r="F683" s="21" t="str">
        <f t="shared" ref="F683" si="84">IF(H683=-0.33,IF(H681=H$1,H681,""),"")</f>
        <v/>
      </c>
      <c r="G683" s="24"/>
      <c r="H683" s="22">
        <f t="shared" si="78"/>
        <v>0</v>
      </c>
    </row>
    <row r="684" spans="2:8" x14ac:dyDescent="0.25">
      <c r="B684" s="76" t="s">
        <v>15</v>
      </c>
      <c r="C684" s="108" t="s">
        <v>472</v>
      </c>
      <c r="D684" s="141"/>
      <c r="E684" s="128" t="s">
        <v>12</v>
      </c>
      <c r="F684" s="18"/>
      <c r="G684" s="24"/>
      <c r="H684" s="22"/>
    </row>
    <row r="685" spans="2:8" x14ac:dyDescent="0.25">
      <c r="B685" s="101"/>
      <c r="C685" s="16"/>
      <c r="D685" s="141"/>
      <c r="E685" s="128" t="s">
        <v>13</v>
      </c>
      <c r="F685" s="18"/>
      <c r="G685" s="17"/>
      <c r="H685" s="22"/>
    </row>
    <row r="686" spans="2:8" x14ac:dyDescent="0.25">
      <c r="B686" s="122" t="s">
        <v>387</v>
      </c>
      <c r="C686" s="124" t="s">
        <v>510</v>
      </c>
      <c r="D686" s="142"/>
      <c r="E686" s="12"/>
      <c r="F686" s="14"/>
      <c r="G686" s="26"/>
      <c r="H686" s="13"/>
    </row>
    <row r="687" spans="2:8" x14ac:dyDescent="0.25">
      <c r="B687" s="76" t="s">
        <v>15</v>
      </c>
      <c r="C687" s="108" t="s">
        <v>496</v>
      </c>
      <c r="D687" s="141"/>
      <c r="E687" s="128" t="s">
        <v>9</v>
      </c>
      <c r="F687" s="18"/>
      <c r="G687" s="24"/>
      <c r="H687" s="19" t="b">
        <f>IF(D689="x",H$2,H$1)</f>
        <v>0</v>
      </c>
    </row>
    <row r="688" spans="2:8" x14ac:dyDescent="0.25">
      <c r="B688" s="76" t="s">
        <v>15</v>
      </c>
      <c r="C688" s="108" t="s">
        <v>497</v>
      </c>
      <c r="D688" s="141"/>
      <c r="E688" s="128" t="s">
        <v>10</v>
      </c>
      <c r="F688" s="20" t="str">
        <f t="shared" ref="F688" si="85">IF(H689=1,IF(H687=H$2,H687,""),"")</f>
        <v/>
      </c>
      <c r="G688" s="24"/>
      <c r="H688" s="19">
        <f>IF(E856="comprobar",COUNTIF(D687:D691,"x"),"")</f>
        <v>0</v>
      </c>
    </row>
    <row r="689" spans="2:8" x14ac:dyDescent="0.25">
      <c r="B689" s="76" t="s">
        <v>15</v>
      </c>
      <c r="C689" s="108" t="s">
        <v>499</v>
      </c>
      <c r="D689" s="141"/>
      <c r="E689" s="128" t="s">
        <v>11</v>
      </c>
      <c r="F689" s="21" t="str">
        <f t="shared" ref="F689" si="86">IF(H689=-0.33,IF(H687=H$1,H687,""),"")</f>
        <v/>
      </c>
      <c r="G689" s="24"/>
      <c r="H689" s="22">
        <f t="shared" si="78"/>
        <v>0</v>
      </c>
    </row>
    <row r="690" spans="2:8" x14ac:dyDescent="0.25">
      <c r="B690" s="76" t="s">
        <v>15</v>
      </c>
      <c r="C690" s="108" t="s">
        <v>498</v>
      </c>
      <c r="D690" s="141"/>
      <c r="E690" s="128" t="s">
        <v>12</v>
      </c>
      <c r="F690" s="18"/>
      <c r="G690" s="24"/>
      <c r="H690" s="22"/>
    </row>
    <row r="691" spans="2:8" x14ac:dyDescent="0.25">
      <c r="B691" s="101"/>
      <c r="C691" s="16"/>
      <c r="D691" s="141"/>
      <c r="E691" s="128" t="s">
        <v>13</v>
      </c>
      <c r="F691" s="18"/>
      <c r="G691" s="17"/>
      <c r="H691" s="22"/>
    </row>
    <row r="692" spans="2:8" x14ac:dyDescent="0.25">
      <c r="B692" s="122" t="s">
        <v>388</v>
      </c>
      <c r="C692" s="124" t="s">
        <v>511</v>
      </c>
      <c r="D692" s="142"/>
      <c r="E692" s="12"/>
      <c r="F692" s="14"/>
      <c r="G692" s="26"/>
      <c r="H692" s="13"/>
    </row>
    <row r="693" spans="2:8" x14ac:dyDescent="0.25">
      <c r="B693" s="76" t="s">
        <v>15</v>
      </c>
      <c r="C693" s="108" t="s">
        <v>512</v>
      </c>
      <c r="D693" s="141"/>
      <c r="E693" s="128" t="s">
        <v>9</v>
      </c>
      <c r="F693" s="18"/>
      <c r="G693" s="24"/>
      <c r="H693" s="19" t="b">
        <f>IF(D694="x",H$2,H$1)</f>
        <v>0</v>
      </c>
    </row>
    <row r="694" spans="2:8" x14ac:dyDescent="0.25">
      <c r="B694" s="76" t="s">
        <v>15</v>
      </c>
      <c r="C694" s="108" t="s">
        <v>513</v>
      </c>
      <c r="D694" s="141"/>
      <c r="E694" s="128" t="s">
        <v>10</v>
      </c>
      <c r="F694" s="20" t="str">
        <f t="shared" ref="F694" si="87">IF(H695=1,IF(H693=H$2,H693,""),"")</f>
        <v/>
      </c>
      <c r="G694" s="24"/>
      <c r="H694" s="19">
        <f>IF(E856="comprobar",COUNTIF(D693:D697,"x"),"")</f>
        <v>0</v>
      </c>
    </row>
    <row r="695" spans="2:8" x14ac:dyDescent="0.25">
      <c r="B695" s="76" t="s">
        <v>15</v>
      </c>
      <c r="C695" s="108" t="s">
        <v>514</v>
      </c>
      <c r="D695" s="141"/>
      <c r="E695" s="128" t="s">
        <v>11</v>
      </c>
      <c r="F695" s="21" t="str">
        <f t="shared" ref="F695" si="88">IF(H695=-0.33,IF(H693=H$1,H693,""),"")</f>
        <v/>
      </c>
      <c r="G695" s="24"/>
      <c r="H695" s="22">
        <f t="shared" si="78"/>
        <v>0</v>
      </c>
    </row>
    <row r="696" spans="2:8" x14ac:dyDescent="0.25">
      <c r="B696" s="76" t="s">
        <v>15</v>
      </c>
      <c r="C696" s="108" t="s">
        <v>515</v>
      </c>
      <c r="D696" s="141"/>
      <c r="E696" s="128" t="s">
        <v>12</v>
      </c>
      <c r="F696" s="18"/>
      <c r="G696" s="24"/>
      <c r="H696" s="22"/>
    </row>
    <row r="697" spans="2:8" x14ac:dyDescent="0.25">
      <c r="B697" s="101"/>
      <c r="C697" s="16"/>
      <c r="D697" s="141"/>
      <c r="E697" s="128" t="s">
        <v>13</v>
      </c>
      <c r="F697" s="18"/>
      <c r="G697" s="17"/>
      <c r="H697" s="22"/>
    </row>
    <row r="698" spans="2:8" x14ac:dyDescent="0.25">
      <c r="B698" s="122" t="s">
        <v>389</v>
      </c>
      <c r="C698" s="124" t="s">
        <v>516</v>
      </c>
      <c r="D698" s="142"/>
      <c r="E698" s="12"/>
      <c r="F698" s="14"/>
      <c r="G698" s="26"/>
      <c r="H698" s="13"/>
    </row>
    <row r="699" spans="2:8" x14ac:dyDescent="0.25">
      <c r="B699" s="76" t="s">
        <v>15</v>
      </c>
      <c r="C699" s="108" t="s">
        <v>517</v>
      </c>
      <c r="D699" s="141"/>
      <c r="E699" s="128" t="s">
        <v>9</v>
      </c>
      <c r="F699" s="18"/>
      <c r="G699" s="24"/>
      <c r="H699" s="19" t="b">
        <f>IF(D700="x",H$2,H$1)</f>
        <v>0</v>
      </c>
    </row>
    <row r="700" spans="2:8" x14ac:dyDescent="0.25">
      <c r="B700" s="76" t="s">
        <v>15</v>
      </c>
      <c r="C700" s="108" t="s">
        <v>440</v>
      </c>
      <c r="D700" s="141"/>
      <c r="E700" s="128" t="s">
        <v>10</v>
      </c>
      <c r="F700" s="20" t="str">
        <f t="shared" ref="F700" si="89">IF(H701=1,IF(H699=H$2,H699,""),"")</f>
        <v/>
      </c>
      <c r="G700" s="24"/>
      <c r="H700" s="19">
        <f>IF(E856="comprobar",COUNTIF(D699:D703,"x"),"")</f>
        <v>0</v>
      </c>
    </row>
    <row r="701" spans="2:8" x14ac:dyDescent="0.25">
      <c r="B701" s="76" t="s">
        <v>15</v>
      </c>
      <c r="C701" s="108" t="s">
        <v>442</v>
      </c>
      <c r="D701" s="141"/>
      <c r="E701" s="128" t="s">
        <v>11</v>
      </c>
      <c r="F701" s="21" t="str">
        <f t="shared" ref="F701" si="90">IF(H701=-0.33,IF(H699=H$1,H699,""),"")</f>
        <v/>
      </c>
      <c r="G701" s="24"/>
      <c r="H701" s="22">
        <f t="shared" si="78"/>
        <v>0</v>
      </c>
    </row>
    <row r="702" spans="2:8" x14ac:dyDescent="0.25">
      <c r="B702" s="76" t="s">
        <v>15</v>
      </c>
      <c r="C702" s="108" t="s">
        <v>441</v>
      </c>
      <c r="D702" s="141"/>
      <c r="E702" s="128" t="s">
        <v>12</v>
      </c>
      <c r="F702" s="18"/>
      <c r="G702" s="24"/>
      <c r="H702" s="22"/>
    </row>
    <row r="703" spans="2:8" x14ac:dyDescent="0.25">
      <c r="B703" s="101"/>
      <c r="C703" s="16"/>
      <c r="D703" s="141"/>
      <c r="E703" s="128" t="s">
        <v>13</v>
      </c>
      <c r="F703" s="18"/>
      <c r="G703" s="17"/>
      <c r="H703" s="22"/>
    </row>
    <row r="704" spans="2:8" x14ac:dyDescent="0.25">
      <c r="B704" s="122" t="s">
        <v>390</v>
      </c>
      <c r="C704" s="124" t="s">
        <v>518</v>
      </c>
      <c r="D704" s="142"/>
      <c r="E704" s="12"/>
      <c r="F704" s="14"/>
      <c r="G704" s="26"/>
      <c r="H704" s="13"/>
    </row>
    <row r="705" spans="2:8" x14ac:dyDescent="0.25">
      <c r="B705" s="76" t="s">
        <v>15</v>
      </c>
      <c r="C705" s="108" t="s">
        <v>468</v>
      </c>
      <c r="D705" s="141"/>
      <c r="E705" s="128" t="s">
        <v>9</v>
      </c>
      <c r="F705" s="18"/>
      <c r="G705" s="24"/>
      <c r="H705" s="19" t="b">
        <f>IF(D707="x",H$2,H$1)</f>
        <v>0</v>
      </c>
    </row>
    <row r="706" spans="2:8" x14ac:dyDescent="0.25">
      <c r="B706" s="76" t="s">
        <v>15</v>
      </c>
      <c r="C706" s="108" t="s">
        <v>428</v>
      </c>
      <c r="D706" s="141"/>
      <c r="E706" s="128" t="s">
        <v>10</v>
      </c>
      <c r="F706" s="20" t="str">
        <f t="shared" ref="F706" si="91">IF(H707=1,IF(H705=H$2,H705,""),"")</f>
        <v/>
      </c>
      <c r="G706" s="24"/>
      <c r="H706" s="19">
        <f>IF(E856="comprobar",COUNTIF(D705:D709,"x"),"")</f>
        <v>0</v>
      </c>
    </row>
    <row r="707" spans="2:8" x14ac:dyDescent="0.25">
      <c r="B707" s="76" t="s">
        <v>15</v>
      </c>
      <c r="C707" s="108" t="s">
        <v>424</v>
      </c>
      <c r="D707" s="141"/>
      <c r="E707" s="128" t="s">
        <v>11</v>
      </c>
      <c r="F707" s="21" t="str">
        <f t="shared" ref="F707" si="92">IF(H707=-0.33,IF(H705=H$1,H705,""),"")</f>
        <v/>
      </c>
      <c r="G707" s="24"/>
      <c r="H707" s="22">
        <f t="shared" si="78"/>
        <v>0</v>
      </c>
    </row>
    <row r="708" spans="2:8" x14ac:dyDescent="0.25">
      <c r="B708" s="76" t="s">
        <v>15</v>
      </c>
      <c r="C708" s="108" t="s">
        <v>469</v>
      </c>
      <c r="D708" s="141"/>
      <c r="E708" s="128" t="s">
        <v>12</v>
      </c>
      <c r="F708" s="18"/>
      <c r="G708" s="24"/>
      <c r="H708" s="22"/>
    </row>
    <row r="709" spans="2:8" x14ac:dyDescent="0.25">
      <c r="B709" s="101"/>
      <c r="C709" s="16"/>
      <c r="D709" s="141"/>
      <c r="E709" s="128" t="s">
        <v>13</v>
      </c>
      <c r="F709" s="18"/>
      <c r="G709" s="17"/>
      <c r="H709" s="22"/>
    </row>
    <row r="710" spans="2:8" x14ac:dyDescent="0.25">
      <c r="B710" s="122" t="s">
        <v>391</v>
      </c>
      <c r="C710" s="124" t="s">
        <v>519</v>
      </c>
      <c r="D710" s="142"/>
      <c r="E710" s="12"/>
      <c r="F710" s="14"/>
      <c r="G710" s="26"/>
      <c r="H710" s="13"/>
    </row>
    <row r="711" spans="2:8" x14ac:dyDescent="0.25">
      <c r="B711" s="76" t="s">
        <v>15</v>
      </c>
      <c r="C711" s="108" t="s">
        <v>491</v>
      </c>
      <c r="D711" s="141"/>
      <c r="E711" s="128" t="s">
        <v>9</v>
      </c>
      <c r="F711" s="18"/>
      <c r="G711" s="24"/>
      <c r="H711" s="19" t="b">
        <f>IF(D714="x",H$2,H$1)</f>
        <v>0</v>
      </c>
    </row>
    <row r="712" spans="2:8" x14ac:dyDescent="0.25">
      <c r="B712" s="76" t="s">
        <v>15</v>
      </c>
      <c r="C712" s="108" t="s">
        <v>494</v>
      </c>
      <c r="D712" s="141"/>
      <c r="E712" s="128" t="s">
        <v>10</v>
      </c>
      <c r="F712" s="20" t="str">
        <f t="shared" ref="F712" si="93">IF(H713=1,IF(H711=H$2,H711,""),"")</f>
        <v/>
      </c>
      <c r="G712" s="24"/>
      <c r="H712" s="19">
        <f>IF(E856="comprobar",COUNTIF(D711:D715,"x"),"")</f>
        <v>0</v>
      </c>
    </row>
    <row r="713" spans="2:8" x14ac:dyDescent="0.25">
      <c r="B713" s="76" t="s">
        <v>15</v>
      </c>
      <c r="C713" s="108" t="s">
        <v>492</v>
      </c>
      <c r="D713" s="141"/>
      <c r="E713" s="128" t="s">
        <v>11</v>
      </c>
      <c r="F713" s="21" t="str">
        <f t="shared" ref="F713" si="94">IF(H713=-0.33,IF(H711=H$1,H711,""),"")</f>
        <v/>
      </c>
      <c r="G713" s="24"/>
      <c r="H713" s="22">
        <f t="shared" si="78"/>
        <v>0</v>
      </c>
    </row>
    <row r="714" spans="2:8" x14ac:dyDescent="0.25">
      <c r="B714" s="76" t="s">
        <v>15</v>
      </c>
      <c r="C714" s="108" t="s">
        <v>493</v>
      </c>
      <c r="D714" s="141"/>
      <c r="E714" s="128" t="s">
        <v>12</v>
      </c>
      <c r="F714" s="18"/>
      <c r="G714" s="24"/>
      <c r="H714" s="22"/>
    </row>
    <row r="715" spans="2:8" x14ac:dyDescent="0.25">
      <c r="B715" s="101"/>
      <c r="C715" s="16"/>
      <c r="D715" s="141"/>
      <c r="E715" s="128" t="s">
        <v>13</v>
      </c>
      <c r="F715" s="18"/>
      <c r="G715" s="17"/>
      <c r="H715" s="22"/>
    </row>
    <row r="716" spans="2:8" x14ac:dyDescent="0.25">
      <c r="B716" s="122" t="s">
        <v>392</v>
      </c>
      <c r="C716" s="124" t="s">
        <v>520</v>
      </c>
      <c r="D716" s="142"/>
      <c r="E716" s="12"/>
      <c r="F716" s="14"/>
      <c r="G716" s="26"/>
      <c r="H716" s="13"/>
    </row>
    <row r="717" spans="2:8" x14ac:dyDescent="0.25">
      <c r="B717" s="76" t="s">
        <v>15</v>
      </c>
      <c r="C717" s="108" t="s">
        <v>521</v>
      </c>
      <c r="D717" s="141"/>
      <c r="E717" s="128" t="s">
        <v>9</v>
      </c>
      <c r="F717" s="18"/>
      <c r="G717" s="24"/>
      <c r="H717" s="19" t="b">
        <f>IF(D720="x",H$2,H$1)</f>
        <v>0</v>
      </c>
    </row>
    <row r="718" spans="2:8" x14ac:dyDescent="0.25">
      <c r="B718" s="76" t="s">
        <v>15</v>
      </c>
      <c r="C718" s="108" t="s">
        <v>522</v>
      </c>
      <c r="D718" s="141"/>
      <c r="E718" s="128" t="s">
        <v>10</v>
      </c>
      <c r="F718" s="20" t="str">
        <f t="shared" ref="F718" si="95">IF(H719=1,IF(H717=H$2,H717,""),"")</f>
        <v/>
      </c>
      <c r="G718" s="24"/>
      <c r="H718" s="19">
        <f>IF(E856="comprobar",COUNTIF(D717:D721,"x"),"")</f>
        <v>0</v>
      </c>
    </row>
    <row r="719" spans="2:8" x14ac:dyDescent="0.25">
      <c r="B719" s="76" t="s">
        <v>15</v>
      </c>
      <c r="C719" s="108" t="s">
        <v>523</v>
      </c>
      <c r="D719" s="141"/>
      <c r="E719" s="128" t="s">
        <v>11</v>
      </c>
      <c r="F719" s="21" t="str">
        <f t="shared" ref="F719" si="96">IF(H719=-0.33,IF(H717=H$1,H717,""),"")</f>
        <v/>
      </c>
      <c r="G719" s="24"/>
      <c r="H719" s="22">
        <f t="shared" si="78"/>
        <v>0</v>
      </c>
    </row>
    <row r="720" spans="2:8" x14ac:dyDescent="0.25">
      <c r="B720" s="76" t="s">
        <v>15</v>
      </c>
      <c r="C720" s="108" t="s">
        <v>524</v>
      </c>
      <c r="D720" s="141"/>
      <c r="E720" s="128" t="s">
        <v>12</v>
      </c>
      <c r="F720" s="18"/>
      <c r="G720" s="24"/>
      <c r="H720" s="22"/>
    </row>
    <row r="721" spans="2:8" x14ac:dyDescent="0.25">
      <c r="B721" s="101"/>
      <c r="C721" s="16"/>
      <c r="D721" s="141"/>
      <c r="E721" s="128" t="s">
        <v>13</v>
      </c>
      <c r="F721" s="18"/>
      <c r="G721" s="17"/>
      <c r="H721" s="22"/>
    </row>
    <row r="722" spans="2:8" x14ac:dyDescent="0.25">
      <c r="B722" s="122" t="s">
        <v>393</v>
      </c>
      <c r="C722" s="124" t="s">
        <v>525</v>
      </c>
      <c r="D722" s="142"/>
      <c r="E722" s="12"/>
      <c r="F722" s="14"/>
      <c r="G722" s="26"/>
      <c r="H722" s="13"/>
    </row>
    <row r="723" spans="2:8" x14ac:dyDescent="0.25">
      <c r="B723" s="76" t="s">
        <v>15</v>
      </c>
      <c r="C723" s="108" t="s">
        <v>487</v>
      </c>
      <c r="D723" s="141"/>
      <c r="E723" s="128" t="s">
        <v>9</v>
      </c>
      <c r="F723" s="18"/>
      <c r="G723" s="24"/>
      <c r="H723" s="19" t="b">
        <f>IF(D725="x",H$2,H$1)</f>
        <v>0</v>
      </c>
    </row>
    <row r="724" spans="2:8" x14ac:dyDescent="0.25">
      <c r="B724" s="76" t="s">
        <v>15</v>
      </c>
      <c r="C724" s="108" t="s">
        <v>488</v>
      </c>
      <c r="D724" s="141"/>
      <c r="E724" s="128" t="s">
        <v>10</v>
      </c>
      <c r="F724" s="20" t="str">
        <f t="shared" ref="F724" si="97">IF(H725=1,IF(H723=H$2,H723,""),"")</f>
        <v/>
      </c>
      <c r="G724" s="24"/>
      <c r="H724" s="19">
        <f>IF(E856="comprobar",COUNTIF(D723:D727,"x"),"")</f>
        <v>0</v>
      </c>
    </row>
    <row r="725" spans="2:8" x14ac:dyDescent="0.25">
      <c r="B725" s="76" t="s">
        <v>15</v>
      </c>
      <c r="C725" s="108" t="s">
        <v>486</v>
      </c>
      <c r="D725" s="141"/>
      <c r="E725" s="128" t="s">
        <v>11</v>
      </c>
      <c r="F725" s="21" t="str">
        <f t="shared" ref="F725" si="98">IF(H725=-0.33,IF(H723=H$1,H723,""),"")</f>
        <v/>
      </c>
      <c r="G725" s="24"/>
      <c r="H725" s="22">
        <f t="shared" si="78"/>
        <v>0</v>
      </c>
    </row>
    <row r="726" spans="2:8" x14ac:dyDescent="0.25">
      <c r="B726" s="76" t="s">
        <v>15</v>
      </c>
      <c r="C726" s="108" t="s">
        <v>485</v>
      </c>
      <c r="D726" s="141"/>
      <c r="E726" s="128" t="s">
        <v>12</v>
      </c>
      <c r="F726" s="18"/>
      <c r="G726" s="24"/>
      <c r="H726" s="22"/>
    </row>
    <row r="727" spans="2:8" x14ac:dyDescent="0.25">
      <c r="B727" s="101"/>
      <c r="C727" s="16"/>
      <c r="D727" s="141"/>
      <c r="E727" s="128" t="s">
        <v>13</v>
      </c>
      <c r="F727" s="18"/>
      <c r="G727" s="17"/>
      <c r="H727" s="22"/>
    </row>
    <row r="728" spans="2:8" x14ac:dyDescent="0.25">
      <c r="B728" s="122" t="s">
        <v>394</v>
      </c>
      <c r="C728" s="124" t="s">
        <v>526</v>
      </c>
      <c r="D728" s="142"/>
      <c r="E728" s="12"/>
      <c r="F728" s="14"/>
      <c r="G728" s="26"/>
      <c r="H728" s="13"/>
    </row>
    <row r="729" spans="2:8" x14ac:dyDescent="0.25">
      <c r="B729" s="76" t="s">
        <v>15</v>
      </c>
      <c r="C729" s="108" t="s">
        <v>451</v>
      </c>
      <c r="D729" s="141"/>
      <c r="E729" s="128" t="s">
        <v>9</v>
      </c>
      <c r="F729" s="18"/>
      <c r="G729" s="24"/>
      <c r="H729" s="19" t="b">
        <f>IF(D729="x",H$2,H$1)</f>
        <v>0</v>
      </c>
    </row>
    <row r="730" spans="2:8" x14ac:dyDescent="0.25">
      <c r="B730" s="76" t="s">
        <v>15</v>
      </c>
      <c r="C730" s="108" t="s">
        <v>450</v>
      </c>
      <c r="D730" s="141"/>
      <c r="E730" s="128" t="s">
        <v>10</v>
      </c>
      <c r="F730" s="20" t="str">
        <f t="shared" ref="F730" si="99">IF(H731=1,IF(H729=H$2,H729,""),"")</f>
        <v/>
      </c>
      <c r="G730" s="24"/>
      <c r="H730" s="19">
        <f>IF(E856="comprobar",COUNTIF(D729:D733,"x"),"")</f>
        <v>0</v>
      </c>
    </row>
    <row r="731" spans="2:8" x14ac:dyDescent="0.25">
      <c r="B731" s="76" t="s">
        <v>15</v>
      </c>
      <c r="C731" s="108" t="s">
        <v>452</v>
      </c>
      <c r="D731" s="141"/>
      <c r="E731" s="128" t="s">
        <v>11</v>
      </c>
      <c r="F731" s="21" t="str">
        <f t="shared" ref="F731" si="100">IF(H731=-0.33,IF(H729=H$1,H729,""),"")</f>
        <v/>
      </c>
      <c r="G731" s="24"/>
      <c r="H731" s="22">
        <f t="shared" ref="H731:H791" si="101">IF(H730=1,IF(H729=H$2,1,-0.33),0)</f>
        <v>0</v>
      </c>
    </row>
    <row r="732" spans="2:8" x14ac:dyDescent="0.25">
      <c r="B732" s="76" t="s">
        <v>15</v>
      </c>
      <c r="C732" s="108" t="s">
        <v>449</v>
      </c>
      <c r="D732" s="141"/>
      <c r="E732" s="128" t="s">
        <v>12</v>
      </c>
      <c r="F732" s="18"/>
      <c r="G732" s="24"/>
      <c r="H732" s="22"/>
    </row>
    <row r="733" spans="2:8" x14ac:dyDescent="0.25">
      <c r="B733" s="101"/>
      <c r="C733" s="16"/>
      <c r="D733" s="141"/>
      <c r="E733" s="128" t="s">
        <v>13</v>
      </c>
      <c r="F733" s="18"/>
      <c r="G733" s="17"/>
      <c r="H733" s="22"/>
    </row>
    <row r="734" spans="2:8" x14ac:dyDescent="0.25">
      <c r="B734" s="122" t="s">
        <v>395</v>
      </c>
      <c r="C734" s="124" t="s">
        <v>527</v>
      </c>
      <c r="D734" s="142"/>
      <c r="E734" s="12"/>
      <c r="F734" s="14"/>
      <c r="G734" s="26"/>
      <c r="H734" s="13"/>
    </row>
    <row r="735" spans="2:8" x14ac:dyDescent="0.25">
      <c r="B735" s="76" t="s">
        <v>15</v>
      </c>
      <c r="C735" s="108" t="s">
        <v>528</v>
      </c>
      <c r="D735" s="141"/>
      <c r="E735" s="128" t="s">
        <v>9</v>
      </c>
      <c r="F735" s="18"/>
      <c r="G735" s="24"/>
      <c r="H735" s="19" t="b">
        <f>IF(D737="x",H$2,H$1)</f>
        <v>0</v>
      </c>
    </row>
    <row r="736" spans="2:8" x14ac:dyDescent="0.25">
      <c r="B736" s="76" t="s">
        <v>15</v>
      </c>
      <c r="C736" s="108" t="s">
        <v>529</v>
      </c>
      <c r="D736" s="141"/>
      <c r="E736" s="128" t="s">
        <v>10</v>
      </c>
      <c r="F736" s="20" t="str">
        <f t="shared" ref="F736" si="102">IF(H737=1,IF(H735=H$2,H735,""),"")</f>
        <v/>
      </c>
      <c r="G736" s="24"/>
      <c r="H736" s="19">
        <f>IF(E856="comprobar",COUNTIF(D735:D739,"x"),"")</f>
        <v>0</v>
      </c>
    </row>
    <row r="737" spans="2:8" x14ac:dyDescent="0.25">
      <c r="B737" s="76" t="s">
        <v>15</v>
      </c>
      <c r="C737" s="108" t="s">
        <v>530</v>
      </c>
      <c r="D737" s="141"/>
      <c r="E737" s="128" t="s">
        <v>11</v>
      </c>
      <c r="F737" s="21" t="str">
        <f t="shared" ref="F737" si="103">IF(H737=-0.33,IF(H735=H$1,H735,""),"")</f>
        <v/>
      </c>
      <c r="G737" s="24"/>
      <c r="H737" s="22">
        <f t="shared" si="101"/>
        <v>0</v>
      </c>
    </row>
    <row r="738" spans="2:8" x14ac:dyDescent="0.25">
      <c r="B738" s="76" t="s">
        <v>15</v>
      </c>
      <c r="C738" s="108" t="s">
        <v>531</v>
      </c>
      <c r="D738" s="141"/>
      <c r="E738" s="128" t="s">
        <v>12</v>
      </c>
      <c r="F738" s="18"/>
      <c r="G738" s="24"/>
      <c r="H738" s="22"/>
    </row>
    <row r="739" spans="2:8" x14ac:dyDescent="0.25">
      <c r="B739" s="101"/>
      <c r="C739" s="16"/>
      <c r="D739" s="141"/>
      <c r="E739" s="128" t="s">
        <v>13</v>
      </c>
      <c r="F739" s="18"/>
      <c r="G739" s="17"/>
      <c r="H739" s="22"/>
    </row>
    <row r="740" spans="2:8" x14ac:dyDescent="0.25">
      <c r="B740" s="122" t="s">
        <v>396</v>
      </c>
      <c r="C740" s="124" t="s">
        <v>532</v>
      </c>
      <c r="D740" s="142"/>
      <c r="E740" s="12"/>
      <c r="F740" s="14"/>
      <c r="G740" s="26"/>
      <c r="H740" s="13"/>
    </row>
    <row r="741" spans="2:8" x14ac:dyDescent="0.25">
      <c r="B741" s="76" t="s">
        <v>15</v>
      </c>
      <c r="C741" s="108" t="s">
        <v>533</v>
      </c>
      <c r="D741" s="141"/>
      <c r="E741" s="128" t="s">
        <v>9</v>
      </c>
      <c r="F741" s="18"/>
      <c r="G741" s="24"/>
      <c r="H741" s="19" t="b">
        <f>IF(D741="x",H$2,H$1)</f>
        <v>0</v>
      </c>
    </row>
    <row r="742" spans="2:8" x14ac:dyDescent="0.25">
      <c r="B742" s="76" t="s">
        <v>15</v>
      </c>
      <c r="C742" s="108" t="s">
        <v>534</v>
      </c>
      <c r="D742" s="141"/>
      <c r="E742" s="128" t="s">
        <v>10</v>
      </c>
      <c r="F742" s="20" t="str">
        <f t="shared" ref="F742" si="104">IF(H743=1,IF(H741=H$2,H741,""),"")</f>
        <v/>
      </c>
      <c r="G742" s="24"/>
      <c r="H742" s="19">
        <f>IF(E856="comprobar",COUNTIF(D741:D745,"x"),"")</f>
        <v>0</v>
      </c>
    </row>
    <row r="743" spans="2:8" x14ac:dyDescent="0.25">
      <c r="B743" s="76" t="s">
        <v>15</v>
      </c>
      <c r="C743" s="108" t="s">
        <v>535</v>
      </c>
      <c r="D743" s="141"/>
      <c r="E743" s="128" t="s">
        <v>11</v>
      </c>
      <c r="F743" s="21" t="str">
        <f t="shared" ref="F743" si="105">IF(H743=-0.33,IF(H741=H$1,H741,""),"")</f>
        <v/>
      </c>
      <c r="G743" s="24"/>
      <c r="H743" s="22">
        <f t="shared" si="101"/>
        <v>0</v>
      </c>
    </row>
    <row r="744" spans="2:8" x14ac:dyDescent="0.25">
      <c r="B744" s="76" t="s">
        <v>15</v>
      </c>
      <c r="C744" s="108" t="s">
        <v>497</v>
      </c>
      <c r="D744" s="141"/>
      <c r="E744" s="128" t="s">
        <v>12</v>
      </c>
      <c r="F744" s="18"/>
      <c r="G744" s="24"/>
      <c r="H744" s="22"/>
    </row>
    <row r="745" spans="2:8" x14ac:dyDescent="0.25">
      <c r="B745" s="101"/>
      <c r="C745" s="16"/>
      <c r="D745" s="141"/>
      <c r="E745" s="128" t="s">
        <v>13</v>
      </c>
      <c r="F745" s="18"/>
      <c r="G745" s="17"/>
      <c r="H745" s="22"/>
    </row>
    <row r="746" spans="2:8" x14ac:dyDescent="0.25">
      <c r="B746" s="122" t="s">
        <v>397</v>
      </c>
      <c r="C746" s="124" t="s">
        <v>536</v>
      </c>
      <c r="D746" s="142"/>
      <c r="E746" s="12"/>
      <c r="F746" s="14"/>
      <c r="G746" s="26"/>
      <c r="H746" s="13"/>
    </row>
    <row r="747" spans="2:8" x14ac:dyDescent="0.25">
      <c r="B747" s="76" t="s">
        <v>15</v>
      </c>
      <c r="C747" s="108" t="s">
        <v>450</v>
      </c>
      <c r="D747" s="141"/>
      <c r="E747" s="128" t="s">
        <v>9</v>
      </c>
      <c r="F747" s="18"/>
      <c r="G747" s="24"/>
      <c r="H747" s="19" t="b">
        <f>IF(D747="x",H$2,H$1)</f>
        <v>0</v>
      </c>
    </row>
    <row r="748" spans="2:8" x14ac:dyDescent="0.25">
      <c r="B748" s="76" t="s">
        <v>15</v>
      </c>
      <c r="C748" s="108" t="s">
        <v>452</v>
      </c>
      <c r="D748" s="141"/>
      <c r="E748" s="128" t="s">
        <v>10</v>
      </c>
      <c r="F748" s="20" t="str">
        <f t="shared" ref="F748" si="106">IF(H749=1,IF(H747=H$2,H747,""),"")</f>
        <v/>
      </c>
      <c r="G748" s="24"/>
      <c r="H748" s="19">
        <f>IF(E856="comprobar",COUNTIF(D747:D751,"x"),"")</f>
        <v>0</v>
      </c>
    </row>
    <row r="749" spans="2:8" x14ac:dyDescent="0.25">
      <c r="B749" s="76" t="s">
        <v>15</v>
      </c>
      <c r="C749" s="108" t="s">
        <v>449</v>
      </c>
      <c r="D749" s="141"/>
      <c r="E749" s="128" t="s">
        <v>11</v>
      </c>
      <c r="F749" s="21" t="str">
        <f t="shared" ref="F749" si="107">IF(H749=-0.33,IF(H747=H$1,H747,""),"")</f>
        <v/>
      </c>
      <c r="G749" s="24"/>
      <c r="H749" s="22">
        <f t="shared" si="101"/>
        <v>0</v>
      </c>
    </row>
    <row r="750" spans="2:8" x14ac:dyDescent="0.25">
      <c r="B750" s="76" t="s">
        <v>15</v>
      </c>
      <c r="C750" s="108" t="s">
        <v>451</v>
      </c>
      <c r="D750" s="141"/>
      <c r="E750" s="128" t="s">
        <v>12</v>
      </c>
      <c r="F750" s="18"/>
      <c r="G750" s="24"/>
      <c r="H750" s="22"/>
    </row>
    <row r="751" spans="2:8" x14ac:dyDescent="0.25">
      <c r="B751" s="101"/>
      <c r="C751" s="16"/>
      <c r="D751" s="141"/>
      <c r="E751" s="128" t="s">
        <v>13</v>
      </c>
      <c r="F751" s="18"/>
      <c r="G751" s="17"/>
      <c r="H751" s="22"/>
    </row>
    <row r="752" spans="2:8" x14ac:dyDescent="0.25">
      <c r="B752" s="122" t="s">
        <v>398</v>
      </c>
      <c r="C752" s="124" t="s">
        <v>537</v>
      </c>
      <c r="D752" s="142"/>
      <c r="E752" s="12"/>
      <c r="F752" s="14"/>
      <c r="G752" s="26"/>
      <c r="H752" s="13"/>
    </row>
    <row r="753" spans="2:8" x14ac:dyDescent="0.25">
      <c r="B753" s="76" t="s">
        <v>15</v>
      </c>
      <c r="C753" s="108" t="s">
        <v>428</v>
      </c>
      <c r="D753" s="141"/>
      <c r="E753" s="128" t="s">
        <v>9</v>
      </c>
      <c r="F753" s="18"/>
      <c r="G753" s="24"/>
      <c r="H753" s="19" t="b">
        <f>IF(D755="x",H$2,H$1)</f>
        <v>0</v>
      </c>
    </row>
    <row r="754" spans="2:8" x14ac:dyDescent="0.25">
      <c r="B754" s="76" t="s">
        <v>15</v>
      </c>
      <c r="C754" s="108" t="s">
        <v>426</v>
      </c>
      <c r="D754" s="141"/>
      <c r="E754" s="128" t="s">
        <v>10</v>
      </c>
      <c r="F754" s="20" t="str">
        <f t="shared" ref="F754" si="108">IF(H755=1,IF(H753=H$2,H753,""),"")</f>
        <v/>
      </c>
      <c r="G754" s="24"/>
      <c r="H754" s="19">
        <f>IF(E856="comprobar",COUNTIF(D753:D757,"x"),"")</f>
        <v>0</v>
      </c>
    </row>
    <row r="755" spans="2:8" x14ac:dyDescent="0.25">
      <c r="B755" s="76" t="s">
        <v>15</v>
      </c>
      <c r="C755" s="108" t="s">
        <v>482</v>
      </c>
      <c r="D755" s="141"/>
      <c r="E755" s="128" t="s">
        <v>11</v>
      </c>
      <c r="F755" s="21" t="str">
        <f t="shared" ref="F755" si="109">IF(H755=-0.33,IF(H753=H$1,H753,""),"")</f>
        <v/>
      </c>
      <c r="G755" s="24"/>
      <c r="H755" s="22">
        <f t="shared" si="101"/>
        <v>0</v>
      </c>
    </row>
    <row r="756" spans="2:8" x14ac:dyDescent="0.25">
      <c r="B756" s="76" t="s">
        <v>15</v>
      </c>
      <c r="C756" s="108" t="s">
        <v>427</v>
      </c>
      <c r="D756" s="141"/>
      <c r="E756" s="128" t="s">
        <v>12</v>
      </c>
      <c r="F756" s="18"/>
      <c r="G756" s="24"/>
      <c r="H756" s="22"/>
    </row>
    <row r="757" spans="2:8" x14ac:dyDescent="0.25">
      <c r="B757" s="101"/>
      <c r="C757" s="16"/>
      <c r="D757" s="141"/>
      <c r="E757" s="128" t="s">
        <v>13</v>
      </c>
      <c r="F757" s="18"/>
      <c r="G757" s="17"/>
      <c r="H757" s="22"/>
    </row>
    <row r="758" spans="2:8" x14ac:dyDescent="0.25">
      <c r="B758" s="122" t="s">
        <v>399</v>
      </c>
      <c r="C758" s="124" t="s">
        <v>475</v>
      </c>
      <c r="D758" s="142"/>
      <c r="E758" s="12"/>
      <c r="F758" s="14"/>
      <c r="G758" s="26"/>
      <c r="H758" s="13"/>
    </row>
    <row r="759" spans="2:8" x14ac:dyDescent="0.25">
      <c r="B759" s="76" t="s">
        <v>15</v>
      </c>
      <c r="C759" s="108" t="s">
        <v>477</v>
      </c>
      <c r="D759" s="141"/>
      <c r="E759" s="128" t="s">
        <v>9</v>
      </c>
      <c r="F759" s="18"/>
      <c r="G759" s="24"/>
      <c r="H759" s="19" t="b">
        <f>IF(D762="x",H$2,H$1)</f>
        <v>0</v>
      </c>
    </row>
    <row r="760" spans="2:8" x14ac:dyDescent="0.25">
      <c r="B760" s="76" t="s">
        <v>15</v>
      </c>
      <c r="C760" s="108" t="s">
        <v>479</v>
      </c>
      <c r="D760" s="141"/>
      <c r="E760" s="128" t="s">
        <v>10</v>
      </c>
      <c r="F760" s="20" t="str">
        <f t="shared" ref="F760" si="110">IF(H761=1,IF(H759=H$2,H759,""),"")</f>
        <v/>
      </c>
      <c r="G760" s="24"/>
      <c r="H760" s="19">
        <f>IF(E856="comprobar",COUNTIF(D759:D763,"x"),"")</f>
        <v>0</v>
      </c>
    </row>
    <row r="761" spans="2:8" x14ac:dyDescent="0.25">
      <c r="B761" s="76" t="s">
        <v>15</v>
      </c>
      <c r="C761" s="108" t="s">
        <v>478</v>
      </c>
      <c r="D761" s="141"/>
      <c r="E761" s="128" t="s">
        <v>11</v>
      </c>
      <c r="F761" s="21" t="str">
        <f t="shared" ref="F761" si="111">IF(H761=-0.33,IF(H759=H$1,H759,""),"")</f>
        <v/>
      </c>
      <c r="G761" s="24"/>
      <c r="H761" s="22">
        <f t="shared" si="101"/>
        <v>0</v>
      </c>
    </row>
    <row r="762" spans="2:8" x14ac:dyDescent="0.25">
      <c r="B762" s="76" t="s">
        <v>15</v>
      </c>
      <c r="C762" s="108" t="s">
        <v>476</v>
      </c>
      <c r="D762" s="141"/>
      <c r="E762" s="128" t="s">
        <v>12</v>
      </c>
      <c r="F762" s="18"/>
      <c r="G762" s="24"/>
      <c r="H762" s="22"/>
    </row>
    <row r="763" spans="2:8" x14ac:dyDescent="0.25">
      <c r="B763" s="101"/>
      <c r="C763" s="16" t="s">
        <v>538</v>
      </c>
      <c r="D763" s="141"/>
      <c r="E763" s="128" t="s">
        <v>13</v>
      </c>
      <c r="F763" s="18"/>
      <c r="G763" s="17"/>
      <c r="H763" s="22"/>
    </row>
    <row r="764" spans="2:8" x14ac:dyDescent="0.25">
      <c r="B764" s="122" t="s">
        <v>400</v>
      </c>
      <c r="C764" s="124" t="s">
        <v>539</v>
      </c>
      <c r="D764" s="142"/>
      <c r="E764" s="12"/>
      <c r="F764" s="14"/>
      <c r="G764" s="26"/>
      <c r="H764" s="13"/>
    </row>
    <row r="765" spans="2:8" x14ac:dyDescent="0.25">
      <c r="B765" s="76" t="s">
        <v>15</v>
      </c>
      <c r="C765" s="108" t="s">
        <v>540</v>
      </c>
      <c r="D765" s="141"/>
      <c r="E765" s="128" t="s">
        <v>9</v>
      </c>
      <c r="F765" s="18"/>
      <c r="G765" s="24"/>
      <c r="H765" s="19" t="b">
        <f>IF(D768="x",H$2,H$1)</f>
        <v>0</v>
      </c>
    </row>
    <row r="766" spans="2:8" x14ac:dyDescent="0.25">
      <c r="B766" s="76" t="s">
        <v>15</v>
      </c>
      <c r="C766" s="108" t="s">
        <v>541</v>
      </c>
      <c r="D766" s="141"/>
      <c r="E766" s="128" t="s">
        <v>10</v>
      </c>
      <c r="F766" s="20" t="str">
        <f t="shared" ref="F766" si="112">IF(H767=1,IF(H765=H$2,H765,""),"")</f>
        <v/>
      </c>
      <c r="G766" s="24"/>
      <c r="H766" s="19">
        <f>IF(E856="comprobar",COUNTIF(D765:D769,"x"),"")</f>
        <v>0</v>
      </c>
    </row>
    <row r="767" spans="2:8" x14ac:dyDescent="0.25">
      <c r="B767" s="76" t="s">
        <v>15</v>
      </c>
      <c r="C767" s="108" t="s">
        <v>542</v>
      </c>
      <c r="D767" s="141"/>
      <c r="E767" s="128" t="s">
        <v>11</v>
      </c>
      <c r="F767" s="21" t="str">
        <f t="shared" ref="F767" si="113">IF(H767=-0.33,IF(H765=H$1,H765,""),"")</f>
        <v/>
      </c>
      <c r="G767" s="24"/>
      <c r="H767" s="22">
        <f t="shared" si="101"/>
        <v>0</v>
      </c>
    </row>
    <row r="768" spans="2:8" x14ac:dyDescent="0.25">
      <c r="B768" s="76" t="s">
        <v>15</v>
      </c>
      <c r="C768" s="108" t="s">
        <v>543</v>
      </c>
      <c r="D768" s="141"/>
      <c r="E768" s="128" t="s">
        <v>12</v>
      </c>
      <c r="F768" s="18"/>
      <c r="G768" s="24"/>
      <c r="H768" s="22"/>
    </row>
    <row r="769" spans="2:8" x14ac:dyDescent="0.25">
      <c r="B769" s="101"/>
      <c r="C769" s="16" t="s">
        <v>538</v>
      </c>
      <c r="D769" s="141"/>
      <c r="E769" s="128" t="s">
        <v>13</v>
      </c>
      <c r="F769" s="18"/>
      <c r="G769" s="17"/>
      <c r="H769" s="22"/>
    </row>
    <row r="770" spans="2:8" x14ac:dyDescent="0.25">
      <c r="B770" s="122" t="s">
        <v>401</v>
      </c>
      <c r="C770" s="124" t="s">
        <v>544</v>
      </c>
      <c r="D770" s="142"/>
      <c r="E770" s="12"/>
      <c r="F770" s="14"/>
      <c r="G770" s="26"/>
      <c r="H770" s="13"/>
    </row>
    <row r="771" spans="2:8" x14ac:dyDescent="0.25">
      <c r="B771" s="76" t="s">
        <v>15</v>
      </c>
      <c r="C771" s="108" t="s">
        <v>496</v>
      </c>
      <c r="D771" s="141"/>
      <c r="E771" s="128" t="s">
        <v>9</v>
      </c>
      <c r="F771" s="18"/>
      <c r="G771" s="24"/>
      <c r="H771" s="19" t="b">
        <f>IF(D772="x",H$2,H$1)</f>
        <v>0</v>
      </c>
    </row>
    <row r="772" spans="2:8" x14ac:dyDescent="0.25">
      <c r="B772" s="76" t="s">
        <v>15</v>
      </c>
      <c r="C772" s="108" t="s">
        <v>499</v>
      </c>
      <c r="D772" s="141"/>
      <c r="E772" s="128" t="s">
        <v>10</v>
      </c>
      <c r="F772" s="20" t="str">
        <f t="shared" ref="F772" si="114">IF(H773=1,IF(H771=H$2,H771,""),"")</f>
        <v/>
      </c>
      <c r="G772" s="24"/>
      <c r="H772" s="19">
        <f>IF(E856="comprobar",COUNTIF(D771:D775,"x"),"")</f>
        <v>0</v>
      </c>
    </row>
    <row r="773" spans="2:8" x14ac:dyDescent="0.25">
      <c r="B773" s="76" t="s">
        <v>15</v>
      </c>
      <c r="C773" s="108" t="s">
        <v>498</v>
      </c>
      <c r="D773" s="141"/>
      <c r="E773" s="128" t="s">
        <v>11</v>
      </c>
      <c r="F773" s="21" t="str">
        <f t="shared" ref="F773" si="115">IF(H773=-0.33,IF(H771=H$1,H771,""),"")</f>
        <v/>
      </c>
      <c r="G773" s="24"/>
      <c r="H773" s="22">
        <f t="shared" si="101"/>
        <v>0</v>
      </c>
    </row>
    <row r="774" spans="2:8" x14ac:dyDescent="0.25">
      <c r="B774" s="76" t="s">
        <v>15</v>
      </c>
      <c r="C774" s="108" t="s">
        <v>497</v>
      </c>
      <c r="D774" s="141"/>
      <c r="E774" s="128" t="s">
        <v>12</v>
      </c>
      <c r="F774" s="18"/>
      <c r="G774" s="24"/>
      <c r="H774" s="22"/>
    </row>
    <row r="775" spans="2:8" x14ac:dyDescent="0.25">
      <c r="B775" s="101"/>
      <c r="C775" s="16" t="s">
        <v>545</v>
      </c>
      <c r="D775" s="141"/>
      <c r="E775" s="128" t="s">
        <v>13</v>
      </c>
      <c r="F775" s="18"/>
      <c r="G775" s="17"/>
      <c r="H775" s="22"/>
    </row>
    <row r="776" spans="2:8" x14ac:dyDescent="0.25">
      <c r="B776" s="122" t="s">
        <v>402</v>
      </c>
      <c r="C776" s="124" t="s">
        <v>527</v>
      </c>
      <c r="D776" s="142"/>
      <c r="E776" s="12"/>
      <c r="F776" s="14"/>
      <c r="G776" s="26"/>
      <c r="H776" s="13"/>
    </row>
    <row r="777" spans="2:8" x14ac:dyDescent="0.25">
      <c r="B777" s="76" t="s">
        <v>15</v>
      </c>
      <c r="C777" s="108" t="s">
        <v>528</v>
      </c>
      <c r="D777" s="141"/>
      <c r="E777" s="128" t="s">
        <v>9</v>
      </c>
      <c r="F777" s="18"/>
      <c r="G777" s="24"/>
      <c r="H777" s="19" t="b">
        <f>IF(D778="x",H$2,H$1)</f>
        <v>0</v>
      </c>
    </row>
    <row r="778" spans="2:8" x14ac:dyDescent="0.25">
      <c r="B778" s="76" t="s">
        <v>15</v>
      </c>
      <c r="C778" s="108" t="s">
        <v>530</v>
      </c>
      <c r="D778" s="141"/>
      <c r="E778" s="128" t="s">
        <v>10</v>
      </c>
      <c r="F778" s="20" t="str">
        <f t="shared" ref="F778" si="116">IF(H779=1,IF(H777=H$2,H777,""),"")</f>
        <v/>
      </c>
      <c r="G778" s="24"/>
      <c r="H778" s="19">
        <f>IF(E856="comprobar",COUNTIF(D777:D781,"x"),"")</f>
        <v>0</v>
      </c>
    </row>
    <row r="779" spans="2:8" x14ac:dyDescent="0.25">
      <c r="B779" s="76" t="s">
        <v>15</v>
      </c>
      <c r="C779" s="108" t="s">
        <v>529</v>
      </c>
      <c r="D779" s="141"/>
      <c r="E779" s="128" t="s">
        <v>11</v>
      </c>
      <c r="F779" s="21" t="str">
        <f t="shared" ref="F779" si="117">IF(H779=-0.33,IF(H777=H$1,H777,""),"")</f>
        <v/>
      </c>
      <c r="G779" s="24"/>
      <c r="H779" s="22">
        <f t="shared" si="101"/>
        <v>0</v>
      </c>
    </row>
    <row r="780" spans="2:8" x14ac:dyDescent="0.25">
      <c r="B780" s="76" t="s">
        <v>15</v>
      </c>
      <c r="C780" s="108" t="s">
        <v>531</v>
      </c>
      <c r="D780" s="141"/>
      <c r="E780" s="128" t="s">
        <v>12</v>
      </c>
      <c r="F780" s="18"/>
      <c r="G780" s="24"/>
      <c r="H780" s="22"/>
    </row>
    <row r="781" spans="2:8" x14ac:dyDescent="0.25">
      <c r="B781" s="101"/>
      <c r="C781" s="16" t="s">
        <v>538</v>
      </c>
      <c r="D781" s="141"/>
      <c r="E781" s="128" t="s">
        <v>13</v>
      </c>
      <c r="F781" s="18"/>
      <c r="G781" s="17"/>
      <c r="H781" s="22"/>
    </row>
    <row r="782" spans="2:8" x14ac:dyDescent="0.25">
      <c r="B782" s="122" t="s">
        <v>403</v>
      </c>
      <c r="C782" s="124" t="s">
        <v>546</v>
      </c>
      <c r="D782" s="142"/>
      <c r="E782" s="12"/>
      <c r="F782" s="14"/>
      <c r="G782" s="26"/>
      <c r="H782" s="13"/>
    </row>
    <row r="783" spans="2:8" x14ac:dyDescent="0.25">
      <c r="B783" s="76" t="s">
        <v>15</v>
      </c>
      <c r="C783" s="108" t="s">
        <v>547</v>
      </c>
      <c r="D783" s="141"/>
      <c r="E783" s="128" t="s">
        <v>9</v>
      </c>
      <c r="F783" s="18"/>
      <c r="G783" s="24"/>
      <c r="H783" s="19" t="b">
        <f>IF(D784="x",H$2,H$1)</f>
        <v>0</v>
      </c>
    </row>
    <row r="784" spans="2:8" x14ac:dyDescent="0.25">
      <c r="B784" s="76" t="s">
        <v>15</v>
      </c>
      <c r="C784" s="108" t="s">
        <v>548</v>
      </c>
      <c r="D784" s="141"/>
      <c r="E784" s="128" t="s">
        <v>10</v>
      </c>
      <c r="F784" s="20" t="str">
        <f t="shared" ref="F784" si="118">IF(H785=1,IF(H783=H$2,H783,""),"")</f>
        <v/>
      </c>
      <c r="G784" s="24"/>
      <c r="H784" s="19">
        <f>IF(E856="comprobar",COUNTIF(D783:D787,"x"),"")</f>
        <v>0</v>
      </c>
    </row>
    <row r="785" spans="2:8" x14ac:dyDescent="0.25">
      <c r="B785" s="76" t="s">
        <v>15</v>
      </c>
      <c r="C785" s="108" t="s">
        <v>549</v>
      </c>
      <c r="D785" s="141"/>
      <c r="E785" s="128" t="s">
        <v>11</v>
      </c>
      <c r="F785" s="21" t="str">
        <f t="shared" ref="F785" si="119">IF(H785=-0.33,IF(H783=H$1,H783,""),"")</f>
        <v/>
      </c>
      <c r="G785" s="24"/>
      <c r="H785" s="22">
        <f t="shared" si="101"/>
        <v>0</v>
      </c>
    </row>
    <row r="786" spans="2:8" x14ac:dyDescent="0.25">
      <c r="B786" s="76" t="s">
        <v>15</v>
      </c>
      <c r="C786" s="108" t="s">
        <v>550</v>
      </c>
      <c r="D786" s="141"/>
      <c r="E786" s="128" t="s">
        <v>12</v>
      </c>
      <c r="F786" s="18"/>
      <c r="G786" s="24"/>
      <c r="H786" s="22"/>
    </row>
    <row r="787" spans="2:8" x14ac:dyDescent="0.25">
      <c r="B787" s="101"/>
      <c r="C787" s="16" t="s">
        <v>538</v>
      </c>
      <c r="D787" s="141"/>
      <c r="E787" s="128" t="s">
        <v>13</v>
      </c>
      <c r="F787" s="18"/>
      <c r="G787" s="17"/>
      <c r="H787" s="22"/>
    </row>
    <row r="788" spans="2:8" x14ac:dyDescent="0.25">
      <c r="B788" s="122" t="s">
        <v>404</v>
      </c>
      <c r="C788" s="124" t="s">
        <v>551</v>
      </c>
      <c r="D788" s="142"/>
      <c r="E788" s="12"/>
      <c r="F788" s="14"/>
      <c r="G788" s="26"/>
      <c r="H788" s="13"/>
    </row>
    <row r="789" spans="2:8" x14ac:dyDescent="0.25">
      <c r="B789" s="76" t="s">
        <v>15</v>
      </c>
      <c r="C789" s="108" t="s">
        <v>450</v>
      </c>
      <c r="D789" s="141"/>
      <c r="E789" s="128" t="s">
        <v>9</v>
      </c>
      <c r="F789" s="18"/>
      <c r="G789" s="24"/>
      <c r="H789" s="19" t="b">
        <f>IF(D791="x",H$2,H$1)</f>
        <v>0</v>
      </c>
    </row>
    <row r="790" spans="2:8" x14ac:dyDescent="0.25">
      <c r="B790" s="76" t="s">
        <v>15</v>
      </c>
      <c r="C790" s="108" t="s">
        <v>449</v>
      </c>
      <c r="D790" s="141"/>
      <c r="E790" s="128" t="s">
        <v>10</v>
      </c>
      <c r="F790" s="20" t="str">
        <f t="shared" ref="F790" si="120">IF(H791=1,IF(H789=H$2,H789,""),"")</f>
        <v/>
      </c>
      <c r="G790" s="24"/>
      <c r="H790" s="19">
        <f>IF(E856="comprobar",COUNTIF(D789:D793,"x"),"")</f>
        <v>0</v>
      </c>
    </row>
    <row r="791" spans="2:8" x14ac:dyDescent="0.25">
      <c r="B791" s="76" t="s">
        <v>15</v>
      </c>
      <c r="C791" s="108" t="s">
        <v>552</v>
      </c>
      <c r="D791" s="141"/>
      <c r="E791" s="128" t="s">
        <v>11</v>
      </c>
      <c r="F791" s="21" t="str">
        <f t="shared" ref="F791" si="121">IF(H791=-0.33,IF(H789=H$1,H789,""),"")</f>
        <v/>
      </c>
      <c r="G791" s="24"/>
      <c r="H791" s="22">
        <f t="shared" si="101"/>
        <v>0</v>
      </c>
    </row>
    <row r="792" spans="2:8" x14ac:dyDescent="0.25">
      <c r="B792" s="76" t="s">
        <v>15</v>
      </c>
      <c r="C792" s="108" t="s">
        <v>452</v>
      </c>
      <c r="D792" s="141"/>
      <c r="E792" s="128" t="s">
        <v>12</v>
      </c>
      <c r="F792" s="18"/>
      <c r="G792" s="24"/>
      <c r="H792" s="22"/>
    </row>
    <row r="793" spans="2:8" x14ac:dyDescent="0.25">
      <c r="B793" s="101"/>
      <c r="C793" s="16" t="s">
        <v>538</v>
      </c>
      <c r="D793" s="141"/>
      <c r="E793" s="128" t="s">
        <v>13</v>
      </c>
      <c r="F793" s="18"/>
      <c r="G793" s="17"/>
      <c r="H793" s="22"/>
    </row>
    <row r="794" spans="2:8" x14ac:dyDescent="0.25">
      <c r="B794" s="122" t="s">
        <v>405</v>
      </c>
      <c r="C794" s="124" t="s">
        <v>553</v>
      </c>
      <c r="D794" s="142"/>
      <c r="E794" s="12"/>
      <c r="F794" s="14"/>
      <c r="G794" s="26"/>
      <c r="H794" s="13"/>
    </row>
    <row r="795" spans="2:8" x14ac:dyDescent="0.25">
      <c r="B795" s="76" t="s">
        <v>15</v>
      </c>
      <c r="C795" s="108" t="s">
        <v>554</v>
      </c>
      <c r="D795" s="141"/>
      <c r="E795" s="128" t="s">
        <v>9</v>
      </c>
      <c r="F795" s="18"/>
      <c r="G795" s="24"/>
      <c r="H795" s="19" t="b">
        <f>IF(D795="x",H$2,H$1)</f>
        <v>0</v>
      </c>
    </row>
    <row r="796" spans="2:8" x14ac:dyDescent="0.25">
      <c r="B796" s="76" t="s">
        <v>15</v>
      </c>
      <c r="C796" s="108" t="s">
        <v>555</v>
      </c>
      <c r="D796" s="141"/>
      <c r="E796" s="128" t="s">
        <v>10</v>
      </c>
      <c r="F796" s="20" t="str">
        <f t="shared" ref="F796" si="122">IF(H797=1,IF(H795=H$2,H795,""),"")</f>
        <v/>
      </c>
      <c r="G796" s="24"/>
      <c r="H796" s="19">
        <f>IF(E856="comprobar",COUNTIF(D795:D799,"x"),"")</f>
        <v>0</v>
      </c>
    </row>
    <row r="797" spans="2:8" x14ac:dyDescent="0.25">
      <c r="B797" s="76" t="s">
        <v>15</v>
      </c>
      <c r="C797" s="108" t="s">
        <v>556</v>
      </c>
      <c r="D797" s="141"/>
      <c r="E797" s="128" t="s">
        <v>11</v>
      </c>
      <c r="F797" s="21" t="str">
        <f t="shared" ref="F797" si="123">IF(H797=-0.33,IF(H795=H$1,H795,""),"")</f>
        <v/>
      </c>
      <c r="G797" s="24"/>
      <c r="H797" s="22">
        <f t="shared" ref="H797:H845" si="124">IF(H796=1,IF(H795=H$2,1,-0.33),0)</f>
        <v>0</v>
      </c>
    </row>
    <row r="798" spans="2:8" x14ac:dyDescent="0.25">
      <c r="B798" s="76" t="s">
        <v>15</v>
      </c>
      <c r="C798" s="108" t="s">
        <v>557</v>
      </c>
      <c r="D798" s="141"/>
      <c r="E798" s="128" t="s">
        <v>12</v>
      </c>
      <c r="F798" s="18"/>
      <c r="G798" s="24"/>
      <c r="H798" s="22"/>
    </row>
    <row r="799" spans="2:8" x14ac:dyDescent="0.25">
      <c r="B799" s="101"/>
      <c r="C799" s="16" t="s">
        <v>545</v>
      </c>
      <c r="D799" s="141"/>
      <c r="E799" s="128" t="s">
        <v>13</v>
      </c>
      <c r="F799" s="18"/>
      <c r="G799" s="17"/>
      <c r="H799" s="22"/>
    </row>
    <row r="800" spans="2:8" x14ac:dyDescent="0.25">
      <c r="B800" s="122" t="s">
        <v>406</v>
      </c>
      <c r="C800" s="124" t="s">
        <v>511</v>
      </c>
      <c r="D800" s="142"/>
      <c r="E800" s="12"/>
      <c r="F800" s="14"/>
      <c r="G800" s="26"/>
      <c r="H800" s="13"/>
    </row>
    <row r="801" spans="2:8" x14ac:dyDescent="0.25">
      <c r="B801" s="76" t="s">
        <v>15</v>
      </c>
      <c r="C801" s="108" t="s">
        <v>515</v>
      </c>
      <c r="D801" s="141"/>
      <c r="E801" s="128" t="s">
        <v>9</v>
      </c>
      <c r="F801" s="18"/>
      <c r="G801" s="24"/>
      <c r="H801" s="19" t="b">
        <f>IF(D804="x",H$2,H$1)</f>
        <v>0</v>
      </c>
    </row>
    <row r="802" spans="2:8" x14ac:dyDescent="0.25">
      <c r="B802" s="76" t="s">
        <v>15</v>
      </c>
      <c r="C802" s="108" t="s">
        <v>512</v>
      </c>
      <c r="D802" s="141"/>
      <c r="E802" s="128" t="s">
        <v>10</v>
      </c>
      <c r="F802" s="20" t="str">
        <f t="shared" ref="F802" si="125">IF(H803=1,IF(H801=H$2,H801,""),"")</f>
        <v/>
      </c>
      <c r="G802" s="24"/>
      <c r="H802" s="19">
        <f>IF(E856="comprobar",COUNTIF(D801:D805,"x"),"")</f>
        <v>0</v>
      </c>
    </row>
    <row r="803" spans="2:8" x14ac:dyDescent="0.25">
      <c r="B803" s="76" t="s">
        <v>15</v>
      </c>
      <c r="C803" s="108" t="s">
        <v>514</v>
      </c>
      <c r="D803" s="141"/>
      <c r="E803" s="128" t="s">
        <v>11</v>
      </c>
      <c r="F803" s="21" t="str">
        <f t="shared" ref="F803" si="126">IF(H803=-0.33,IF(H801=H$1,H801,""),"")</f>
        <v/>
      </c>
      <c r="G803" s="24"/>
      <c r="H803" s="22">
        <f t="shared" si="124"/>
        <v>0</v>
      </c>
    </row>
    <row r="804" spans="2:8" x14ac:dyDescent="0.25">
      <c r="B804" s="76" t="s">
        <v>15</v>
      </c>
      <c r="C804" s="108" t="s">
        <v>513</v>
      </c>
      <c r="D804" s="141"/>
      <c r="E804" s="128" t="s">
        <v>12</v>
      </c>
      <c r="F804" s="18"/>
      <c r="G804" s="24"/>
      <c r="H804" s="22"/>
    </row>
    <row r="805" spans="2:8" x14ac:dyDescent="0.25">
      <c r="B805" s="101"/>
      <c r="C805" s="16" t="s">
        <v>538</v>
      </c>
      <c r="D805" s="141"/>
      <c r="E805" s="128" t="s">
        <v>13</v>
      </c>
      <c r="F805" s="18"/>
      <c r="G805" s="17"/>
      <c r="H805" s="22"/>
    </row>
    <row r="806" spans="2:8" x14ac:dyDescent="0.25">
      <c r="B806" s="122" t="s">
        <v>407</v>
      </c>
      <c r="C806" s="124" t="s">
        <v>558</v>
      </c>
      <c r="D806" s="142"/>
      <c r="E806" s="12"/>
      <c r="F806" s="14"/>
      <c r="G806" s="26"/>
      <c r="H806" s="13"/>
    </row>
    <row r="807" spans="2:8" x14ac:dyDescent="0.25">
      <c r="B807" s="76" t="s">
        <v>15</v>
      </c>
      <c r="C807" s="108" t="s">
        <v>428</v>
      </c>
      <c r="D807" s="141"/>
      <c r="E807" s="128" t="s">
        <v>9</v>
      </c>
      <c r="F807" s="18"/>
      <c r="G807" s="24"/>
      <c r="H807" s="19" t="b">
        <f>IF(D810="x",H$2,H$1)</f>
        <v>0</v>
      </c>
    </row>
    <row r="808" spans="2:8" x14ac:dyDescent="0.25">
      <c r="B808" s="76" t="s">
        <v>15</v>
      </c>
      <c r="C808" s="108" t="s">
        <v>426</v>
      </c>
      <c r="D808" s="141"/>
      <c r="E808" s="128" t="s">
        <v>10</v>
      </c>
      <c r="F808" s="20" t="str">
        <f t="shared" ref="F808" si="127">IF(H809=1,IF(H807=H$2,H807,""),"")</f>
        <v/>
      </c>
      <c r="G808" s="24"/>
      <c r="H808" s="19">
        <f>IF(E856="comprobar",COUNTIF(D807:D811,"x"),"")</f>
        <v>0</v>
      </c>
    </row>
    <row r="809" spans="2:8" x14ac:dyDescent="0.25">
      <c r="B809" s="76" t="s">
        <v>15</v>
      </c>
      <c r="C809" s="108" t="s">
        <v>427</v>
      </c>
      <c r="D809" s="141"/>
      <c r="E809" s="128" t="s">
        <v>11</v>
      </c>
      <c r="F809" s="21" t="str">
        <f t="shared" ref="F809" si="128">IF(H809=-0.33,IF(H807=H$1,H807,""),"")</f>
        <v/>
      </c>
      <c r="G809" s="24"/>
      <c r="H809" s="22">
        <f t="shared" si="124"/>
        <v>0</v>
      </c>
    </row>
    <row r="810" spans="2:8" x14ac:dyDescent="0.25">
      <c r="B810" s="76" t="s">
        <v>15</v>
      </c>
      <c r="C810" s="108" t="s">
        <v>482</v>
      </c>
      <c r="D810" s="141"/>
      <c r="E810" s="128" t="s">
        <v>12</v>
      </c>
      <c r="F810" s="18"/>
      <c r="G810" s="24"/>
      <c r="H810" s="22"/>
    </row>
    <row r="811" spans="2:8" x14ac:dyDescent="0.25">
      <c r="B811" s="101"/>
      <c r="C811" s="16" t="s">
        <v>538</v>
      </c>
      <c r="D811" s="141"/>
      <c r="E811" s="128" t="s">
        <v>13</v>
      </c>
      <c r="F811" s="18"/>
      <c r="G811" s="17"/>
      <c r="H811" s="22"/>
    </row>
    <row r="812" spans="2:8" x14ac:dyDescent="0.25">
      <c r="B812" s="122" t="s">
        <v>408</v>
      </c>
      <c r="C812" s="124" t="s">
        <v>559</v>
      </c>
      <c r="D812" s="142"/>
      <c r="E812" s="12"/>
      <c r="F812" s="14"/>
      <c r="G812" s="26"/>
      <c r="H812" s="13"/>
    </row>
    <row r="813" spans="2:8" x14ac:dyDescent="0.25">
      <c r="B813" s="76" t="s">
        <v>15</v>
      </c>
      <c r="C813" s="108" t="s">
        <v>560</v>
      </c>
      <c r="D813" s="141"/>
      <c r="E813" s="128" t="s">
        <v>9</v>
      </c>
      <c r="F813" s="18"/>
      <c r="G813" s="24"/>
      <c r="H813" s="19" t="b">
        <f>IF(D815="x",H$2,H$1)</f>
        <v>0</v>
      </c>
    </row>
    <row r="814" spans="2:8" x14ac:dyDescent="0.25">
      <c r="B814" s="76" t="s">
        <v>15</v>
      </c>
      <c r="C814" s="108" t="s">
        <v>535</v>
      </c>
      <c r="D814" s="141"/>
      <c r="E814" s="128" t="s">
        <v>10</v>
      </c>
      <c r="F814" s="20" t="str">
        <f t="shared" ref="F814" si="129">IF(H815=1,IF(H813=H$2,H813,""),"")</f>
        <v/>
      </c>
      <c r="G814" s="24"/>
      <c r="H814" s="19">
        <f>IF(E856="comprobar",COUNTIF(D813:D817,"x"),"")</f>
        <v>0</v>
      </c>
    </row>
    <row r="815" spans="2:8" x14ac:dyDescent="0.25">
      <c r="B815" s="76" t="s">
        <v>15</v>
      </c>
      <c r="C815" s="108" t="s">
        <v>534</v>
      </c>
      <c r="D815" s="141"/>
      <c r="E815" s="128" t="s">
        <v>11</v>
      </c>
      <c r="F815" s="21" t="str">
        <f t="shared" ref="F815" si="130">IF(H815=-0.33,IF(H813=H$1,H813,""),"")</f>
        <v/>
      </c>
      <c r="G815" s="24"/>
      <c r="H815" s="22">
        <f t="shared" si="124"/>
        <v>0</v>
      </c>
    </row>
    <row r="816" spans="2:8" x14ac:dyDescent="0.25">
      <c r="B816" s="76" t="s">
        <v>15</v>
      </c>
      <c r="C816" s="108" t="s">
        <v>533</v>
      </c>
      <c r="D816" s="141"/>
      <c r="E816" s="128" t="s">
        <v>12</v>
      </c>
      <c r="F816" s="18"/>
      <c r="G816" s="24"/>
      <c r="H816" s="22"/>
    </row>
    <row r="817" spans="2:8" x14ac:dyDescent="0.25">
      <c r="B817" s="101"/>
      <c r="C817" s="16" t="s">
        <v>545</v>
      </c>
      <c r="D817" s="141"/>
      <c r="E817" s="128" t="s">
        <v>13</v>
      </c>
      <c r="F817" s="18"/>
      <c r="G817" s="17"/>
      <c r="H817" s="22"/>
    </row>
    <row r="818" spans="2:8" x14ac:dyDescent="0.25">
      <c r="B818" s="122" t="s">
        <v>409</v>
      </c>
      <c r="C818" s="124" t="s">
        <v>561</v>
      </c>
      <c r="D818" s="142"/>
      <c r="E818" s="12"/>
      <c r="F818" s="14"/>
      <c r="G818" s="26"/>
      <c r="H818" s="13"/>
    </row>
    <row r="819" spans="2:8" x14ac:dyDescent="0.25">
      <c r="B819" s="76" t="s">
        <v>15</v>
      </c>
      <c r="C819" s="108" t="s">
        <v>428</v>
      </c>
      <c r="D819" s="141"/>
      <c r="E819" s="128" t="s">
        <v>9</v>
      </c>
      <c r="F819" s="18"/>
      <c r="G819" s="24"/>
      <c r="H819" s="19" t="b">
        <f>IF(D821="x",H$2,H$1)</f>
        <v>0</v>
      </c>
    </row>
    <row r="820" spans="2:8" x14ac:dyDescent="0.25">
      <c r="B820" s="76" t="s">
        <v>15</v>
      </c>
      <c r="C820" s="108" t="s">
        <v>468</v>
      </c>
      <c r="D820" s="141"/>
      <c r="E820" s="128" t="s">
        <v>10</v>
      </c>
      <c r="F820" s="20" t="str">
        <f t="shared" ref="F820" si="131">IF(H821=1,IF(H819=H$2,H819,""),"")</f>
        <v/>
      </c>
      <c r="G820" s="24"/>
      <c r="H820" s="19">
        <f>IF(E856="comprobar",COUNTIF(D819:D823,"x"),"")</f>
        <v>0</v>
      </c>
    </row>
    <row r="821" spans="2:8" x14ac:dyDescent="0.25">
      <c r="B821" s="76" t="s">
        <v>15</v>
      </c>
      <c r="C821" s="108" t="s">
        <v>424</v>
      </c>
      <c r="D821" s="141"/>
      <c r="E821" s="128" t="s">
        <v>11</v>
      </c>
      <c r="F821" s="21" t="str">
        <f t="shared" ref="F821" si="132">IF(H821=-0.33,IF(H819=H$1,H819,""),"")</f>
        <v/>
      </c>
      <c r="G821" s="24"/>
      <c r="H821" s="22">
        <f t="shared" si="124"/>
        <v>0</v>
      </c>
    </row>
    <row r="822" spans="2:8" x14ac:dyDescent="0.25">
      <c r="B822" s="76" t="s">
        <v>15</v>
      </c>
      <c r="C822" s="108" t="s">
        <v>469</v>
      </c>
      <c r="D822" s="141"/>
      <c r="E822" s="128" t="s">
        <v>12</v>
      </c>
      <c r="F822" s="18"/>
      <c r="G822" s="24"/>
      <c r="H822" s="22"/>
    </row>
    <row r="823" spans="2:8" x14ac:dyDescent="0.25">
      <c r="B823" s="101"/>
      <c r="C823" s="16" t="s">
        <v>538</v>
      </c>
      <c r="D823" s="141"/>
      <c r="E823" s="128" t="s">
        <v>13</v>
      </c>
      <c r="F823" s="18"/>
      <c r="G823" s="17"/>
      <c r="H823" s="22"/>
    </row>
    <row r="824" spans="2:8" x14ac:dyDescent="0.25">
      <c r="B824" s="122" t="s">
        <v>410</v>
      </c>
      <c r="C824" s="124" t="s">
        <v>562</v>
      </c>
      <c r="D824" s="142"/>
      <c r="E824" s="12"/>
      <c r="F824" s="14"/>
      <c r="G824" s="26"/>
      <c r="H824" s="13"/>
    </row>
    <row r="825" spans="2:8" x14ac:dyDescent="0.25">
      <c r="B825" s="76" t="s">
        <v>15</v>
      </c>
      <c r="C825" s="108" t="s">
        <v>535</v>
      </c>
      <c r="D825" s="141"/>
      <c r="E825" s="128" t="s">
        <v>9</v>
      </c>
      <c r="F825" s="18"/>
      <c r="G825" s="24"/>
      <c r="H825" s="19" t="b">
        <f>IF(D825="x",H$2,H$1)</f>
        <v>0</v>
      </c>
    </row>
    <row r="826" spans="2:8" x14ac:dyDescent="0.25">
      <c r="B826" s="76" t="s">
        <v>15</v>
      </c>
      <c r="C826" s="108" t="s">
        <v>533</v>
      </c>
      <c r="D826" s="141"/>
      <c r="E826" s="128" t="s">
        <v>10</v>
      </c>
      <c r="F826" s="20" t="str">
        <f t="shared" ref="F826" si="133">IF(H827=1,IF(H825=H$2,H825,""),"")</f>
        <v/>
      </c>
      <c r="G826" s="24"/>
      <c r="H826" s="19">
        <f>IF(E856="comprobar",COUNTIF(D825:D829,"x"),"")</f>
        <v>0</v>
      </c>
    </row>
    <row r="827" spans="2:8" x14ac:dyDescent="0.25">
      <c r="B827" s="76" t="s">
        <v>15</v>
      </c>
      <c r="C827" s="108" t="s">
        <v>560</v>
      </c>
      <c r="D827" s="141"/>
      <c r="E827" s="128" t="s">
        <v>11</v>
      </c>
      <c r="F827" s="21" t="str">
        <f t="shared" ref="F827" si="134">IF(H827=-0.33,IF(H825=H$1,H825,""),"")</f>
        <v/>
      </c>
      <c r="G827" s="24"/>
      <c r="H827" s="22">
        <f t="shared" si="124"/>
        <v>0</v>
      </c>
    </row>
    <row r="828" spans="2:8" x14ac:dyDescent="0.25">
      <c r="B828" s="76" t="s">
        <v>15</v>
      </c>
      <c r="C828" s="108" t="s">
        <v>534</v>
      </c>
      <c r="D828" s="141"/>
      <c r="E828" s="128" t="s">
        <v>12</v>
      </c>
      <c r="F828" s="18"/>
      <c r="G828" s="24"/>
      <c r="H828" s="22"/>
    </row>
    <row r="829" spans="2:8" x14ac:dyDescent="0.25">
      <c r="B829" s="101"/>
      <c r="C829" s="16" t="s">
        <v>545</v>
      </c>
      <c r="D829" s="141"/>
      <c r="E829" s="128" t="s">
        <v>13</v>
      </c>
      <c r="F829" s="18"/>
      <c r="G829" s="17"/>
      <c r="H829" s="22"/>
    </row>
    <row r="830" spans="2:8" x14ac:dyDescent="0.25">
      <c r="B830" s="122" t="s">
        <v>411</v>
      </c>
      <c r="C830" s="124" t="s">
        <v>563</v>
      </c>
      <c r="D830" s="142"/>
      <c r="E830" s="12"/>
      <c r="F830" s="14"/>
      <c r="G830" s="26"/>
      <c r="H830" s="13"/>
    </row>
    <row r="831" spans="2:8" x14ac:dyDescent="0.25">
      <c r="B831" s="76" t="s">
        <v>15</v>
      </c>
      <c r="C831" s="108" t="s">
        <v>496</v>
      </c>
      <c r="D831" s="141"/>
      <c r="E831" s="128" t="s">
        <v>9</v>
      </c>
      <c r="F831" s="18"/>
      <c r="G831" s="24"/>
      <c r="H831" s="19" t="b">
        <f>IF(D834="x",H$2,H$1)</f>
        <v>0</v>
      </c>
    </row>
    <row r="832" spans="2:8" x14ac:dyDescent="0.25">
      <c r="B832" s="76" t="s">
        <v>15</v>
      </c>
      <c r="C832" s="108" t="s">
        <v>497</v>
      </c>
      <c r="D832" s="141"/>
      <c r="E832" s="128" t="s">
        <v>10</v>
      </c>
      <c r="F832" s="20" t="str">
        <f t="shared" ref="F832" si="135">IF(H833=1,IF(H831=H$2,H831,""),"")</f>
        <v/>
      </c>
      <c r="G832" s="24"/>
      <c r="H832" s="19">
        <f>IF(E856="comprobar",COUNTIF(D831:D835,"x"),"")</f>
        <v>0</v>
      </c>
    </row>
    <row r="833" spans="2:8" x14ac:dyDescent="0.25">
      <c r="B833" s="76" t="s">
        <v>15</v>
      </c>
      <c r="C833" s="108" t="s">
        <v>498</v>
      </c>
      <c r="D833" s="141"/>
      <c r="E833" s="128" t="s">
        <v>11</v>
      </c>
      <c r="F833" s="21" t="str">
        <f t="shared" ref="F833" si="136">IF(H833=-0.33,IF(H831=H$1,H831,""),"")</f>
        <v/>
      </c>
      <c r="G833" s="24"/>
      <c r="H833" s="22">
        <f t="shared" si="124"/>
        <v>0</v>
      </c>
    </row>
    <row r="834" spans="2:8" x14ac:dyDescent="0.25">
      <c r="B834" s="76" t="s">
        <v>15</v>
      </c>
      <c r="C834" s="108" t="s">
        <v>499</v>
      </c>
      <c r="D834" s="141"/>
      <c r="E834" s="128" t="s">
        <v>12</v>
      </c>
      <c r="F834" s="18"/>
      <c r="G834" s="24"/>
      <c r="H834" s="22"/>
    </row>
    <row r="835" spans="2:8" x14ac:dyDescent="0.25">
      <c r="B835" s="101"/>
      <c r="C835" s="16" t="s">
        <v>538</v>
      </c>
      <c r="D835" s="141"/>
      <c r="E835" s="128" t="s">
        <v>13</v>
      </c>
      <c r="F835" s="18"/>
      <c r="G835" s="17"/>
      <c r="H835" s="22"/>
    </row>
    <row r="836" spans="2:8" x14ac:dyDescent="0.25">
      <c r="B836" s="122" t="s">
        <v>412</v>
      </c>
      <c r="C836" s="124" t="s">
        <v>564</v>
      </c>
      <c r="D836" s="142"/>
      <c r="E836" s="12"/>
      <c r="F836" s="14"/>
      <c r="G836" s="26"/>
      <c r="H836" s="13"/>
    </row>
    <row r="837" spans="2:8" x14ac:dyDescent="0.25">
      <c r="B837" s="76" t="s">
        <v>15</v>
      </c>
      <c r="C837" s="108" t="s">
        <v>514</v>
      </c>
      <c r="D837" s="141"/>
      <c r="E837" s="128" t="s">
        <v>9</v>
      </c>
      <c r="F837" s="18"/>
      <c r="G837" s="24"/>
      <c r="H837" s="19" t="b">
        <f>IF(D839="x",H$2,H$1)</f>
        <v>0</v>
      </c>
    </row>
    <row r="838" spans="2:8" x14ac:dyDescent="0.25">
      <c r="B838" s="76" t="s">
        <v>15</v>
      </c>
      <c r="C838" s="108" t="s">
        <v>513</v>
      </c>
      <c r="D838" s="141"/>
      <c r="E838" s="128" t="s">
        <v>10</v>
      </c>
      <c r="F838" s="20" t="str">
        <f t="shared" ref="F838" si="137">IF(H839=1,IF(H837=H$2,H837,""),"")</f>
        <v/>
      </c>
      <c r="G838" s="24"/>
      <c r="H838" s="19">
        <f>IF(E856="comprobar",COUNTIF(D837:D841,"x"),"")</f>
        <v>0</v>
      </c>
    </row>
    <row r="839" spans="2:8" x14ac:dyDescent="0.25">
      <c r="B839" s="76" t="s">
        <v>15</v>
      </c>
      <c r="C839" s="108" t="s">
        <v>512</v>
      </c>
      <c r="D839" s="141"/>
      <c r="E839" s="128" t="s">
        <v>11</v>
      </c>
      <c r="F839" s="21" t="str">
        <f t="shared" ref="F839" si="138">IF(H839=-0.33,IF(H837=H$1,H837,""),"")</f>
        <v/>
      </c>
      <c r="G839" s="24"/>
      <c r="H839" s="22">
        <f t="shared" si="124"/>
        <v>0</v>
      </c>
    </row>
    <row r="840" spans="2:8" x14ac:dyDescent="0.25">
      <c r="B840" s="76" t="s">
        <v>15</v>
      </c>
      <c r="C840" s="108" t="s">
        <v>515</v>
      </c>
      <c r="D840" s="141"/>
      <c r="E840" s="128" t="s">
        <v>12</v>
      </c>
      <c r="F840" s="18"/>
      <c r="G840" s="24"/>
      <c r="H840" s="22"/>
    </row>
    <row r="841" spans="2:8" x14ac:dyDescent="0.25">
      <c r="B841" s="101"/>
      <c r="C841" s="16" t="s">
        <v>538</v>
      </c>
      <c r="D841" s="141"/>
      <c r="E841" s="128" t="s">
        <v>13</v>
      </c>
      <c r="F841" s="18"/>
      <c r="G841" s="17"/>
      <c r="H841" s="22"/>
    </row>
    <row r="842" spans="2:8" ht="31.5" x14ac:dyDescent="0.25">
      <c r="B842" s="122" t="s">
        <v>413</v>
      </c>
      <c r="C842" s="143" t="s">
        <v>565</v>
      </c>
      <c r="D842" s="142"/>
      <c r="E842" s="12"/>
      <c r="F842" s="14"/>
      <c r="G842" s="26"/>
      <c r="H842" s="13"/>
    </row>
    <row r="843" spans="2:8" x14ac:dyDescent="0.25">
      <c r="B843" s="76" t="s">
        <v>15</v>
      </c>
      <c r="C843" s="108" t="s">
        <v>471</v>
      </c>
      <c r="D843" s="141"/>
      <c r="E843" s="128" t="s">
        <v>9</v>
      </c>
      <c r="F843" s="18"/>
      <c r="G843" s="24"/>
      <c r="H843" s="19" t="b">
        <f>IF(D843="x",H$2,H$1)</f>
        <v>0</v>
      </c>
    </row>
    <row r="844" spans="2:8" x14ac:dyDescent="0.25">
      <c r="B844" s="76" t="s">
        <v>15</v>
      </c>
      <c r="C844" s="108" t="s">
        <v>566</v>
      </c>
      <c r="D844" s="141"/>
      <c r="E844" s="128" t="s">
        <v>10</v>
      </c>
      <c r="F844" s="20" t="str">
        <f t="shared" ref="F844" si="139">IF(H845=1,IF(H843=H$2,H843,""),"")</f>
        <v/>
      </c>
      <c r="G844" s="24"/>
      <c r="H844" s="19">
        <f>IF(E856="comprobar",COUNTIF(D843:D847,"x"),"")</f>
        <v>0</v>
      </c>
    </row>
    <row r="845" spans="2:8" x14ac:dyDescent="0.25">
      <c r="B845" s="76" t="s">
        <v>15</v>
      </c>
      <c r="C845" s="108" t="s">
        <v>567</v>
      </c>
      <c r="D845" s="141"/>
      <c r="E845" s="128" t="s">
        <v>11</v>
      </c>
      <c r="F845" s="21" t="str">
        <f t="shared" ref="F845" si="140">IF(H845=-0.33,IF(H843=H$1,H843,""),"")</f>
        <v/>
      </c>
      <c r="G845" s="24"/>
      <c r="H845" s="22">
        <f t="shared" si="124"/>
        <v>0</v>
      </c>
    </row>
    <row r="846" spans="2:8" x14ac:dyDescent="0.25">
      <c r="B846" s="76" t="s">
        <v>15</v>
      </c>
      <c r="C846" s="108" t="s">
        <v>568</v>
      </c>
      <c r="D846" s="141"/>
      <c r="E846" s="128" t="s">
        <v>12</v>
      </c>
      <c r="F846" s="18"/>
      <c r="G846" s="24"/>
      <c r="H846" s="22"/>
    </row>
    <row r="847" spans="2:8" x14ac:dyDescent="0.25">
      <c r="B847" s="101"/>
      <c r="C847" s="16" t="s">
        <v>538</v>
      </c>
      <c r="D847" s="141"/>
      <c r="E847" s="128" t="s">
        <v>13</v>
      </c>
      <c r="F847" s="18"/>
      <c r="G847" s="17"/>
      <c r="H847" s="22"/>
    </row>
    <row r="848" spans="2:8" x14ac:dyDescent="0.25">
      <c r="B848" s="122" t="s">
        <v>414</v>
      </c>
      <c r="C848" s="124" t="s">
        <v>569</v>
      </c>
      <c r="D848" s="142"/>
      <c r="E848" s="12"/>
      <c r="F848" s="14"/>
      <c r="G848" s="26"/>
      <c r="H848" s="13"/>
    </row>
    <row r="849" spans="2:8" x14ac:dyDescent="0.25">
      <c r="B849" s="76" t="s">
        <v>15</v>
      </c>
      <c r="C849" s="108" t="s">
        <v>513</v>
      </c>
      <c r="D849" s="141"/>
      <c r="E849" s="128" t="s">
        <v>9</v>
      </c>
      <c r="F849" s="18"/>
      <c r="G849" s="24"/>
      <c r="H849" s="19" t="b">
        <f>IF(D850="x",H$2,H$1)</f>
        <v>0</v>
      </c>
    </row>
    <row r="850" spans="2:8" x14ac:dyDescent="0.25">
      <c r="B850" s="76" t="s">
        <v>15</v>
      </c>
      <c r="C850" s="108" t="s">
        <v>515</v>
      </c>
      <c r="D850" s="141"/>
      <c r="E850" s="128" t="s">
        <v>10</v>
      </c>
      <c r="F850" s="20" t="str">
        <f t="shared" ref="F850" si="141">IF(H851=1,IF(H849=H$2,H849,""),"")</f>
        <v/>
      </c>
      <c r="G850" s="24"/>
      <c r="H850" s="19">
        <f>IF(E856="comprobar",COUNTIF(D849:D852,"x"),"")</f>
        <v>0</v>
      </c>
    </row>
    <row r="851" spans="2:8" x14ac:dyDescent="0.25">
      <c r="B851" s="76" t="s">
        <v>15</v>
      </c>
      <c r="C851" s="108" t="s">
        <v>512</v>
      </c>
      <c r="D851" s="141"/>
      <c r="E851" s="128" t="s">
        <v>11</v>
      </c>
      <c r="F851" s="21" t="str">
        <f t="shared" ref="F851" si="142">IF(H851=-0.33,IF(H849=H$1,H849,""),"")</f>
        <v/>
      </c>
      <c r="G851" s="24"/>
      <c r="H851" s="22">
        <f t="shared" ref="H851" si="143">IF(H850=1,IF(H849=H$2,1,-0.33),0)</f>
        <v>0</v>
      </c>
    </row>
    <row r="852" spans="2:8" x14ac:dyDescent="0.25">
      <c r="B852" s="76" t="s">
        <v>15</v>
      </c>
      <c r="C852" s="108" t="s">
        <v>514</v>
      </c>
      <c r="D852" s="141"/>
      <c r="E852" s="128" t="s">
        <v>12</v>
      </c>
      <c r="F852" s="18"/>
      <c r="G852" s="24"/>
      <c r="H852" s="22"/>
    </row>
    <row r="853" spans="2:8" x14ac:dyDescent="0.25">
      <c r="B853" s="101"/>
      <c r="C853" s="16" t="s">
        <v>545</v>
      </c>
      <c r="D853" s="141"/>
      <c r="E853" s="128" t="s">
        <v>13</v>
      </c>
      <c r="F853" s="18"/>
      <c r="G853" s="17"/>
      <c r="H853" s="22"/>
    </row>
    <row r="854" spans="2:8" x14ac:dyDescent="0.25">
      <c r="B854" s="42"/>
      <c r="C854" s="5"/>
      <c r="D854" s="38"/>
      <c r="E854" s="5"/>
      <c r="F854" s="18"/>
    </row>
    <row r="855" spans="2:8" x14ac:dyDescent="0.25">
      <c r="B855" s="42"/>
      <c r="C855" s="5"/>
      <c r="D855" s="5"/>
      <c r="E855" s="5"/>
      <c r="F855" s="18"/>
    </row>
    <row r="856" spans="2:8" x14ac:dyDescent="0.25">
      <c r="B856" s="101"/>
      <c r="C856" s="16"/>
      <c r="D856" s="48"/>
      <c r="E856" s="54" t="s">
        <v>572</v>
      </c>
      <c r="F856" s="18"/>
      <c r="G856" s="17"/>
      <c r="H856" s="22"/>
    </row>
    <row r="857" spans="2:8" x14ac:dyDescent="0.25">
      <c r="B857" s="42"/>
      <c r="C857" s="8"/>
      <c r="D857" s="48"/>
      <c r="E857" s="59"/>
      <c r="F857" s="28" t="s">
        <v>8</v>
      </c>
      <c r="G857" s="17" t="s">
        <v>6</v>
      </c>
      <c r="H857" s="17" t="s">
        <v>7</v>
      </c>
    </row>
    <row r="858" spans="2:8" ht="19.5" x14ac:dyDescent="0.25">
      <c r="B858" s="42"/>
      <c r="C858" s="8"/>
      <c r="D858" s="148"/>
      <c r="E858" s="148"/>
      <c r="F858" s="29">
        <f>IF(E856="comprobar",H833+H827+H821+H815+H809+H803+H797+H791+H838+H845+H537+H543+H549+H555+H561+H567++H573+H579+H586+H593+H599+H605+H611++H617+H623+H629+H635+H641+H647+H653+H659+H851+H785+H779+H773+H767+H761+H755+H749+H743+H737+H731+H725+H719+H713+H707+H701+H695+H689+H683++H665+H671+H677,"")</f>
        <v>0</v>
      </c>
      <c r="G858" s="17">
        <f>10/2</f>
        <v>5</v>
      </c>
      <c r="H858" s="17"/>
    </row>
    <row r="859" spans="2:8" ht="16.5" thickBot="1" x14ac:dyDescent="0.3">
      <c r="B859" s="65"/>
      <c r="C859" s="66"/>
      <c r="D859" s="31"/>
      <c r="E859" s="9"/>
      <c r="F859" s="32" t="str">
        <f>IF(F858&gt;G858,G857,H857)</f>
        <v>SUSPENDIDO</v>
      </c>
      <c r="G859" s="17"/>
      <c r="H859" s="17"/>
    </row>
    <row r="860" spans="2:8" ht="28.5" x14ac:dyDescent="0.45">
      <c r="B860" s="60" t="s">
        <v>31</v>
      </c>
      <c r="C860" s="145" t="s">
        <v>571</v>
      </c>
      <c r="D860" s="145"/>
      <c r="E860" s="145"/>
      <c r="F860" s="146"/>
    </row>
    <row r="861" spans="2:8" x14ac:dyDescent="0.25">
      <c r="B861" s="116" t="s">
        <v>17</v>
      </c>
      <c r="C861" s="124" t="s">
        <v>573</v>
      </c>
      <c r="D861" s="142"/>
      <c r="E861" s="12"/>
      <c r="F861" s="14"/>
      <c r="G861" s="26"/>
      <c r="H861" s="13"/>
    </row>
    <row r="862" spans="2:8" x14ac:dyDescent="0.25">
      <c r="B862" s="76" t="s">
        <v>15</v>
      </c>
      <c r="C862" s="108" t="s">
        <v>574</v>
      </c>
      <c r="D862" s="151" t="s">
        <v>577</v>
      </c>
      <c r="E862" s="144" t="s">
        <v>9</v>
      </c>
      <c r="F862" s="18"/>
      <c r="G862" s="24"/>
      <c r="H862" s="19" t="b">
        <f>IF(D865="x",H$2,H$1)</f>
        <v>0</v>
      </c>
    </row>
    <row r="863" spans="2:8" x14ac:dyDescent="0.25">
      <c r="B863" s="76" t="s">
        <v>15</v>
      </c>
      <c r="C863" s="108" t="s">
        <v>575</v>
      </c>
      <c r="D863" s="141"/>
      <c r="E863" s="144" t="s">
        <v>10</v>
      </c>
      <c r="F863" s="20" t="str">
        <f>IF(H864=1,IF(H862=H$2,H862,""),"")</f>
        <v/>
      </c>
      <c r="G863" s="24"/>
      <c r="H863" s="19">
        <f>IF(E1122="comprobar",COUNTIF(D862:D866,"x"),"")</f>
        <v>1</v>
      </c>
    </row>
    <row r="864" spans="2:8" x14ac:dyDescent="0.25">
      <c r="B864" s="76" t="s">
        <v>15</v>
      </c>
      <c r="C864" s="108" t="s">
        <v>576</v>
      </c>
      <c r="D864" s="141"/>
      <c r="E864" s="144" t="s">
        <v>11</v>
      </c>
      <c r="F864" s="21" t="b">
        <f>IF(H864=-0.33,IF(H862=H$1,H862,""),"")</f>
        <v>0</v>
      </c>
      <c r="G864" s="24"/>
      <c r="H864" s="22">
        <f>IF(H863=1,IF(H862=H$2,1,-0.33),0)</f>
        <v>-0.33</v>
      </c>
    </row>
    <row r="865" spans="2:8" x14ac:dyDescent="0.25">
      <c r="B865" s="76" t="s">
        <v>15</v>
      </c>
      <c r="C865" s="108" t="s">
        <v>278</v>
      </c>
      <c r="D865" s="151"/>
      <c r="E865" s="144" t="s">
        <v>12</v>
      </c>
      <c r="F865" s="18"/>
      <c r="G865" s="24"/>
      <c r="H865" s="22"/>
    </row>
    <row r="866" spans="2:8" x14ac:dyDescent="0.25">
      <c r="B866" s="42"/>
      <c r="C866" s="16"/>
      <c r="D866" s="141"/>
      <c r="E866" s="144" t="s">
        <v>13</v>
      </c>
      <c r="F866" s="18"/>
      <c r="G866" s="17"/>
      <c r="H866" s="22"/>
    </row>
    <row r="867" spans="2:8" x14ac:dyDescent="0.25">
      <c r="B867" s="122" t="s">
        <v>16</v>
      </c>
      <c r="C867" s="124" t="s">
        <v>335</v>
      </c>
      <c r="D867" s="142"/>
      <c r="E867" s="12"/>
      <c r="F867" s="14"/>
      <c r="G867" s="26"/>
      <c r="H867" s="13"/>
    </row>
    <row r="868" spans="2:8" x14ac:dyDescent="0.25">
      <c r="B868" s="76" t="s">
        <v>15</v>
      </c>
      <c r="C868" s="108" t="s">
        <v>339</v>
      </c>
      <c r="D868" s="141"/>
      <c r="E868" s="144" t="s">
        <v>9</v>
      </c>
      <c r="F868" s="18"/>
      <c r="G868" s="24"/>
      <c r="H868" s="19" t="b">
        <f>IF(D871="x",H$2,H$1)</f>
        <v>0</v>
      </c>
    </row>
    <row r="869" spans="2:8" x14ac:dyDescent="0.25">
      <c r="B869" s="76" t="s">
        <v>15</v>
      </c>
      <c r="C869" s="108" t="s">
        <v>337</v>
      </c>
      <c r="D869" s="141"/>
      <c r="E869" s="144" t="s">
        <v>10</v>
      </c>
      <c r="F869" s="20" t="str">
        <f>IF(H870=1,IF(H868=H$2,H868,""),"")</f>
        <v/>
      </c>
      <c r="G869" s="24"/>
      <c r="H869" s="19">
        <f>IF(E1122="comprobar",COUNTIF(D868:D872,"x"),"")</f>
        <v>0</v>
      </c>
    </row>
    <row r="870" spans="2:8" x14ac:dyDescent="0.25">
      <c r="B870" s="76" t="s">
        <v>15</v>
      </c>
      <c r="C870" s="108" t="s">
        <v>336</v>
      </c>
      <c r="D870" s="141"/>
      <c r="E870" s="144" t="s">
        <v>11</v>
      </c>
      <c r="F870" s="21" t="str">
        <f>IF(H870=-0.33,IF(H868=H$1,H868,""),"")</f>
        <v/>
      </c>
      <c r="G870" s="24"/>
      <c r="H870" s="22">
        <f t="shared" ref="H870" si="144">IF(H869=1,IF(H868=H$2,1,-0.33),0)</f>
        <v>0</v>
      </c>
    </row>
    <row r="871" spans="2:8" x14ac:dyDescent="0.25">
      <c r="B871" s="76" t="s">
        <v>15</v>
      </c>
      <c r="C871" s="108" t="s">
        <v>338</v>
      </c>
      <c r="D871" s="141"/>
      <c r="E871" s="144" t="s">
        <v>12</v>
      </c>
      <c r="F871" s="18"/>
      <c r="G871" s="24"/>
      <c r="H871" s="22"/>
    </row>
    <row r="872" spans="2:8" x14ac:dyDescent="0.25">
      <c r="B872" s="76"/>
      <c r="C872" s="16"/>
      <c r="D872" s="141"/>
      <c r="E872" s="144" t="s">
        <v>13</v>
      </c>
      <c r="F872" s="18"/>
      <c r="G872" s="17"/>
      <c r="H872" s="22"/>
    </row>
    <row r="873" spans="2:8" x14ac:dyDescent="0.25">
      <c r="B873" s="122" t="s">
        <v>18</v>
      </c>
      <c r="C873" s="124" t="s">
        <v>578</v>
      </c>
      <c r="D873" s="142"/>
      <c r="E873" s="12"/>
      <c r="F873" s="14"/>
      <c r="G873" s="26"/>
      <c r="H873" s="13"/>
    </row>
    <row r="874" spans="2:8" x14ac:dyDescent="0.25">
      <c r="B874" s="76" t="s">
        <v>15</v>
      </c>
      <c r="C874" s="108" t="s">
        <v>298</v>
      </c>
      <c r="D874" s="141"/>
      <c r="E874" s="144" t="s">
        <v>9</v>
      </c>
      <c r="F874" s="18"/>
      <c r="G874" s="24"/>
      <c r="H874" s="19" t="str">
        <f>IF(D876="x",H$2,H$1)</f>
        <v>CORRECTO</v>
      </c>
    </row>
    <row r="875" spans="2:8" x14ac:dyDescent="0.25">
      <c r="B875" s="76" t="s">
        <v>15</v>
      </c>
      <c r="C875" s="108" t="s">
        <v>579</v>
      </c>
      <c r="D875" s="141"/>
      <c r="E875" s="144" t="s">
        <v>10</v>
      </c>
      <c r="F875" s="20" t="str">
        <f>IF(H876=1,IF(H874=H$2,H874,""),"")</f>
        <v>CORRECTO</v>
      </c>
      <c r="G875" s="24"/>
      <c r="H875" s="19">
        <f>IF(E1122="comprobar",COUNTIF(D874:D878,"x"),"")</f>
        <v>1</v>
      </c>
    </row>
    <row r="876" spans="2:8" x14ac:dyDescent="0.25">
      <c r="B876" s="76" t="s">
        <v>15</v>
      </c>
      <c r="C876" s="108" t="s">
        <v>580</v>
      </c>
      <c r="D876" s="151" t="s">
        <v>577</v>
      </c>
      <c r="E876" s="144" t="s">
        <v>11</v>
      </c>
      <c r="F876" s="21" t="str">
        <f>IF(H876=-0.33,IF(H874=H$1,H874,""),"")</f>
        <v/>
      </c>
      <c r="G876" s="24"/>
      <c r="H876" s="22">
        <f>IF(H875=1,IF(H874=H$2,1,-0.33),0)</f>
        <v>1</v>
      </c>
    </row>
    <row r="877" spans="2:8" x14ac:dyDescent="0.25">
      <c r="B877" s="76" t="s">
        <v>15</v>
      </c>
      <c r="C877" s="108" t="s">
        <v>581</v>
      </c>
      <c r="D877" s="141"/>
      <c r="E877" s="144" t="s">
        <v>12</v>
      </c>
      <c r="F877" s="18"/>
      <c r="G877" s="24"/>
      <c r="H877" s="22"/>
    </row>
    <row r="878" spans="2:8" x14ac:dyDescent="0.25">
      <c r="B878" s="76"/>
      <c r="C878" s="16"/>
      <c r="D878" s="141"/>
      <c r="E878" s="144" t="s">
        <v>13</v>
      </c>
      <c r="F878" s="18"/>
      <c r="G878" s="17"/>
      <c r="H878" s="22"/>
    </row>
    <row r="879" spans="2:8" x14ac:dyDescent="0.25">
      <c r="B879" s="122" t="s">
        <v>19</v>
      </c>
      <c r="C879" s="124" t="s">
        <v>582</v>
      </c>
      <c r="D879" s="142"/>
      <c r="E879" s="12"/>
      <c r="F879" s="14"/>
      <c r="G879" s="26"/>
      <c r="H879" s="13"/>
    </row>
    <row r="880" spans="2:8" x14ac:dyDescent="0.25">
      <c r="B880" s="76" t="s">
        <v>15</v>
      </c>
      <c r="C880" s="108" t="s">
        <v>583</v>
      </c>
      <c r="D880" s="141"/>
      <c r="E880" s="144" t="s">
        <v>9</v>
      </c>
      <c r="F880" s="18"/>
      <c r="G880" s="24"/>
      <c r="H880" s="19" t="b">
        <f>IF(D881="x",H$2,H$1)</f>
        <v>0</v>
      </c>
    </row>
    <row r="881" spans="2:8" ht="283.5" x14ac:dyDescent="0.25">
      <c r="B881" s="76" t="s">
        <v>15</v>
      </c>
      <c r="C881" s="108" t="s">
        <v>584</v>
      </c>
      <c r="D881" s="141"/>
      <c r="E881" s="144" t="s">
        <v>10</v>
      </c>
      <c r="F881" s="20" t="str">
        <f>IF(H882=1,IF(H880=H$2,H880,""),"")</f>
        <v/>
      </c>
      <c r="G881" s="24"/>
      <c r="H881" s="19">
        <f>IF(E1122="comprobar",COUNTIF(D880:D884,"x"),"")</f>
        <v>0</v>
      </c>
    </row>
    <row r="882" spans="2:8" ht="78.75" x14ac:dyDescent="0.25">
      <c r="B882" s="76" t="s">
        <v>15</v>
      </c>
      <c r="C882" s="108" t="s">
        <v>585</v>
      </c>
      <c r="D882" s="141"/>
      <c r="E882" s="144" t="s">
        <v>11</v>
      </c>
      <c r="F882" s="21" t="str">
        <f>IF(H882=-0.33,IF(H880=H$1,H880,""),"")</f>
        <v/>
      </c>
      <c r="G882" s="24"/>
      <c r="H882" s="22">
        <f t="shared" ref="H882" si="145">IF(H881=1,IF(H880=H$2,1,-0.33),0)</f>
        <v>0</v>
      </c>
    </row>
    <row r="883" spans="2:8" ht="31.5" x14ac:dyDescent="0.25">
      <c r="B883" s="76" t="s">
        <v>15</v>
      </c>
      <c r="C883" s="108" t="s">
        <v>586</v>
      </c>
      <c r="D883" s="141"/>
      <c r="E883" s="144" t="s">
        <v>12</v>
      </c>
      <c r="F883" s="18"/>
      <c r="G883" s="24"/>
      <c r="H883" s="22"/>
    </row>
    <row r="884" spans="2:8" x14ac:dyDescent="0.25">
      <c r="B884" s="76"/>
      <c r="C884" s="16"/>
      <c r="D884" s="141"/>
      <c r="E884" s="144" t="s">
        <v>13</v>
      </c>
      <c r="F884" s="18"/>
      <c r="G884" s="17"/>
      <c r="H884" s="22"/>
    </row>
    <row r="885" spans="2:8" x14ac:dyDescent="0.25">
      <c r="B885" s="122" t="s">
        <v>20</v>
      </c>
      <c r="C885" s="124" t="s">
        <v>588</v>
      </c>
      <c r="D885" s="142"/>
      <c r="E885" s="12"/>
      <c r="F885" s="14"/>
      <c r="G885" s="26"/>
      <c r="H885" s="13"/>
    </row>
    <row r="886" spans="2:8" x14ac:dyDescent="0.25">
      <c r="B886" s="76" t="s">
        <v>15</v>
      </c>
      <c r="C886" s="108" t="s">
        <v>590</v>
      </c>
      <c r="D886" s="141"/>
      <c r="E886" s="144" t="s">
        <v>9</v>
      </c>
      <c r="F886" s="18"/>
      <c r="G886" s="24"/>
      <c r="H886" s="19" t="b">
        <f>IF(D886="x",H$2,H$1)</f>
        <v>0</v>
      </c>
    </row>
    <row r="887" spans="2:8" x14ac:dyDescent="0.25">
      <c r="B887" s="76" t="s">
        <v>15</v>
      </c>
      <c r="C887" s="108" t="s">
        <v>591</v>
      </c>
      <c r="D887" s="141"/>
      <c r="E887" s="144" t="s">
        <v>10</v>
      </c>
      <c r="F887" s="20" t="str">
        <f>IF(H888=1,IF(H886=H$2,H886,""),"")</f>
        <v/>
      </c>
      <c r="G887" s="24"/>
      <c r="H887" s="19">
        <f>IF(E1122="comprobar",COUNTIF(D886:D890,"x"),"")</f>
        <v>0</v>
      </c>
    </row>
    <row r="888" spans="2:8" x14ac:dyDescent="0.25">
      <c r="B888" s="76" t="s">
        <v>15</v>
      </c>
      <c r="C888" s="108" t="s">
        <v>589</v>
      </c>
      <c r="D888" s="141"/>
      <c r="E888" s="144" t="s">
        <v>11</v>
      </c>
      <c r="F888" s="21" t="str">
        <f>IF(H888=-0.33,IF(H886=H$1,H886,""),"")</f>
        <v/>
      </c>
      <c r="G888" s="24"/>
      <c r="H888" s="22">
        <f t="shared" ref="H888" si="146">IF(H887=1,IF(H886=H$2,1,-0.33),0)</f>
        <v>0</v>
      </c>
    </row>
    <row r="889" spans="2:8" x14ac:dyDescent="0.25">
      <c r="B889" s="76" t="s">
        <v>15</v>
      </c>
      <c r="C889" s="108" t="s">
        <v>592</v>
      </c>
      <c r="D889" s="141"/>
      <c r="E889" s="144" t="s">
        <v>12</v>
      </c>
      <c r="F889" s="18"/>
      <c r="G889" s="24"/>
      <c r="H889" s="22"/>
    </row>
    <row r="890" spans="2:8" x14ac:dyDescent="0.25">
      <c r="B890" s="76"/>
      <c r="C890" s="16"/>
      <c r="D890" s="141"/>
      <c r="E890" s="144" t="s">
        <v>13</v>
      </c>
      <c r="F890" s="18"/>
      <c r="G890" s="17"/>
      <c r="H890" s="22"/>
    </row>
    <row r="891" spans="2:8" x14ac:dyDescent="0.25">
      <c r="B891" s="122" t="s">
        <v>21</v>
      </c>
      <c r="C891" s="124" t="s">
        <v>593</v>
      </c>
      <c r="D891" s="142"/>
      <c r="E891" s="12"/>
      <c r="F891" s="14"/>
      <c r="G891" s="26"/>
      <c r="H891" s="13"/>
    </row>
    <row r="892" spans="2:8" x14ac:dyDescent="0.25">
      <c r="B892" s="76" t="s">
        <v>15</v>
      </c>
      <c r="C892" s="108" t="s">
        <v>594</v>
      </c>
      <c r="D892" s="141"/>
      <c r="E892" s="144" t="s">
        <v>9</v>
      </c>
      <c r="F892" s="18"/>
      <c r="G892" s="24"/>
      <c r="H892" s="19" t="b">
        <f>IF(D893="x",H$2,H$1)</f>
        <v>0</v>
      </c>
    </row>
    <row r="893" spans="2:8" x14ac:dyDescent="0.25">
      <c r="B893" s="76" t="s">
        <v>15</v>
      </c>
      <c r="C893" s="108" t="s">
        <v>595</v>
      </c>
      <c r="D893" s="141"/>
      <c r="E893" s="144" t="s">
        <v>10</v>
      </c>
      <c r="F893" s="20" t="str">
        <f>IF(H894=1,IF(H892=H$2,H892,""),"")</f>
        <v/>
      </c>
      <c r="G893" s="24"/>
      <c r="H893" s="19">
        <f>IF(E1122="comprobar",COUNTIF(D892:D896,"x"),"")</f>
        <v>0</v>
      </c>
    </row>
    <row r="894" spans="2:8" x14ac:dyDescent="0.25">
      <c r="B894" s="76" t="s">
        <v>15</v>
      </c>
      <c r="C894" s="108" t="s">
        <v>596</v>
      </c>
      <c r="D894" s="141"/>
      <c r="E894" s="144" t="s">
        <v>11</v>
      </c>
      <c r="F894" s="21" t="str">
        <f>IF(H894=-0.33,IF(H892=H$1,H892,""),"")</f>
        <v/>
      </c>
      <c r="G894" s="24"/>
      <c r="H894" s="22">
        <f t="shared" ref="H894" si="147">IF(H893=1,IF(H892=H$2,1,-0.33),0)</f>
        <v>0</v>
      </c>
    </row>
    <row r="895" spans="2:8" x14ac:dyDescent="0.25">
      <c r="B895" s="76" t="s">
        <v>15</v>
      </c>
      <c r="C895" s="108" t="s">
        <v>597</v>
      </c>
      <c r="D895" s="141"/>
      <c r="E895" s="144" t="s">
        <v>12</v>
      </c>
      <c r="F895" s="18"/>
      <c r="G895" s="24"/>
      <c r="H895" s="22"/>
    </row>
    <row r="896" spans="2:8" x14ac:dyDescent="0.25">
      <c r="B896" s="42"/>
      <c r="C896" s="16"/>
      <c r="D896" s="141"/>
      <c r="E896" s="144" t="s">
        <v>13</v>
      </c>
      <c r="F896" s="18"/>
      <c r="G896" s="17"/>
      <c r="H896" s="22"/>
    </row>
    <row r="897" spans="2:8" x14ac:dyDescent="0.25">
      <c r="B897" s="122" t="s">
        <v>22</v>
      </c>
      <c r="C897" s="124" t="s">
        <v>587</v>
      </c>
      <c r="D897" s="142"/>
      <c r="E897" s="12"/>
      <c r="F897" s="14"/>
      <c r="G897" s="26"/>
      <c r="H897" s="13"/>
    </row>
    <row r="898" spans="2:8" x14ac:dyDescent="0.25">
      <c r="B898" s="76" t="s">
        <v>15</v>
      </c>
      <c r="C898" s="108" t="s">
        <v>358</v>
      </c>
      <c r="D898" s="141"/>
      <c r="E898" s="144" t="s">
        <v>9</v>
      </c>
      <c r="F898" s="18"/>
      <c r="G898" s="24"/>
      <c r="H898" s="19" t="b">
        <f>IF(D901="x",H$2,H$1)</f>
        <v>0</v>
      </c>
    </row>
    <row r="899" spans="2:8" x14ac:dyDescent="0.25">
      <c r="B899" s="76" t="s">
        <v>15</v>
      </c>
      <c r="C899" s="108" t="s">
        <v>357</v>
      </c>
      <c r="D899" s="141"/>
      <c r="E899" s="144" t="s">
        <v>10</v>
      </c>
      <c r="F899" s="20" t="str">
        <f>IF(H900=1,IF(H898=H$2,H898,""),"")</f>
        <v/>
      </c>
      <c r="G899" s="24"/>
      <c r="H899" s="19">
        <f>IF(E1122="comprobar",COUNTIF(D898:D902,"x"),"")</f>
        <v>0</v>
      </c>
    </row>
    <row r="900" spans="2:8" x14ac:dyDescent="0.25">
      <c r="B900" s="76" t="s">
        <v>15</v>
      </c>
      <c r="C900" s="108" t="s">
        <v>356</v>
      </c>
      <c r="D900" s="141"/>
      <c r="E900" s="144" t="s">
        <v>11</v>
      </c>
      <c r="F900" s="21" t="str">
        <f>IF(H900=-0.33,IF(H898=H$1,H898,""),"")</f>
        <v/>
      </c>
      <c r="G900" s="24"/>
      <c r="H900" s="22">
        <f t="shared" ref="H900" si="148">IF(H899=1,IF(H898=H$2,1,-0.33),0)</f>
        <v>0</v>
      </c>
    </row>
    <row r="901" spans="2:8" x14ac:dyDescent="0.25">
      <c r="B901" s="76" t="s">
        <v>15</v>
      </c>
      <c r="C901" s="108" t="s">
        <v>359</v>
      </c>
      <c r="D901" s="141"/>
      <c r="E901" s="144" t="s">
        <v>12</v>
      </c>
      <c r="F901" s="18"/>
      <c r="G901" s="24"/>
      <c r="H901" s="22"/>
    </row>
    <row r="902" spans="2:8" x14ac:dyDescent="0.25">
      <c r="B902" s="42"/>
      <c r="C902" s="16"/>
      <c r="D902" s="141"/>
      <c r="E902" s="144" t="s">
        <v>13</v>
      </c>
      <c r="F902" s="18"/>
      <c r="G902" s="17"/>
      <c r="H902" s="22"/>
    </row>
    <row r="903" spans="2:8" x14ac:dyDescent="0.25">
      <c r="B903" s="122" t="s">
        <v>23</v>
      </c>
      <c r="C903" s="124" t="s">
        <v>598</v>
      </c>
      <c r="D903" s="142"/>
      <c r="E903" s="12"/>
      <c r="F903" s="12"/>
      <c r="G903" s="26"/>
      <c r="H903" s="13"/>
    </row>
    <row r="904" spans="2:8" x14ac:dyDescent="0.25">
      <c r="B904" s="76" t="s">
        <v>15</v>
      </c>
      <c r="C904" s="108" t="s">
        <v>298</v>
      </c>
      <c r="D904" s="141"/>
      <c r="E904" s="144" t="s">
        <v>9</v>
      </c>
      <c r="F904" s="18"/>
      <c r="G904" s="24"/>
      <c r="H904" s="19" t="b">
        <f>IF(D906="x",H$2,H$1)</f>
        <v>0</v>
      </c>
    </row>
    <row r="905" spans="2:8" x14ac:dyDescent="0.25">
      <c r="B905" s="76" t="s">
        <v>15</v>
      </c>
      <c r="C905" s="108" t="s">
        <v>599</v>
      </c>
      <c r="D905" s="141"/>
      <c r="E905" s="144" t="s">
        <v>10</v>
      </c>
      <c r="F905" s="20" t="str">
        <f>IF(H906=1,IF(H904=H$2,H904,""),"")</f>
        <v/>
      </c>
      <c r="G905" s="24"/>
      <c r="H905" s="19">
        <f>IF(E1122="comprobar",COUNTIF(D904:D908,"x"),"")</f>
        <v>0</v>
      </c>
    </row>
    <row r="906" spans="2:8" x14ac:dyDescent="0.25">
      <c r="B906" s="76" t="s">
        <v>15</v>
      </c>
      <c r="C906" s="108" t="s">
        <v>600</v>
      </c>
      <c r="D906" s="141"/>
      <c r="E906" s="144" t="s">
        <v>11</v>
      </c>
      <c r="F906" s="21" t="str">
        <f>IF(H906=-0.33,IF(H904=H$1,H904,""),"")</f>
        <v/>
      </c>
      <c r="G906" s="24"/>
      <c r="H906" s="22">
        <f t="shared" ref="H906" si="149">IF(H905=1,IF(H904=H$2,1,-0.33),0)</f>
        <v>0</v>
      </c>
    </row>
    <row r="907" spans="2:8" x14ac:dyDescent="0.25">
      <c r="B907" s="76" t="s">
        <v>15</v>
      </c>
      <c r="C907" s="108" t="s">
        <v>601</v>
      </c>
      <c r="D907" s="141"/>
      <c r="E907" s="144" t="s">
        <v>12</v>
      </c>
      <c r="F907" s="18"/>
      <c r="G907" s="24"/>
      <c r="H907" s="22"/>
    </row>
    <row r="908" spans="2:8" x14ac:dyDescent="0.25">
      <c r="B908" s="101"/>
      <c r="C908" s="16"/>
      <c r="D908" s="141"/>
      <c r="E908" s="144" t="s">
        <v>13</v>
      </c>
      <c r="F908" s="18"/>
      <c r="G908" s="17"/>
      <c r="H908" s="22"/>
    </row>
    <row r="909" spans="2:8" x14ac:dyDescent="0.25">
      <c r="B909" s="101"/>
      <c r="C909" s="124"/>
      <c r="E909" s="144"/>
      <c r="F909" s="18"/>
      <c r="G909" s="17"/>
      <c r="H909" s="22"/>
    </row>
    <row r="910" spans="2:8" x14ac:dyDescent="0.25">
      <c r="B910" s="122" t="s">
        <v>27</v>
      </c>
      <c r="C910" s="108" t="s">
        <v>602</v>
      </c>
      <c r="D910" s="142"/>
      <c r="E910" s="12"/>
      <c r="F910" s="14"/>
      <c r="G910" s="26"/>
      <c r="H910" s="13"/>
    </row>
    <row r="911" spans="2:8" x14ac:dyDescent="0.25">
      <c r="B911" s="76" t="s">
        <v>15</v>
      </c>
      <c r="C911" s="108" t="s">
        <v>298</v>
      </c>
      <c r="D911" s="141"/>
      <c r="E911" s="144" t="s">
        <v>9</v>
      </c>
      <c r="F911" s="18"/>
      <c r="G911" s="24"/>
      <c r="H911" s="19" t="b">
        <f>IF(D913="x",H$2,H$1)</f>
        <v>0</v>
      </c>
    </row>
    <row r="912" spans="2:8" ht="47.25" x14ac:dyDescent="0.25">
      <c r="B912" s="76" t="s">
        <v>15</v>
      </c>
      <c r="C912" s="108" t="s">
        <v>603</v>
      </c>
      <c r="D912" s="141"/>
      <c r="E912" s="144" t="s">
        <v>10</v>
      </c>
      <c r="F912" s="20" t="str">
        <f>IF(H913=1,IF(H911=H$2,H911,""),"")</f>
        <v/>
      </c>
      <c r="G912" s="24"/>
      <c r="H912" s="19">
        <f>IF(E1122="comprobar",COUNTIF(D911:D916,"x"),"")</f>
        <v>0</v>
      </c>
    </row>
    <row r="913" spans="2:8" ht="63" x14ac:dyDescent="0.25">
      <c r="B913" s="76" t="s">
        <v>15</v>
      </c>
      <c r="C913" s="108" t="s">
        <v>604</v>
      </c>
      <c r="D913" s="141"/>
      <c r="E913" s="144" t="s">
        <v>11</v>
      </c>
      <c r="F913" s="21" t="str">
        <f>IF(H913=-0.33,IF(H911=H$1,H911,""),"")</f>
        <v/>
      </c>
      <c r="G913" s="24"/>
      <c r="H913" s="22">
        <f t="shared" ref="H913" si="150">IF(H912=1,IF(H911=H$2,1,-0.33),0)</f>
        <v>0</v>
      </c>
    </row>
    <row r="914" spans="2:8" x14ac:dyDescent="0.25">
      <c r="B914" s="76" t="s">
        <v>15</v>
      </c>
      <c r="C914" s="16" t="s">
        <v>605</v>
      </c>
      <c r="D914" s="141"/>
      <c r="E914" s="144" t="s">
        <v>12</v>
      </c>
      <c r="F914" s="18"/>
      <c r="G914" s="24"/>
      <c r="H914" s="22"/>
    </row>
    <row r="915" spans="2:8" x14ac:dyDescent="0.25">
      <c r="B915" s="101"/>
      <c r="C915" s="16"/>
      <c r="D915" s="141"/>
      <c r="E915" s="144" t="s">
        <v>13</v>
      </c>
      <c r="F915" s="18"/>
      <c r="G915" s="17"/>
      <c r="H915" s="22"/>
    </row>
    <row r="916" spans="2:8" x14ac:dyDescent="0.25">
      <c r="B916" s="101"/>
      <c r="E916" s="144"/>
      <c r="F916" s="18"/>
      <c r="G916" s="17"/>
      <c r="H916" s="22"/>
    </row>
    <row r="917" spans="2:8" ht="17.25" x14ac:dyDescent="0.25">
      <c r="B917" s="122" t="s">
        <v>25</v>
      </c>
      <c r="C917" s="124" t="s">
        <v>606</v>
      </c>
      <c r="D917" s="142"/>
      <c r="E917" s="12"/>
      <c r="F917" s="14"/>
      <c r="G917" s="26"/>
      <c r="H917" s="13"/>
    </row>
    <row r="918" spans="2:8" x14ac:dyDescent="0.25">
      <c r="B918" s="76" t="s">
        <v>15</v>
      </c>
      <c r="C918" s="108" t="s">
        <v>362</v>
      </c>
      <c r="D918" s="141"/>
      <c r="E918" s="144" t="s">
        <v>9</v>
      </c>
      <c r="F918" s="18"/>
      <c r="G918" s="24"/>
      <c r="H918" s="19" t="b">
        <f>IF(D919="x",H$2,H$1)</f>
        <v>0</v>
      </c>
    </row>
    <row r="919" spans="2:8" x14ac:dyDescent="0.25">
      <c r="B919" s="76" t="s">
        <v>15</v>
      </c>
      <c r="C919" s="108" t="s">
        <v>363</v>
      </c>
      <c r="D919" s="141"/>
      <c r="E919" s="144" t="s">
        <v>10</v>
      </c>
      <c r="F919" s="20" t="str">
        <f>IF(H920=1,IF(H918=H$2,H918,""),"")</f>
        <v/>
      </c>
      <c r="G919" s="24"/>
      <c r="H919" s="19">
        <f>IF(E1122="comprobar",COUNTIF(D918:D922,"x"),"")</f>
        <v>0</v>
      </c>
    </row>
    <row r="920" spans="2:8" x14ac:dyDescent="0.25">
      <c r="B920" s="76" t="s">
        <v>15</v>
      </c>
      <c r="C920" s="108" t="s">
        <v>364</v>
      </c>
      <c r="D920" s="141"/>
      <c r="E920" s="144" t="s">
        <v>11</v>
      </c>
      <c r="F920" s="21" t="str">
        <f>IF(H920=-0.33,IF(H918=H$1,H918,""),"")</f>
        <v/>
      </c>
      <c r="G920" s="24"/>
      <c r="H920" s="22">
        <f t="shared" ref="H920" si="151">IF(H919=1,IF(H918=H$2,1,-0.33),0)</f>
        <v>0</v>
      </c>
    </row>
    <row r="921" spans="2:8" x14ac:dyDescent="0.25">
      <c r="B921" s="76" t="s">
        <v>15</v>
      </c>
      <c r="C921" s="108" t="s">
        <v>361</v>
      </c>
      <c r="D921" s="141"/>
      <c r="E921" s="144" t="s">
        <v>12</v>
      </c>
      <c r="F921" s="18"/>
      <c r="G921" s="24"/>
      <c r="H921" s="22"/>
    </row>
    <row r="922" spans="2:8" x14ac:dyDescent="0.25">
      <c r="B922" s="101"/>
      <c r="C922" s="16"/>
      <c r="D922" s="141"/>
      <c r="E922" s="144" t="s">
        <v>13</v>
      </c>
      <c r="F922" s="18"/>
      <c r="G922" s="17"/>
      <c r="H922" s="22"/>
    </row>
    <row r="923" spans="2:8" x14ac:dyDescent="0.25">
      <c r="B923" s="122" t="s">
        <v>372</v>
      </c>
      <c r="C923" s="124" t="s">
        <v>607</v>
      </c>
      <c r="D923" s="142"/>
      <c r="E923" s="12"/>
      <c r="F923" s="14"/>
      <c r="G923" s="26"/>
      <c r="H923" s="13"/>
    </row>
    <row r="924" spans="2:8" ht="110.25" x14ac:dyDescent="0.25">
      <c r="B924" s="76" t="s">
        <v>15</v>
      </c>
      <c r="C924" s="108" t="s">
        <v>610</v>
      </c>
      <c r="D924" s="141"/>
      <c r="E924" s="144" t="s">
        <v>9</v>
      </c>
      <c r="F924" s="18"/>
      <c r="G924" s="24"/>
      <c r="H924" s="19" t="b">
        <f>IF(D926="x",H$2,H$1)</f>
        <v>0</v>
      </c>
    </row>
    <row r="925" spans="2:8" ht="126" x14ac:dyDescent="0.25">
      <c r="B925" s="76" t="s">
        <v>15</v>
      </c>
      <c r="C925" s="108" t="s">
        <v>608</v>
      </c>
      <c r="D925" s="141"/>
      <c r="E925" s="144" t="s">
        <v>10</v>
      </c>
      <c r="F925" s="20" t="str">
        <f t="shared" ref="F925" si="152">IF(H926=1,IF(H924=H$2,H924,""),"")</f>
        <v/>
      </c>
      <c r="G925" s="24"/>
      <c r="H925" s="19">
        <f>IF(E1122="comprobar",COUNTIF(D924:D928,"x"),"")</f>
        <v>0</v>
      </c>
    </row>
    <row r="926" spans="2:8" ht="94.5" x14ac:dyDescent="0.25">
      <c r="B926" s="76" t="s">
        <v>15</v>
      </c>
      <c r="C926" s="108" t="s">
        <v>609</v>
      </c>
      <c r="D926" s="141"/>
      <c r="E926" s="144" t="s">
        <v>11</v>
      </c>
      <c r="F926" s="21" t="str">
        <f t="shared" ref="F926" si="153">IF(H926=-0.33,IF(H924=H$1,H924,""),"")</f>
        <v/>
      </c>
      <c r="G926" s="24"/>
      <c r="H926" s="22">
        <f t="shared" ref="H926:H986" si="154">IF(H925=1,IF(H924=H$2,1,-0.33),0)</f>
        <v>0</v>
      </c>
    </row>
    <row r="927" spans="2:8" ht="47.25" x14ac:dyDescent="0.25">
      <c r="B927" s="76" t="s">
        <v>15</v>
      </c>
      <c r="C927" s="108" t="s">
        <v>611</v>
      </c>
      <c r="D927" s="141"/>
      <c r="E927" s="144" t="s">
        <v>12</v>
      </c>
      <c r="F927" s="18"/>
      <c r="G927" s="24"/>
      <c r="H927" s="22"/>
    </row>
    <row r="928" spans="2:8" x14ac:dyDescent="0.25">
      <c r="B928" s="101"/>
      <c r="C928" s="16"/>
      <c r="D928" s="141"/>
      <c r="E928" s="144" t="s">
        <v>13</v>
      </c>
      <c r="F928" s="18"/>
      <c r="G928" s="17"/>
      <c r="H928" s="22"/>
    </row>
    <row r="929" spans="2:8" x14ac:dyDescent="0.25">
      <c r="B929" s="122" t="s">
        <v>373</v>
      </c>
      <c r="C929" s="124" t="s">
        <v>612</v>
      </c>
      <c r="D929" s="142"/>
      <c r="E929" s="12"/>
      <c r="F929" s="14"/>
      <c r="G929" s="26"/>
      <c r="H929" s="13"/>
    </row>
    <row r="930" spans="2:8" x14ac:dyDescent="0.25">
      <c r="B930" s="76" t="s">
        <v>15</v>
      </c>
      <c r="C930" s="108" t="s">
        <v>334</v>
      </c>
      <c r="D930" s="141"/>
      <c r="E930" s="144" t="s">
        <v>9</v>
      </c>
      <c r="F930" s="18"/>
      <c r="G930" s="24"/>
      <c r="H930" s="19" t="b">
        <f>IF(D933="x",H$2,H$1)</f>
        <v>0</v>
      </c>
    </row>
    <row r="931" spans="2:8" x14ac:dyDescent="0.25">
      <c r="B931" s="76" t="s">
        <v>15</v>
      </c>
      <c r="C931" s="108" t="s">
        <v>331</v>
      </c>
      <c r="D931" s="141"/>
      <c r="E931" s="144" t="s">
        <v>10</v>
      </c>
      <c r="F931" s="20" t="str">
        <f t="shared" ref="F931" si="155">IF(H932=1,IF(H930=H$2,H930,""),"")</f>
        <v/>
      </c>
      <c r="G931" s="24"/>
      <c r="H931" s="19">
        <f>IF(E1122="comprobar",COUNTIF(D930:D934,"x"),"")</f>
        <v>0</v>
      </c>
    </row>
    <row r="932" spans="2:8" x14ac:dyDescent="0.25">
      <c r="B932" s="76" t="s">
        <v>15</v>
      </c>
      <c r="C932" s="108" t="s">
        <v>332</v>
      </c>
      <c r="D932" s="141"/>
      <c r="E932" s="144" t="s">
        <v>11</v>
      </c>
      <c r="F932" s="21" t="str">
        <f t="shared" ref="F932" si="156">IF(H932=-0.33,IF(H930=H$1,H930,""),"")</f>
        <v/>
      </c>
      <c r="G932" s="24"/>
      <c r="H932" s="22">
        <f t="shared" si="154"/>
        <v>0</v>
      </c>
    </row>
    <row r="933" spans="2:8" x14ac:dyDescent="0.25">
      <c r="B933" s="76" t="s">
        <v>15</v>
      </c>
      <c r="C933" s="108" t="s">
        <v>333</v>
      </c>
      <c r="D933" s="141"/>
      <c r="E933" s="144" t="s">
        <v>12</v>
      </c>
      <c r="F933" s="18"/>
      <c r="G933" s="24"/>
      <c r="H933" s="22"/>
    </row>
    <row r="934" spans="2:8" x14ac:dyDescent="0.25">
      <c r="B934" s="101"/>
      <c r="C934" s="16"/>
      <c r="D934" s="141"/>
      <c r="E934" s="144" t="s">
        <v>13</v>
      </c>
      <c r="F934" s="18"/>
      <c r="G934" s="17"/>
      <c r="H934" s="22"/>
    </row>
    <row r="935" spans="2:8" ht="17.25" x14ac:dyDescent="0.25">
      <c r="B935" s="122" t="s">
        <v>374</v>
      </c>
      <c r="C935" s="124" t="s">
        <v>613</v>
      </c>
      <c r="D935" s="142"/>
      <c r="E935" s="12"/>
      <c r="F935" s="14"/>
      <c r="G935" s="26"/>
      <c r="H935" s="13"/>
    </row>
    <row r="936" spans="2:8" x14ac:dyDescent="0.25">
      <c r="B936" s="76" t="s">
        <v>15</v>
      </c>
      <c r="C936" s="108" t="s">
        <v>614</v>
      </c>
      <c r="D936" s="141"/>
      <c r="E936" s="144" t="s">
        <v>9</v>
      </c>
      <c r="F936" s="18"/>
      <c r="G936" s="24"/>
      <c r="H936" s="19" t="b">
        <f>IF(D937="x",H$2,H$1)</f>
        <v>0</v>
      </c>
    </row>
    <row r="937" spans="2:8" x14ac:dyDescent="0.25">
      <c r="B937" s="76" t="s">
        <v>15</v>
      </c>
      <c r="C937" s="108" t="s">
        <v>615</v>
      </c>
      <c r="D937" s="141"/>
      <c r="E937" s="144" t="s">
        <v>10</v>
      </c>
      <c r="F937" s="20" t="str">
        <f t="shared" ref="F937" si="157">IF(H938=1,IF(H936=H$2,H936,""),"")</f>
        <v/>
      </c>
      <c r="G937" s="24"/>
      <c r="H937" s="19">
        <f>IF(E1122="comprobar",COUNTIF(D936:D940,"x"),"")</f>
        <v>0</v>
      </c>
    </row>
    <row r="938" spans="2:8" x14ac:dyDescent="0.25">
      <c r="B938" s="76" t="s">
        <v>15</v>
      </c>
      <c r="C938" s="108" t="s">
        <v>616</v>
      </c>
      <c r="D938" s="141"/>
      <c r="E938" s="144" t="s">
        <v>11</v>
      </c>
      <c r="F938" s="21" t="str">
        <f t="shared" ref="F938" si="158">IF(H938=-0.33,IF(H936=H$1,H936,""),"")</f>
        <v/>
      </c>
      <c r="G938" s="24"/>
      <c r="H938" s="22">
        <f t="shared" si="154"/>
        <v>0</v>
      </c>
    </row>
    <row r="939" spans="2:8" x14ac:dyDescent="0.25">
      <c r="B939" s="76" t="s">
        <v>15</v>
      </c>
      <c r="C939" s="108" t="s">
        <v>617</v>
      </c>
      <c r="D939" s="141"/>
      <c r="E939" s="144" t="s">
        <v>12</v>
      </c>
      <c r="F939" s="18"/>
      <c r="G939" s="24"/>
      <c r="H939" s="22"/>
    </row>
    <row r="940" spans="2:8" x14ac:dyDescent="0.25">
      <c r="B940" s="101"/>
      <c r="C940" s="16"/>
      <c r="D940" s="141"/>
      <c r="E940" s="144" t="s">
        <v>13</v>
      </c>
      <c r="F940" s="18"/>
      <c r="G940" s="17"/>
      <c r="H940" s="22"/>
    </row>
    <row r="941" spans="2:8" x14ac:dyDescent="0.25">
      <c r="B941" s="122" t="s">
        <v>375</v>
      </c>
      <c r="C941" s="124" t="s">
        <v>340</v>
      </c>
      <c r="D941" s="142"/>
      <c r="E941" s="12"/>
      <c r="F941" s="14"/>
      <c r="G941" s="26"/>
      <c r="H941" s="13"/>
    </row>
    <row r="942" spans="2:8" x14ac:dyDescent="0.25">
      <c r="B942" s="76" t="s">
        <v>15</v>
      </c>
      <c r="C942" s="108" t="s">
        <v>344</v>
      </c>
      <c r="D942" s="141"/>
      <c r="E942" s="144" t="s">
        <v>9</v>
      </c>
      <c r="F942" s="18"/>
      <c r="G942" s="24"/>
      <c r="H942" s="19" t="b">
        <f>IF(D942="x",H$2,H$1)</f>
        <v>0</v>
      </c>
    </row>
    <row r="943" spans="2:8" x14ac:dyDescent="0.25">
      <c r="B943" s="76" t="s">
        <v>15</v>
      </c>
      <c r="C943" s="108" t="s">
        <v>343</v>
      </c>
      <c r="D943" s="141"/>
      <c r="E943" s="144" t="s">
        <v>10</v>
      </c>
      <c r="F943" s="20" t="str">
        <f t="shared" ref="F943" si="159">IF(H944=1,IF(H942=H$2,H942,""),"")</f>
        <v/>
      </c>
      <c r="G943" s="24"/>
      <c r="H943" s="19">
        <f>IF(E1122="comprobar",COUNTIF(D942:D946,"x"),"")</f>
        <v>0</v>
      </c>
    </row>
    <row r="944" spans="2:8" x14ac:dyDescent="0.25">
      <c r="B944" s="76" t="s">
        <v>15</v>
      </c>
      <c r="C944" s="108" t="s">
        <v>342</v>
      </c>
      <c r="D944" s="141"/>
      <c r="E944" s="144" t="s">
        <v>11</v>
      </c>
      <c r="F944" s="21" t="str">
        <f t="shared" ref="F944" si="160">IF(H944=-0.33,IF(H942=H$1,H942,""),"")</f>
        <v/>
      </c>
      <c r="G944" s="24"/>
      <c r="H944" s="22">
        <f t="shared" si="154"/>
        <v>0</v>
      </c>
    </row>
    <row r="945" spans="2:8" x14ac:dyDescent="0.25">
      <c r="B945" s="76" t="s">
        <v>15</v>
      </c>
      <c r="C945" s="108" t="s">
        <v>341</v>
      </c>
      <c r="D945" s="141"/>
      <c r="E945" s="144" t="s">
        <v>12</v>
      </c>
      <c r="F945" s="18"/>
      <c r="G945" s="24"/>
      <c r="H945" s="22"/>
    </row>
    <row r="946" spans="2:8" x14ac:dyDescent="0.25">
      <c r="B946" s="101"/>
      <c r="C946" s="16"/>
      <c r="D946" s="141"/>
      <c r="E946" s="144" t="s">
        <v>13</v>
      </c>
      <c r="F946" s="18"/>
      <c r="G946" s="17"/>
      <c r="H946" s="22"/>
    </row>
    <row r="947" spans="2:8" x14ac:dyDescent="0.25">
      <c r="B947" s="122" t="s">
        <v>376</v>
      </c>
      <c r="C947" s="124" t="s">
        <v>622</v>
      </c>
      <c r="D947" s="142"/>
      <c r="E947" s="12"/>
      <c r="F947" s="14"/>
      <c r="G947" s="26"/>
      <c r="H947" s="13"/>
    </row>
    <row r="948" spans="2:8" x14ac:dyDescent="0.25">
      <c r="B948" s="76" t="s">
        <v>15</v>
      </c>
      <c r="C948" s="108" t="s">
        <v>618</v>
      </c>
      <c r="D948" s="141"/>
      <c r="E948" s="144" t="s">
        <v>9</v>
      </c>
      <c r="F948" s="18"/>
      <c r="G948" s="24"/>
      <c r="H948" s="19" t="b">
        <f>IF(D951="x",H$2,H$1)</f>
        <v>0</v>
      </c>
    </row>
    <row r="949" spans="2:8" x14ac:dyDescent="0.25">
      <c r="B949" s="76" t="s">
        <v>15</v>
      </c>
      <c r="C949" s="108" t="s">
        <v>619</v>
      </c>
      <c r="D949" s="141"/>
      <c r="E949" s="144" t="s">
        <v>10</v>
      </c>
      <c r="F949" s="20" t="str">
        <f t="shared" ref="F949" si="161">IF(H950=1,IF(H948=H$2,H948,""),"")</f>
        <v/>
      </c>
      <c r="G949" s="24"/>
      <c r="H949" s="19">
        <f>IF(E1122="comprobar",COUNTIF(D948:D952,"x"),"")</f>
        <v>0</v>
      </c>
    </row>
    <row r="950" spans="2:8" x14ac:dyDescent="0.25">
      <c r="B950" s="76" t="s">
        <v>15</v>
      </c>
      <c r="C950" s="108" t="s">
        <v>620</v>
      </c>
      <c r="D950" s="141"/>
      <c r="E950" s="144" t="s">
        <v>11</v>
      </c>
      <c r="F950" s="21" t="str">
        <f t="shared" ref="F950" si="162">IF(H950=-0.33,IF(H948=H$1,H948,""),"")</f>
        <v/>
      </c>
      <c r="G950" s="24"/>
      <c r="H950" s="22">
        <f t="shared" si="154"/>
        <v>0</v>
      </c>
    </row>
    <row r="951" spans="2:8" x14ac:dyDescent="0.25">
      <c r="B951" s="76" t="s">
        <v>15</v>
      </c>
      <c r="C951" s="108" t="s">
        <v>621</v>
      </c>
      <c r="D951" s="141"/>
      <c r="E951" s="144" t="s">
        <v>12</v>
      </c>
      <c r="F951" s="18"/>
      <c r="G951" s="24"/>
      <c r="H951" s="22"/>
    </row>
    <row r="952" spans="2:8" x14ac:dyDescent="0.25">
      <c r="B952" s="101"/>
      <c r="C952" s="16"/>
      <c r="D952" s="141"/>
      <c r="E952" s="144" t="s">
        <v>13</v>
      </c>
      <c r="F952" s="18"/>
      <c r="G952" s="17"/>
      <c r="H952" s="22"/>
    </row>
    <row r="953" spans="2:8" x14ac:dyDescent="0.25">
      <c r="B953" s="122" t="s">
        <v>377</v>
      </c>
      <c r="C953" s="124" t="s">
        <v>623</v>
      </c>
      <c r="D953" s="142"/>
      <c r="E953" s="12"/>
      <c r="F953" s="14"/>
      <c r="G953" s="26"/>
      <c r="H953" s="13"/>
    </row>
    <row r="954" spans="2:8" x14ac:dyDescent="0.25">
      <c r="B954" s="76" t="s">
        <v>15</v>
      </c>
      <c r="C954" s="108" t="s">
        <v>624</v>
      </c>
      <c r="D954" s="141"/>
      <c r="E954" s="144" t="s">
        <v>9</v>
      </c>
      <c r="F954" s="18"/>
      <c r="G954" s="24"/>
      <c r="H954" s="19" t="b">
        <f>IF(D956="x",H$2,H$1)</f>
        <v>0</v>
      </c>
    </row>
    <row r="955" spans="2:8" x14ac:dyDescent="0.25">
      <c r="B955" s="76" t="s">
        <v>15</v>
      </c>
      <c r="C955" s="108" t="s">
        <v>625</v>
      </c>
      <c r="D955" s="141"/>
      <c r="E955" s="144" t="s">
        <v>10</v>
      </c>
      <c r="F955" s="20" t="str">
        <f t="shared" ref="F955" si="163">IF(H956=1,IF(H954=H$2,H954,""),"")</f>
        <v/>
      </c>
      <c r="G955" s="24"/>
      <c r="H955" s="19">
        <f>IF(E1122="comprobar",COUNTIF(D954:D958,"x"),"")</f>
        <v>0</v>
      </c>
    </row>
    <row r="956" spans="2:8" x14ac:dyDescent="0.25">
      <c r="B956" s="76" t="s">
        <v>15</v>
      </c>
      <c r="C956" s="108" t="s">
        <v>278</v>
      </c>
      <c r="D956" s="141"/>
      <c r="E956" s="144" t="s">
        <v>11</v>
      </c>
      <c r="F956" s="21" t="str">
        <f t="shared" ref="F956" si="164">IF(H956=-0.33,IF(H954=H$1,H954,""),"")</f>
        <v/>
      </c>
      <c r="G956" s="24"/>
      <c r="H956" s="22">
        <f t="shared" si="154"/>
        <v>0</v>
      </c>
    </row>
    <row r="957" spans="2:8" x14ac:dyDescent="0.25">
      <c r="B957" s="76" t="s">
        <v>15</v>
      </c>
      <c r="C957" s="108" t="s">
        <v>626</v>
      </c>
      <c r="D957" s="141"/>
      <c r="E957" s="144" t="s">
        <v>12</v>
      </c>
      <c r="F957" s="18"/>
      <c r="G957" s="24"/>
      <c r="H957" s="22"/>
    </row>
    <row r="958" spans="2:8" x14ac:dyDescent="0.25">
      <c r="B958" s="101"/>
      <c r="C958" s="16"/>
      <c r="D958" s="141"/>
      <c r="E958" s="144" t="s">
        <v>13</v>
      </c>
      <c r="F958" s="18"/>
      <c r="G958" s="17"/>
      <c r="H958" s="22"/>
    </row>
    <row r="959" spans="2:8" x14ac:dyDescent="0.25">
      <c r="B959" s="122" t="s">
        <v>378</v>
      </c>
      <c r="C959" s="124" t="s">
        <v>627</v>
      </c>
      <c r="D959" s="142"/>
      <c r="E959" s="12"/>
      <c r="F959" s="14"/>
      <c r="G959" s="26"/>
      <c r="H959" s="13"/>
    </row>
    <row r="960" spans="2:8" ht="31.5" x14ac:dyDescent="0.25">
      <c r="B960" s="76" t="s">
        <v>15</v>
      </c>
      <c r="C960" s="108" t="s">
        <v>628</v>
      </c>
      <c r="D960" s="141"/>
      <c r="E960" s="144" t="s">
        <v>9</v>
      </c>
      <c r="F960" s="18"/>
      <c r="G960" s="24"/>
      <c r="H960" s="19" t="b">
        <f>IF(D963="x",H$2,H$1)</f>
        <v>0</v>
      </c>
    </row>
    <row r="961" spans="2:8" x14ac:dyDescent="0.25">
      <c r="B961" s="76" t="s">
        <v>15</v>
      </c>
      <c r="C961" s="108" t="s">
        <v>278</v>
      </c>
      <c r="D961" s="141"/>
      <c r="E961" s="144" t="s">
        <v>10</v>
      </c>
      <c r="F961" s="20" t="str">
        <f t="shared" ref="F961" si="165">IF(H962=1,IF(H960=H$2,H960,""),"")</f>
        <v/>
      </c>
      <c r="G961" s="24"/>
      <c r="H961" s="19">
        <f>IF(E1122="comprobar",COUNTIF(D960:D964,"x"),"")</f>
        <v>0</v>
      </c>
    </row>
    <row r="962" spans="2:8" ht="31.5" x14ac:dyDescent="0.25">
      <c r="B962" s="76" t="s">
        <v>15</v>
      </c>
      <c r="C962" s="108" t="s">
        <v>629</v>
      </c>
      <c r="D962" s="141"/>
      <c r="E962" s="144" t="s">
        <v>11</v>
      </c>
      <c r="F962" s="21" t="str">
        <f t="shared" ref="F962" si="166">IF(H962=-0.33,IF(H960=H$1,H960,""),"")</f>
        <v/>
      </c>
      <c r="G962" s="24"/>
      <c r="H962" s="22">
        <f t="shared" si="154"/>
        <v>0</v>
      </c>
    </row>
    <row r="963" spans="2:8" ht="31.5" x14ac:dyDescent="0.25">
      <c r="B963" s="76" t="s">
        <v>15</v>
      </c>
      <c r="C963" s="108" t="s">
        <v>630</v>
      </c>
      <c r="D963" s="141"/>
      <c r="E963" s="144" t="s">
        <v>12</v>
      </c>
      <c r="F963" s="18"/>
      <c r="G963" s="24"/>
      <c r="H963" s="22"/>
    </row>
    <row r="964" spans="2:8" x14ac:dyDescent="0.25">
      <c r="B964" s="101"/>
      <c r="C964" s="16"/>
      <c r="D964" s="141"/>
      <c r="E964" s="144" t="s">
        <v>13</v>
      </c>
      <c r="F964" s="18"/>
      <c r="G964" s="17"/>
      <c r="H964" s="22"/>
    </row>
    <row r="965" spans="2:8" x14ac:dyDescent="0.25">
      <c r="B965" s="122" t="s">
        <v>379</v>
      </c>
      <c r="C965" s="124" t="s">
        <v>287</v>
      </c>
      <c r="D965" s="142"/>
      <c r="E965" s="12"/>
      <c r="F965" s="14"/>
      <c r="G965" s="26"/>
      <c r="H965" s="13"/>
    </row>
    <row r="966" spans="2:8" x14ac:dyDescent="0.25">
      <c r="B966" s="76" t="s">
        <v>15</v>
      </c>
      <c r="C966" s="108" t="s">
        <v>288</v>
      </c>
      <c r="D966" s="141"/>
      <c r="E966" s="144" t="s">
        <v>9</v>
      </c>
      <c r="F966" s="18"/>
      <c r="G966" s="24"/>
      <c r="H966" s="19" t="b">
        <f>IF(D967="x",H$2,H$1)</f>
        <v>0</v>
      </c>
    </row>
    <row r="967" spans="2:8" x14ac:dyDescent="0.25">
      <c r="B967" s="76" t="s">
        <v>15</v>
      </c>
      <c r="C967" s="108" t="s">
        <v>632</v>
      </c>
      <c r="D967" s="141"/>
      <c r="E967" s="144" t="s">
        <v>10</v>
      </c>
      <c r="F967" s="20" t="str">
        <f t="shared" ref="F967" si="167">IF(H968=1,IF(H966=H$2,H966,""),"")</f>
        <v/>
      </c>
      <c r="G967" s="24"/>
      <c r="H967" s="19">
        <f>IF(E1122="comprobar",COUNTIF(D966:D970,"x"),"")</f>
        <v>0</v>
      </c>
    </row>
    <row r="968" spans="2:8" x14ac:dyDescent="0.25">
      <c r="B968" s="76" t="s">
        <v>15</v>
      </c>
      <c r="C968" s="108" t="s">
        <v>289</v>
      </c>
      <c r="D968" s="141"/>
      <c r="E968" s="144" t="s">
        <v>11</v>
      </c>
      <c r="F968" s="21" t="str">
        <f t="shared" ref="F968" si="168">IF(H968=-0.33,IF(H966=H$1,H966,""),"")</f>
        <v/>
      </c>
      <c r="G968" s="24"/>
      <c r="H968" s="22">
        <f t="shared" si="154"/>
        <v>0</v>
      </c>
    </row>
    <row r="969" spans="2:8" x14ac:dyDescent="0.25">
      <c r="B969" s="76" t="s">
        <v>15</v>
      </c>
      <c r="C969" s="108" t="s">
        <v>278</v>
      </c>
      <c r="D969" s="141"/>
      <c r="E969" s="144" t="s">
        <v>12</v>
      </c>
      <c r="F969" s="18"/>
      <c r="G969" s="24"/>
      <c r="H969" s="22"/>
    </row>
    <row r="970" spans="2:8" x14ac:dyDescent="0.25">
      <c r="B970" s="101"/>
      <c r="C970" s="16"/>
      <c r="D970" s="141"/>
      <c r="E970" s="144" t="s">
        <v>13</v>
      </c>
      <c r="F970" s="18"/>
      <c r="G970" s="17"/>
      <c r="H970" s="22"/>
    </row>
    <row r="971" spans="2:8" ht="17.25" x14ac:dyDescent="0.25">
      <c r="B971" s="122" t="s">
        <v>380</v>
      </c>
      <c r="C971" s="124" t="s">
        <v>631</v>
      </c>
      <c r="D971" s="142"/>
      <c r="E971" s="12"/>
      <c r="F971" s="14"/>
      <c r="G971" s="26"/>
      <c r="H971" s="13"/>
    </row>
    <row r="972" spans="2:8" ht="133.5" customHeight="1" x14ac:dyDescent="0.25">
      <c r="B972" s="76" t="s">
        <v>15</v>
      </c>
      <c r="C972" s="108" t="s">
        <v>608</v>
      </c>
      <c r="D972" s="141"/>
      <c r="E972" s="144" t="s">
        <v>9</v>
      </c>
      <c r="F972" s="18"/>
      <c r="G972" s="24"/>
      <c r="H972" s="19" t="b">
        <f>IF(D975="x",H$2,H$1)</f>
        <v>0</v>
      </c>
    </row>
    <row r="973" spans="2:8" ht="47.25" x14ac:dyDescent="0.25">
      <c r="B973" s="76" t="s">
        <v>15</v>
      </c>
      <c r="C973" s="108" t="s">
        <v>611</v>
      </c>
      <c r="D973" s="141"/>
      <c r="E973" s="144" t="s">
        <v>10</v>
      </c>
      <c r="F973" s="20" t="str">
        <f t="shared" ref="F973" si="169">IF(H974=1,IF(H972=H$2,H972,""),"")</f>
        <v/>
      </c>
      <c r="G973" s="24"/>
      <c r="H973" s="19">
        <f>IF(E1122="comprobar",COUNTIF(D972:D976,"x"),"")</f>
        <v>0</v>
      </c>
    </row>
    <row r="974" spans="2:8" ht="99" customHeight="1" x14ac:dyDescent="0.25">
      <c r="B974" s="76" t="s">
        <v>15</v>
      </c>
      <c r="C974" s="108" t="s">
        <v>609</v>
      </c>
      <c r="D974" s="141"/>
      <c r="E974" s="144" t="s">
        <v>11</v>
      </c>
      <c r="F974" s="21" t="str">
        <f t="shared" ref="F974" si="170">IF(H974=-0.33,IF(H972=H$1,H972,""),"")</f>
        <v/>
      </c>
      <c r="G974" s="24"/>
      <c r="H974" s="22">
        <f t="shared" si="154"/>
        <v>0</v>
      </c>
    </row>
    <row r="975" spans="2:8" ht="117.75" customHeight="1" x14ac:dyDescent="0.25">
      <c r="B975" s="76" t="s">
        <v>15</v>
      </c>
      <c r="C975" s="108" t="s">
        <v>610</v>
      </c>
      <c r="D975" s="141"/>
      <c r="E975" s="144" t="s">
        <v>12</v>
      </c>
      <c r="F975" s="18"/>
      <c r="G975" s="24"/>
      <c r="H975" s="22"/>
    </row>
    <row r="976" spans="2:8" x14ac:dyDescent="0.25">
      <c r="B976" s="101"/>
      <c r="C976" s="16"/>
      <c r="D976" s="141"/>
      <c r="E976" s="144" t="s">
        <v>13</v>
      </c>
      <c r="F976" s="18"/>
      <c r="G976" s="17"/>
      <c r="H976" s="22"/>
    </row>
    <row r="977" spans="2:8" x14ac:dyDescent="0.25">
      <c r="B977" s="122" t="s">
        <v>381</v>
      </c>
      <c r="C977" s="124" t="s">
        <v>633</v>
      </c>
      <c r="D977" s="142"/>
      <c r="E977" s="12"/>
      <c r="F977" s="14"/>
      <c r="G977" s="26"/>
      <c r="H977" s="13"/>
    </row>
    <row r="978" spans="2:8" x14ac:dyDescent="0.25">
      <c r="B978" s="76" t="s">
        <v>15</v>
      </c>
      <c r="C978" s="108" t="s">
        <v>318</v>
      </c>
      <c r="D978" s="141"/>
      <c r="E978" s="144" t="s">
        <v>9</v>
      </c>
      <c r="F978" s="18"/>
      <c r="G978" s="24"/>
      <c r="H978" s="19" t="b">
        <f>IF(D980="x",H$2,H$1)</f>
        <v>0</v>
      </c>
    </row>
    <row r="979" spans="2:8" x14ac:dyDescent="0.25">
      <c r="B979" s="76" t="s">
        <v>15</v>
      </c>
      <c r="C979" s="108" t="s">
        <v>278</v>
      </c>
      <c r="D979" s="141"/>
      <c r="E979" s="144" t="s">
        <v>10</v>
      </c>
      <c r="F979" s="20" t="str">
        <f t="shared" ref="F979" si="171">IF(H980=1,IF(H978=H$2,H978,""),"")</f>
        <v/>
      </c>
      <c r="G979" s="24"/>
      <c r="H979" s="19">
        <f>IF(E1122="comprobar",COUNTIF(D978:D982,"x"),"")</f>
        <v>0</v>
      </c>
    </row>
    <row r="980" spans="2:8" x14ac:dyDescent="0.25">
      <c r="B980" s="76" t="s">
        <v>15</v>
      </c>
      <c r="C980" s="108" t="s">
        <v>319</v>
      </c>
      <c r="D980" s="141"/>
      <c r="E980" s="144" t="s">
        <v>11</v>
      </c>
      <c r="F980" s="21" t="str">
        <f t="shared" ref="F980" si="172">IF(H980=-0.33,IF(H978=H$1,H978,""),"")</f>
        <v/>
      </c>
      <c r="G980" s="24"/>
      <c r="H980" s="22">
        <f t="shared" si="154"/>
        <v>0</v>
      </c>
    </row>
    <row r="981" spans="2:8" x14ac:dyDescent="0.25">
      <c r="B981" s="76" t="s">
        <v>15</v>
      </c>
      <c r="C981" s="108" t="s">
        <v>320</v>
      </c>
      <c r="D981" s="141"/>
      <c r="E981" s="144" t="s">
        <v>12</v>
      </c>
      <c r="F981" s="18"/>
      <c r="G981" s="24"/>
      <c r="H981" s="22"/>
    </row>
    <row r="982" spans="2:8" x14ac:dyDescent="0.25">
      <c r="B982" s="101"/>
      <c r="C982" s="16"/>
      <c r="D982" s="141"/>
      <c r="E982" s="144" t="s">
        <v>13</v>
      </c>
      <c r="F982" s="18"/>
      <c r="G982" s="17"/>
      <c r="H982" s="22"/>
    </row>
    <row r="983" spans="2:8" x14ac:dyDescent="0.25">
      <c r="B983" s="122" t="s">
        <v>382</v>
      </c>
      <c r="C983" s="124" t="s">
        <v>634</v>
      </c>
      <c r="D983" s="142"/>
      <c r="E983" s="12"/>
      <c r="F983" s="14"/>
      <c r="G983" s="26"/>
      <c r="H983" s="13"/>
    </row>
    <row r="984" spans="2:8" ht="94.5" x14ac:dyDescent="0.25">
      <c r="B984" s="76" t="s">
        <v>15</v>
      </c>
      <c r="C984" s="108" t="s">
        <v>609</v>
      </c>
      <c r="D984" s="141"/>
      <c r="E984" s="144" t="s">
        <v>9</v>
      </c>
      <c r="F984" s="18"/>
      <c r="G984" s="24"/>
      <c r="H984" s="19" t="b">
        <f>IF(D984="x",H$2,H$1)</f>
        <v>0</v>
      </c>
    </row>
    <row r="985" spans="2:8" ht="47.25" x14ac:dyDescent="0.25">
      <c r="B985" s="76" t="s">
        <v>15</v>
      </c>
      <c r="C985" s="108" t="s">
        <v>611</v>
      </c>
      <c r="D985" s="141"/>
      <c r="E985" s="144" t="s">
        <v>10</v>
      </c>
      <c r="F985" s="20" t="str">
        <f t="shared" ref="F985" si="173">IF(H986=1,IF(H984=H$2,H984,""),"")</f>
        <v/>
      </c>
      <c r="G985" s="24"/>
      <c r="H985" s="19">
        <f>IF(E1122="comprobar",COUNTIF(D984:D988,"x"),"")</f>
        <v>0</v>
      </c>
    </row>
    <row r="986" spans="2:8" ht="94.5" x14ac:dyDescent="0.25">
      <c r="B986" s="76" t="s">
        <v>15</v>
      </c>
      <c r="C986" s="108" t="s">
        <v>635</v>
      </c>
      <c r="D986" s="141"/>
      <c r="E986" s="144" t="s">
        <v>11</v>
      </c>
      <c r="F986" s="21" t="str">
        <f t="shared" ref="F986" si="174">IF(H986=-0.33,IF(H984=H$1,H984,""),"")</f>
        <v/>
      </c>
      <c r="G986" s="24"/>
      <c r="H986" s="22">
        <f t="shared" si="154"/>
        <v>0</v>
      </c>
    </row>
    <row r="987" spans="2:8" ht="110.25" x14ac:dyDescent="0.25">
      <c r="B987" s="76" t="s">
        <v>15</v>
      </c>
      <c r="C987" s="108" t="s">
        <v>610</v>
      </c>
      <c r="D987" s="141"/>
      <c r="E987" s="144" t="s">
        <v>12</v>
      </c>
      <c r="F987" s="18"/>
      <c r="G987" s="24"/>
      <c r="H987" s="22"/>
    </row>
    <row r="988" spans="2:8" x14ac:dyDescent="0.25">
      <c r="B988" s="101"/>
      <c r="C988" s="16"/>
      <c r="D988" s="141"/>
      <c r="E988" s="144" t="s">
        <v>13</v>
      </c>
      <c r="F988" s="18"/>
      <c r="G988" s="17"/>
      <c r="H988" s="22"/>
    </row>
    <row r="989" spans="2:8" x14ac:dyDescent="0.25">
      <c r="B989" s="122" t="s">
        <v>383</v>
      </c>
      <c r="C989" s="124" t="s">
        <v>636</v>
      </c>
      <c r="D989" s="142"/>
      <c r="E989" s="12"/>
      <c r="F989" s="14"/>
      <c r="G989" s="26"/>
      <c r="H989" s="13"/>
    </row>
    <row r="990" spans="2:8" x14ac:dyDescent="0.25">
      <c r="B990" s="76" t="s">
        <v>15</v>
      </c>
      <c r="C990" s="108" t="s">
        <v>637</v>
      </c>
      <c r="D990" s="141"/>
      <c r="E990" s="144" t="s">
        <v>9</v>
      </c>
      <c r="F990" s="18"/>
      <c r="G990" s="24"/>
      <c r="H990" s="19" t="b">
        <f>IF(D990="x",H$2,H$1)</f>
        <v>0</v>
      </c>
    </row>
    <row r="991" spans="2:8" x14ac:dyDescent="0.25">
      <c r="B991" s="76" t="s">
        <v>15</v>
      </c>
      <c r="C991" s="108" t="s">
        <v>638</v>
      </c>
      <c r="D991" s="141"/>
      <c r="E991" s="144" t="s">
        <v>10</v>
      </c>
      <c r="F991" s="20" t="str">
        <f t="shared" ref="F991" si="175">IF(H992=1,IF(H990=H$2,H990,""),"")</f>
        <v/>
      </c>
      <c r="G991" s="24"/>
      <c r="H991" s="19">
        <f>IF(E1122="comprobar",COUNTIF(D990:D994,"x"),"")</f>
        <v>0</v>
      </c>
    </row>
    <row r="992" spans="2:8" x14ac:dyDescent="0.25">
      <c r="B992" s="76" t="s">
        <v>15</v>
      </c>
      <c r="C992" s="108" t="s">
        <v>639</v>
      </c>
      <c r="D992" s="141"/>
      <c r="E992" s="144" t="s">
        <v>11</v>
      </c>
      <c r="F992" s="21" t="str">
        <f t="shared" ref="F992" si="176">IF(H992=-0.33,IF(H990=H$1,H990,""),"")</f>
        <v/>
      </c>
      <c r="G992" s="24"/>
      <c r="H992" s="22">
        <f t="shared" ref="H992:H1052" si="177">IF(H991=1,IF(H990=H$2,1,-0.33),0)</f>
        <v>0</v>
      </c>
    </row>
    <row r="993" spans="2:8" x14ac:dyDescent="0.25">
      <c r="B993" s="76" t="s">
        <v>15</v>
      </c>
      <c r="C993" s="108" t="s">
        <v>640</v>
      </c>
      <c r="D993" s="141"/>
      <c r="E993" s="144" t="s">
        <v>12</v>
      </c>
      <c r="F993" s="18"/>
      <c r="G993" s="24"/>
      <c r="H993" s="22"/>
    </row>
    <row r="994" spans="2:8" x14ac:dyDescent="0.25">
      <c r="B994" s="101"/>
      <c r="C994" s="16"/>
      <c r="D994" s="141"/>
      <c r="E994" s="144" t="s">
        <v>13</v>
      </c>
      <c r="F994" s="18"/>
      <c r="G994" s="17"/>
      <c r="H994" s="22"/>
    </row>
    <row r="995" spans="2:8" x14ac:dyDescent="0.25">
      <c r="B995" s="122" t="s">
        <v>384</v>
      </c>
      <c r="C995" s="124" t="s">
        <v>641</v>
      </c>
      <c r="D995" s="142"/>
      <c r="E995" s="12"/>
      <c r="F995" s="14"/>
      <c r="G995" s="26"/>
      <c r="H995" s="13"/>
    </row>
    <row r="996" spans="2:8" x14ac:dyDescent="0.25">
      <c r="B996" s="76" t="s">
        <v>15</v>
      </c>
      <c r="C996" s="108" t="s">
        <v>618</v>
      </c>
      <c r="D996" s="141"/>
      <c r="E996" s="144" t="s">
        <v>9</v>
      </c>
      <c r="F996" s="18"/>
      <c r="G996" s="24"/>
      <c r="H996" s="19" t="b">
        <f>IF(D998="x",H$2,H$1)</f>
        <v>0</v>
      </c>
    </row>
    <row r="997" spans="2:8" x14ac:dyDescent="0.25">
      <c r="B997" s="76" t="s">
        <v>15</v>
      </c>
      <c r="C997" s="108" t="s">
        <v>620</v>
      </c>
      <c r="D997" s="141"/>
      <c r="E997" s="144" t="s">
        <v>10</v>
      </c>
      <c r="F997" s="20" t="str">
        <f t="shared" ref="F997" si="178">IF(H998=1,IF(H996=H$2,H996,""),"")</f>
        <v/>
      </c>
      <c r="G997" s="24"/>
      <c r="H997" s="19">
        <f>IF(E1122="comprobar",COUNTIF(D996:D1000,"x"),"")</f>
        <v>0</v>
      </c>
    </row>
    <row r="998" spans="2:8" x14ac:dyDescent="0.25">
      <c r="B998" s="76" t="s">
        <v>15</v>
      </c>
      <c r="C998" s="108" t="s">
        <v>621</v>
      </c>
      <c r="D998" s="141"/>
      <c r="E998" s="144" t="s">
        <v>11</v>
      </c>
      <c r="F998" s="21" t="str">
        <f t="shared" ref="F998" si="179">IF(H998=-0.33,IF(H996=H$1,H996,""),"")</f>
        <v/>
      </c>
      <c r="G998" s="24"/>
      <c r="H998" s="22">
        <f t="shared" si="177"/>
        <v>0</v>
      </c>
    </row>
    <row r="999" spans="2:8" x14ac:dyDescent="0.25">
      <c r="B999" s="76" t="s">
        <v>15</v>
      </c>
      <c r="C999" s="108" t="s">
        <v>619</v>
      </c>
      <c r="D999" s="141"/>
      <c r="E999" s="144" t="s">
        <v>12</v>
      </c>
      <c r="F999" s="18"/>
      <c r="G999" s="24"/>
      <c r="H999" s="22"/>
    </row>
    <row r="1000" spans="2:8" x14ac:dyDescent="0.25">
      <c r="B1000" s="101"/>
      <c r="C1000" s="16"/>
      <c r="D1000" s="141"/>
      <c r="E1000" s="144" t="s">
        <v>13</v>
      </c>
      <c r="F1000" s="18"/>
      <c r="G1000" s="17"/>
      <c r="H1000" s="22"/>
    </row>
    <row r="1001" spans="2:8" x14ac:dyDescent="0.25">
      <c r="B1001" s="122" t="s">
        <v>385</v>
      </c>
      <c r="C1001" s="124" t="s">
        <v>642</v>
      </c>
      <c r="D1001" s="142"/>
      <c r="E1001" s="12"/>
      <c r="F1001" s="14"/>
      <c r="G1001" s="26"/>
      <c r="H1001" s="13"/>
    </row>
    <row r="1002" spans="2:8" x14ac:dyDescent="0.25">
      <c r="B1002" s="76" t="s">
        <v>15</v>
      </c>
      <c r="C1002" s="108" t="s">
        <v>638</v>
      </c>
      <c r="D1002" s="141"/>
      <c r="E1002" s="144" t="s">
        <v>9</v>
      </c>
      <c r="F1002" s="18"/>
      <c r="G1002" s="24"/>
      <c r="H1002" s="19" t="b">
        <f>IF(D1004="x",H$2,H$1)</f>
        <v>0</v>
      </c>
    </row>
    <row r="1003" spans="2:8" x14ac:dyDescent="0.25">
      <c r="B1003" s="76" t="s">
        <v>15</v>
      </c>
      <c r="C1003" s="108" t="s">
        <v>643</v>
      </c>
      <c r="D1003" s="141"/>
      <c r="E1003" s="144" t="s">
        <v>10</v>
      </c>
      <c r="F1003" s="20" t="str">
        <f t="shared" ref="F1003" si="180">IF(H1004=1,IF(H1002=H$2,H1002,""),"")</f>
        <v/>
      </c>
      <c r="G1003" s="24"/>
      <c r="H1003" s="19">
        <f>IF(E1122="comprobar",COUNTIF(D1002:D1006,"x"),"")</f>
        <v>0</v>
      </c>
    </row>
    <row r="1004" spans="2:8" x14ac:dyDescent="0.25">
      <c r="B1004" s="76" t="s">
        <v>15</v>
      </c>
      <c r="C1004" s="108" t="s">
        <v>644</v>
      </c>
      <c r="D1004" s="141"/>
      <c r="E1004" s="144" t="s">
        <v>11</v>
      </c>
      <c r="F1004" s="21" t="str">
        <f t="shared" ref="F1004" si="181">IF(H1004=-0.33,IF(H1002=H$1,H1002,""),"")</f>
        <v/>
      </c>
      <c r="G1004" s="24"/>
      <c r="H1004" s="22">
        <f t="shared" si="177"/>
        <v>0</v>
      </c>
    </row>
    <row r="1005" spans="2:8" x14ac:dyDescent="0.25">
      <c r="B1005" s="76" t="s">
        <v>15</v>
      </c>
      <c r="C1005" s="108" t="s">
        <v>645</v>
      </c>
      <c r="D1005" s="141"/>
      <c r="E1005" s="144" t="s">
        <v>12</v>
      </c>
      <c r="F1005" s="18"/>
      <c r="G1005" s="24"/>
      <c r="H1005" s="22"/>
    </row>
    <row r="1006" spans="2:8" x14ac:dyDescent="0.25">
      <c r="B1006" s="101"/>
      <c r="C1006" s="16"/>
      <c r="D1006" s="141"/>
      <c r="E1006" s="144" t="s">
        <v>13</v>
      </c>
      <c r="F1006" s="18"/>
      <c r="G1006" s="17"/>
      <c r="H1006" s="22"/>
    </row>
    <row r="1007" spans="2:8" x14ac:dyDescent="0.25">
      <c r="B1007" s="122" t="s">
        <v>386</v>
      </c>
      <c r="C1007" s="124" t="s">
        <v>309</v>
      </c>
      <c r="D1007" s="142"/>
      <c r="E1007" s="12"/>
      <c r="F1007" s="14"/>
      <c r="G1007" s="26"/>
      <c r="H1007" s="13"/>
    </row>
    <row r="1008" spans="2:8" x14ac:dyDescent="0.25">
      <c r="B1008" s="76" t="s">
        <v>15</v>
      </c>
      <c r="C1008" s="108" t="s">
        <v>278</v>
      </c>
      <c r="D1008" s="141"/>
      <c r="E1008" s="144" t="s">
        <v>9</v>
      </c>
      <c r="F1008" s="18"/>
      <c r="G1008" s="24"/>
      <c r="H1008" s="19" t="b">
        <f>IF(D1010="x",H$2,H$1)</f>
        <v>0</v>
      </c>
    </row>
    <row r="1009" spans="2:8" x14ac:dyDescent="0.25">
      <c r="B1009" s="76" t="s">
        <v>15</v>
      </c>
      <c r="C1009" s="108" t="s">
        <v>311</v>
      </c>
      <c r="D1009" s="141"/>
      <c r="E1009" s="144" t="s">
        <v>10</v>
      </c>
      <c r="F1009" s="20" t="str">
        <f t="shared" ref="F1009" si="182">IF(H1010=1,IF(H1008=H$2,H1008,""),"")</f>
        <v/>
      </c>
      <c r="G1009" s="24"/>
      <c r="H1009" s="19">
        <f>IF(E1122="comprobar",COUNTIF(D1008:D1012,"x"),"")</f>
        <v>0</v>
      </c>
    </row>
    <row r="1010" spans="2:8" x14ac:dyDescent="0.25">
      <c r="B1010" s="76" t="s">
        <v>15</v>
      </c>
      <c r="C1010" s="108" t="s">
        <v>310</v>
      </c>
      <c r="D1010" s="141"/>
      <c r="E1010" s="144" t="s">
        <v>11</v>
      </c>
      <c r="F1010" s="21" t="str">
        <f t="shared" ref="F1010" si="183">IF(H1010=-0.33,IF(H1008=H$1,H1008,""),"")</f>
        <v/>
      </c>
      <c r="G1010" s="24"/>
      <c r="H1010" s="22">
        <f t="shared" si="177"/>
        <v>0</v>
      </c>
    </row>
    <row r="1011" spans="2:8" x14ac:dyDescent="0.25">
      <c r="B1011" s="76" t="s">
        <v>15</v>
      </c>
      <c r="C1011" s="108" t="s">
        <v>312</v>
      </c>
      <c r="D1011" s="141"/>
      <c r="E1011" s="144" t="s">
        <v>12</v>
      </c>
      <c r="F1011" s="18"/>
      <c r="G1011" s="24"/>
      <c r="H1011" s="22"/>
    </row>
    <row r="1012" spans="2:8" x14ac:dyDescent="0.25">
      <c r="B1012" s="101"/>
      <c r="C1012" s="16"/>
      <c r="D1012" s="141"/>
      <c r="E1012" s="144" t="s">
        <v>13</v>
      </c>
      <c r="F1012" s="18"/>
      <c r="G1012" s="17"/>
      <c r="H1012" s="22"/>
    </row>
    <row r="1013" spans="2:8" x14ac:dyDescent="0.25">
      <c r="B1013" s="122" t="s">
        <v>387</v>
      </c>
      <c r="C1013" s="124" t="s">
        <v>646</v>
      </c>
      <c r="D1013" s="142"/>
      <c r="E1013" s="12"/>
      <c r="F1013" s="14"/>
      <c r="G1013" s="26"/>
      <c r="H1013" s="13"/>
    </row>
    <row r="1014" spans="2:8" x14ac:dyDescent="0.25">
      <c r="B1014" s="76" t="s">
        <v>15</v>
      </c>
      <c r="C1014" s="108" t="s">
        <v>581</v>
      </c>
      <c r="D1014" s="141"/>
      <c r="E1014" s="144" t="s">
        <v>9</v>
      </c>
      <c r="F1014" s="18"/>
      <c r="G1014" s="24"/>
      <c r="H1014" s="19" t="b">
        <f>IF(D1014="x",H$2,H$1)</f>
        <v>0</v>
      </c>
    </row>
    <row r="1015" spans="2:8" x14ac:dyDescent="0.25">
      <c r="B1015" s="76" t="s">
        <v>15</v>
      </c>
      <c r="C1015" s="108" t="s">
        <v>580</v>
      </c>
      <c r="D1015" s="141"/>
      <c r="E1015" s="144" t="s">
        <v>10</v>
      </c>
      <c r="F1015" s="20" t="str">
        <f t="shared" ref="F1015" si="184">IF(H1016=1,IF(H1014=H$2,H1014,""),"")</f>
        <v/>
      </c>
      <c r="G1015" s="24"/>
      <c r="H1015" s="19">
        <f>IF(E1122="comprobar",COUNTIF(D1014:D1018,"x"),"")</f>
        <v>0</v>
      </c>
    </row>
    <row r="1016" spans="2:8" x14ac:dyDescent="0.25">
      <c r="B1016" s="76" t="s">
        <v>15</v>
      </c>
      <c r="C1016" s="108" t="s">
        <v>579</v>
      </c>
      <c r="D1016" s="141"/>
      <c r="E1016" s="144" t="s">
        <v>11</v>
      </c>
      <c r="F1016" s="21" t="str">
        <f t="shared" ref="F1016" si="185">IF(H1016=-0.33,IF(H1014=H$1,H1014,""),"")</f>
        <v/>
      </c>
      <c r="G1016" s="24"/>
      <c r="H1016" s="22">
        <f t="shared" si="177"/>
        <v>0</v>
      </c>
    </row>
    <row r="1017" spans="2:8" x14ac:dyDescent="0.25">
      <c r="B1017" s="76" t="s">
        <v>15</v>
      </c>
      <c r="C1017" s="108" t="s">
        <v>298</v>
      </c>
      <c r="D1017" s="141"/>
      <c r="E1017" s="144" t="s">
        <v>12</v>
      </c>
      <c r="F1017" s="18"/>
      <c r="G1017" s="24"/>
      <c r="H1017" s="22"/>
    </row>
    <row r="1018" spans="2:8" x14ac:dyDescent="0.25">
      <c r="B1018" s="101"/>
      <c r="C1018" s="16"/>
      <c r="D1018" s="141"/>
      <c r="E1018" s="144" t="s">
        <v>13</v>
      </c>
      <c r="F1018" s="18"/>
      <c r="G1018" s="17"/>
      <c r="H1018" s="22"/>
    </row>
    <row r="1019" spans="2:8" x14ac:dyDescent="0.25">
      <c r="B1019" s="122" t="s">
        <v>388</v>
      </c>
      <c r="C1019" s="124" t="s">
        <v>304</v>
      </c>
      <c r="D1019" s="142"/>
      <c r="E1019" s="12"/>
      <c r="F1019" s="14"/>
      <c r="G1019" s="26"/>
      <c r="H1019" s="13"/>
    </row>
    <row r="1020" spans="2:8" x14ac:dyDescent="0.25">
      <c r="B1020" s="76" t="s">
        <v>15</v>
      </c>
      <c r="C1020" s="108" t="s">
        <v>307</v>
      </c>
      <c r="D1020" s="141"/>
      <c r="E1020" s="144" t="s">
        <v>9</v>
      </c>
      <c r="F1020" s="18"/>
      <c r="G1020" s="24"/>
      <c r="H1020" s="19" t="b">
        <f>IF(D1020="x",H$2,H$1)</f>
        <v>0</v>
      </c>
    </row>
    <row r="1021" spans="2:8" x14ac:dyDescent="0.25">
      <c r="B1021" s="76" t="s">
        <v>15</v>
      </c>
      <c r="C1021" s="108" t="s">
        <v>306</v>
      </c>
      <c r="D1021" s="141"/>
      <c r="E1021" s="144" t="s">
        <v>10</v>
      </c>
      <c r="F1021" s="20" t="str">
        <f t="shared" ref="F1021" si="186">IF(H1022=1,IF(H1020=H$2,H1020,""),"")</f>
        <v/>
      </c>
      <c r="G1021" s="24"/>
      <c r="H1021" s="19">
        <f>IF(E1122="comprobar",COUNTIF(D1020:D1024,"x"),"")</f>
        <v>0</v>
      </c>
    </row>
    <row r="1022" spans="2:8" x14ac:dyDescent="0.25">
      <c r="B1022" s="76" t="s">
        <v>15</v>
      </c>
      <c r="C1022" s="108" t="s">
        <v>308</v>
      </c>
      <c r="D1022" s="141"/>
      <c r="E1022" s="144" t="s">
        <v>11</v>
      </c>
      <c r="F1022" s="21" t="str">
        <f t="shared" ref="F1022" si="187">IF(H1022=-0.33,IF(H1020=H$1,H1020,""),"")</f>
        <v/>
      </c>
      <c r="G1022" s="24"/>
      <c r="H1022" s="22">
        <f t="shared" si="177"/>
        <v>0</v>
      </c>
    </row>
    <row r="1023" spans="2:8" x14ac:dyDescent="0.25">
      <c r="B1023" s="76" t="s">
        <v>15</v>
      </c>
      <c r="C1023" s="108" t="s">
        <v>305</v>
      </c>
      <c r="D1023" s="141"/>
      <c r="E1023" s="144" t="s">
        <v>12</v>
      </c>
      <c r="F1023" s="18"/>
      <c r="G1023" s="24"/>
      <c r="H1023" s="22"/>
    </row>
    <row r="1024" spans="2:8" x14ac:dyDescent="0.25">
      <c r="B1024" s="101"/>
      <c r="C1024" s="16"/>
      <c r="D1024" s="141"/>
      <c r="E1024" s="144" t="s">
        <v>13</v>
      </c>
      <c r="F1024" s="18"/>
      <c r="G1024" s="17"/>
      <c r="H1024" s="22"/>
    </row>
    <row r="1025" spans="2:8" x14ac:dyDescent="0.25">
      <c r="B1025" s="122" t="s">
        <v>389</v>
      </c>
      <c r="C1025" s="124" t="s">
        <v>647</v>
      </c>
      <c r="D1025" s="142"/>
      <c r="E1025" s="12"/>
      <c r="F1025" s="14"/>
      <c r="G1025" s="26"/>
      <c r="H1025" s="13"/>
    </row>
    <row r="1026" spans="2:8" ht="63" x14ac:dyDescent="0.25">
      <c r="B1026" s="76" t="s">
        <v>15</v>
      </c>
      <c r="C1026" s="108" t="s">
        <v>648</v>
      </c>
      <c r="D1026" s="141"/>
      <c r="E1026" s="144" t="s">
        <v>9</v>
      </c>
      <c r="F1026" s="18"/>
      <c r="G1026" s="24"/>
      <c r="H1026" s="19" t="b">
        <f>IF(D1028="x",H$2,H$1)</f>
        <v>0</v>
      </c>
    </row>
    <row r="1027" spans="2:8" x14ac:dyDescent="0.25">
      <c r="B1027" s="76" t="s">
        <v>15</v>
      </c>
      <c r="C1027" s="108" t="s">
        <v>298</v>
      </c>
      <c r="D1027" s="141"/>
      <c r="E1027" s="144" t="s">
        <v>10</v>
      </c>
      <c r="F1027" s="20" t="str">
        <f t="shared" ref="F1027" si="188">IF(H1028=1,IF(H1026=H$2,H1026,""),"")</f>
        <v/>
      </c>
      <c r="G1027" s="24"/>
      <c r="H1027" s="19">
        <f>IF(E1122="comprobar",COUNTIF(D1026:D1030,"x"),"")</f>
        <v>0</v>
      </c>
    </row>
    <row r="1028" spans="2:8" ht="47.25" x14ac:dyDescent="0.25">
      <c r="B1028" s="76" t="s">
        <v>15</v>
      </c>
      <c r="C1028" s="108" t="s">
        <v>649</v>
      </c>
      <c r="D1028" s="141"/>
      <c r="E1028" s="144" t="s">
        <v>11</v>
      </c>
      <c r="F1028" s="21" t="str">
        <f t="shared" ref="F1028" si="189">IF(H1028=-0.33,IF(H1026=H$1,H1026,""),"")</f>
        <v/>
      </c>
      <c r="G1028" s="24"/>
      <c r="H1028" s="22">
        <f t="shared" si="177"/>
        <v>0</v>
      </c>
    </row>
    <row r="1029" spans="2:8" ht="63" x14ac:dyDescent="0.25">
      <c r="B1029" s="76" t="s">
        <v>15</v>
      </c>
      <c r="C1029" s="108" t="s">
        <v>650</v>
      </c>
      <c r="D1029" s="141"/>
      <c r="E1029" s="144" t="s">
        <v>12</v>
      </c>
      <c r="F1029" s="18"/>
      <c r="G1029" s="24"/>
      <c r="H1029" s="22"/>
    </row>
    <row r="1030" spans="2:8" x14ac:dyDescent="0.25">
      <c r="B1030" s="101"/>
      <c r="C1030" s="16"/>
      <c r="D1030" s="141"/>
      <c r="E1030" s="144" t="s">
        <v>13</v>
      </c>
      <c r="F1030" s="18"/>
      <c r="G1030" s="17"/>
      <c r="H1030" s="22"/>
    </row>
    <row r="1031" spans="2:8" x14ac:dyDescent="0.25">
      <c r="B1031" s="122" t="s">
        <v>390</v>
      </c>
      <c r="C1031" s="124" t="s">
        <v>651</v>
      </c>
      <c r="D1031" s="142"/>
      <c r="E1031" s="12"/>
      <c r="F1031" s="14"/>
      <c r="G1031" s="26"/>
      <c r="H1031" s="13"/>
    </row>
    <row r="1032" spans="2:8" ht="157.5" x14ac:dyDescent="0.25">
      <c r="B1032" s="76" t="s">
        <v>15</v>
      </c>
      <c r="C1032" s="108" t="s">
        <v>652</v>
      </c>
      <c r="D1032" s="141"/>
      <c r="E1032" s="144" t="s">
        <v>9</v>
      </c>
      <c r="F1032" s="18"/>
      <c r="G1032" s="24"/>
      <c r="H1032" s="19" t="b">
        <f>IF(D1035="x",H$2,H$1)</f>
        <v>0</v>
      </c>
    </row>
    <row r="1033" spans="2:8" ht="141.75" x14ac:dyDescent="0.25">
      <c r="B1033" s="76" t="s">
        <v>15</v>
      </c>
      <c r="C1033" s="108" t="s">
        <v>653</v>
      </c>
      <c r="D1033" s="141"/>
      <c r="E1033" s="144" t="s">
        <v>10</v>
      </c>
      <c r="F1033" s="20" t="str">
        <f t="shared" ref="F1033" si="190">IF(H1034=1,IF(H1032=H$2,H1032,""),"")</f>
        <v/>
      </c>
      <c r="G1033" s="24"/>
      <c r="H1033" s="19">
        <f>IF(E1122="comprobar",COUNTIF(D1032:D1036,"x"),"")</f>
        <v>0</v>
      </c>
    </row>
    <row r="1034" spans="2:8" x14ac:dyDescent="0.25">
      <c r="B1034" s="76" t="s">
        <v>15</v>
      </c>
      <c r="C1034" s="108" t="s">
        <v>654</v>
      </c>
      <c r="D1034" s="141"/>
      <c r="E1034" s="144" t="s">
        <v>11</v>
      </c>
      <c r="F1034" s="21" t="str">
        <f t="shared" ref="F1034" si="191">IF(H1034=-0.33,IF(H1032=H$1,H1032,""),"")</f>
        <v/>
      </c>
      <c r="G1034" s="24"/>
      <c r="H1034" s="22">
        <f t="shared" si="177"/>
        <v>0</v>
      </c>
    </row>
    <row r="1035" spans="2:8" ht="141.75" x14ac:dyDescent="0.25">
      <c r="B1035" s="76" t="s">
        <v>15</v>
      </c>
      <c r="C1035" s="108" t="s">
        <v>655</v>
      </c>
      <c r="D1035" s="141"/>
      <c r="E1035" s="144" t="s">
        <v>12</v>
      </c>
      <c r="F1035" s="18"/>
      <c r="G1035" s="24"/>
      <c r="H1035" s="22"/>
    </row>
    <row r="1036" spans="2:8" x14ac:dyDescent="0.25">
      <c r="B1036" s="101"/>
      <c r="C1036" s="16"/>
      <c r="D1036" s="141"/>
      <c r="E1036" s="144" t="s">
        <v>13</v>
      </c>
      <c r="F1036" s="18"/>
      <c r="G1036" s="17"/>
      <c r="H1036" s="22"/>
    </row>
    <row r="1037" spans="2:8" x14ac:dyDescent="0.25">
      <c r="B1037" s="122" t="s">
        <v>391</v>
      </c>
      <c r="C1037" s="124" t="s">
        <v>291</v>
      </c>
      <c r="D1037" s="142"/>
      <c r="E1037" s="12"/>
      <c r="F1037" s="14"/>
      <c r="G1037" s="26"/>
      <c r="H1037" s="13"/>
    </row>
    <row r="1038" spans="2:8" x14ac:dyDescent="0.25">
      <c r="B1038" s="76" t="s">
        <v>15</v>
      </c>
      <c r="C1038" s="108" t="s">
        <v>292</v>
      </c>
      <c r="D1038" s="141"/>
      <c r="E1038" s="144" t="s">
        <v>9</v>
      </c>
      <c r="F1038" s="18"/>
      <c r="G1038" s="24"/>
      <c r="H1038" s="19" t="b">
        <f>IF(D1038="x",H$2,H$1)</f>
        <v>0</v>
      </c>
    </row>
    <row r="1039" spans="2:8" x14ac:dyDescent="0.25">
      <c r="B1039" s="76" t="s">
        <v>15</v>
      </c>
      <c r="C1039" s="108" t="s">
        <v>278</v>
      </c>
      <c r="D1039" s="141"/>
      <c r="E1039" s="144" t="s">
        <v>10</v>
      </c>
      <c r="F1039" s="20" t="str">
        <f t="shared" ref="F1039" si="192">IF(H1040=1,IF(H1038=H$2,H1038,""),"")</f>
        <v/>
      </c>
      <c r="G1039" s="24"/>
      <c r="H1039" s="19">
        <f>IF(E1122="comprobar",COUNTIF(D1038:D1042,"x"),"")</f>
        <v>0</v>
      </c>
    </row>
    <row r="1040" spans="2:8" x14ac:dyDescent="0.25">
      <c r="B1040" s="76" t="s">
        <v>15</v>
      </c>
      <c r="C1040" s="108" t="s">
        <v>294</v>
      </c>
      <c r="D1040" s="141"/>
      <c r="E1040" s="144" t="s">
        <v>11</v>
      </c>
      <c r="F1040" s="21" t="str">
        <f t="shared" ref="F1040" si="193">IF(H1040=-0.33,IF(H1038=H$1,H1038,""),"")</f>
        <v/>
      </c>
      <c r="G1040" s="24"/>
      <c r="H1040" s="22">
        <f t="shared" si="177"/>
        <v>0</v>
      </c>
    </row>
    <row r="1041" spans="2:8" x14ac:dyDescent="0.25">
      <c r="B1041" s="76" t="s">
        <v>15</v>
      </c>
      <c r="C1041" s="108" t="s">
        <v>293</v>
      </c>
      <c r="D1041" s="141"/>
      <c r="E1041" s="144" t="s">
        <v>12</v>
      </c>
      <c r="F1041" s="18"/>
      <c r="G1041" s="24"/>
      <c r="H1041" s="22"/>
    </row>
    <row r="1042" spans="2:8" x14ac:dyDescent="0.25">
      <c r="B1042" s="101"/>
      <c r="C1042" s="16"/>
      <c r="D1042" s="141"/>
      <c r="E1042" s="144" t="s">
        <v>13</v>
      </c>
      <c r="F1042" s="18"/>
      <c r="G1042" s="17"/>
      <c r="H1042" s="22"/>
    </row>
    <row r="1043" spans="2:8" x14ac:dyDescent="0.25">
      <c r="B1043" s="122" t="s">
        <v>392</v>
      </c>
      <c r="C1043" s="124"/>
      <c r="D1043" s="142"/>
      <c r="E1043" s="12"/>
      <c r="F1043" s="14"/>
      <c r="G1043" s="26"/>
      <c r="H1043" s="13"/>
    </row>
    <row r="1044" spans="2:8" x14ac:dyDescent="0.25">
      <c r="B1044" s="76" t="s">
        <v>15</v>
      </c>
      <c r="C1044" s="108"/>
      <c r="D1044" s="141"/>
      <c r="E1044" s="144" t="s">
        <v>9</v>
      </c>
      <c r="F1044" s="18"/>
      <c r="G1044" s="24"/>
      <c r="H1044" s="19" t="b">
        <f>IF(D1047="x",H$2,H$1)</f>
        <v>0</v>
      </c>
    </row>
    <row r="1045" spans="2:8" x14ac:dyDescent="0.25">
      <c r="B1045" s="76" t="s">
        <v>15</v>
      </c>
      <c r="C1045" s="108"/>
      <c r="D1045" s="141"/>
      <c r="E1045" s="144" t="s">
        <v>10</v>
      </c>
      <c r="F1045" s="20" t="str">
        <f t="shared" ref="F1045" si="194">IF(H1046=1,IF(H1044=H$2,H1044,""),"")</f>
        <v/>
      </c>
      <c r="G1045" s="24"/>
      <c r="H1045" s="19">
        <f>IF(E1122="comprobar",COUNTIF(D1044:D1048,"x"),"")</f>
        <v>0</v>
      </c>
    </row>
    <row r="1046" spans="2:8" x14ac:dyDescent="0.25">
      <c r="B1046" s="76" t="s">
        <v>15</v>
      </c>
      <c r="C1046" s="108"/>
      <c r="D1046" s="141"/>
      <c r="E1046" s="144" t="s">
        <v>11</v>
      </c>
      <c r="F1046" s="21" t="str">
        <f t="shared" ref="F1046" si="195">IF(H1046=-0.33,IF(H1044=H$1,H1044,""),"")</f>
        <v/>
      </c>
      <c r="G1046" s="24"/>
      <c r="H1046" s="22">
        <f t="shared" si="177"/>
        <v>0</v>
      </c>
    </row>
    <row r="1047" spans="2:8" x14ac:dyDescent="0.25">
      <c r="B1047" s="76" t="s">
        <v>15</v>
      </c>
      <c r="C1047" s="108"/>
      <c r="D1047" s="141"/>
      <c r="E1047" s="144" t="s">
        <v>12</v>
      </c>
      <c r="F1047" s="18"/>
      <c r="G1047" s="24"/>
      <c r="H1047" s="22"/>
    </row>
    <row r="1048" spans="2:8" x14ac:dyDescent="0.25">
      <c r="B1048" s="101"/>
      <c r="C1048" s="16"/>
      <c r="D1048" s="141"/>
      <c r="E1048" s="144" t="s">
        <v>13</v>
      </c>
      <c r="F1048" s="18"/>
      <c r="G1048" s="17"/>
      <c r="H1048" s="22"/>
    </row>
    <row r="1049" spans="2:8" x14ac:dyDescent="0.25">
      <c r="B1049" s="122" t="s">
        <v>393</v>
      </c>
      <c r="C1049" s="124"/>
      <c r="D1049" s="142"/>
      <c r="E1049" s="12"/>
      <c r="F1049" s="14"/>
      <c r="G1049" s="26"/>
      <c r="H1049" s="13"/>
    </row>
    <row r="1050" spans="2:8" x14ac:dyDescent="0.25">
      <c r="B1050" s="76" t="s">
        <v>15</v>
      </c>
      <c r="C1050" s="108"/>
      <c r="D1050" s="141"/>
      <c r="E1050" s="144" t="s">
        <v>9</v>
      </c>
      <c r="F1050" s="18"/>
      <c r="G1050" s="24"/>
      <c r="H1050" s="19" t="b">
        <f>IF(D1052="x",H$2,H$1)</f>
        <v>0</v>
      </c>
    </row>
    <row r="1051" spans="2:8" x14ac:dyDescent="0.25">
      <c r="B1051" s="76" t="s">
        <v>15</v>
      </c>
      <c r="C1051" s="108"/>
      <c r="D1051" s="141"/>
      <c r="E1051" s="144" t="s">
        <v>10</v>
      </c>
      <c r="F1051" s="20" t="str">
        <f t="shared" ref="F1051" si="196">IF(H1052=1,IF(H1050=H$2,H1050,""),"")</f>
        <v/>
      </c>
      <c r="G1051" s="24"/>
      <c r="H1051" s="19">
        <f>IF(E1122="comprobar",COUNTIF(D1050:D1054,"x"),"")</f>
        <v>0</v>
      </c>
    </row>
    <row r="1052" spans="2:8" x14ac:dyDescent="0.25">
      <c r="B1052" s="76" t="s">
        <v>15</v>
      </c>
      <c r="C1052" s="108"/>
      <c r="D1052" s="141"/>
      <c r="E1052" s="144" t="s">
        <v>11</v>
      </c>
      <c r="F1052" s="21" t="str">
        <f t="shared" ref="F1052" si="197">IF(H1052=-0.33,IF(H1050=H$1,H1050,""),"")</f>
        <v/>
      </c>
      <c r="G1052" s="24"/>
      <c r="H1052" s="22">
        <f t="shared" si="177"/>
        <v>0</v>
      </c>
    </row>
    <row r="1053" spans="2:8" x14ac:dyDescent="0.25">
      <c r="B1053" s="76" t="s">
        <v>15</v>
      </c>
      <c r="C1053" s="108"/>
      <c r="D1053" s="141"/>
      <c r="E1053" s="144" t="s">
        <v>12</v>
      </c>
      <c r="F1053" s="18"/>
      <c r="G1053" s="24"/>
      <c r="H1053" s="22"/>
    </row>
    <row r="1054" spans="2:8" x14ac:dyDescent="0.25">
      <c r="B1054" s="101"/>
      <c r="C1054" s="16"/>
      <c r="D1054" s="141"/>
      <c r="E1054" s="144" t="s">
        <v>13</v>
      </c>
      <c r="F1054" s="18"/>
      <c r="G1054" s="17"/>
      <c r="H1054" s="22"/>
    </row>
    <row r="1055" spans="2:8" x14ac:dyDescent="0.25">
      <c r="B1055" s="122" t="s">
        <v>394</v>
      </c>
      <c r="C1055" s="124"/>
      <c r="D1055" s="142"/>
      <c r="E1055" s="12"/>
      <c r="F1055" s="14"/>
      <c r="G1055" s="26"/>
      <c r="H1055" s="13"/>
    </row>
    <row r="1056" spans="2:8" x14ac:dyDescent="0.25">
      <c r="B1056" s="76" t="s">
        <v>15</v>
      </c>
      <c r="C1056" s="108"/>
      <c r="D1056" s="141"/>
      <c r="E1056" s="144" t="s">
        <v>9</v>
      </c>
      <c r="F1056" s="18"/>
      <c r="G1056" s="24"/>
      <c r="H1056" s="19" t="b">
        <f>IF(D1056="x",H$2,H$1)</f>
        <v>0</v>
      </c>
    </row>
    <row r="1057" spans="2:8" x14ac:dyDescent="0.25">
      <c r="B1057" s="76" t="s">
        <v>15</v>
      </c>
      <c r="C1057" s="108"/>
      <c r="D1057" s="141"/>
      <c r="E1057" s="144" t="s">
        <v>10</v>
      </c>
      <c r="F1057" s="20" t="str">
        <f t="shared" ref="F1057" si="198">IF(H1058=1,IF(H1056=H$2,H1056,""),"")</f>
        <v/>
      </c>
      <c r="G1057" s="24"/>
      <c r="H1057" s="19">
        <f>IF(E1122="comprobar",COUNTIF(D1056:D1060,"x"),"")</f>
        <v>0</v>
      </c>
    </row>
    <row r="1058" spans="2:8" x14ac:dyDescent="0.25">
      <c r="B1058" s="76" t="s">
        <v>15</v>
      </c>
      <c r="C1058" s="108"/>
      <c r="D1058" s="141"/>
      <c r="E1058" s="144" t="s">
        <v>11</v>
      </c>
      <c r="F1058" s="21" t="str">
        <f t="shared" ref="F1058" si="199">IF(H1058=-0.33,IF(H1056=H$1,H1056,""),"")</f>
        <v/>
      </c>
      <c r="G1058" s="24"/>
      <c r="H1058" s="22">
        <f t="shared" ref="H1058:H1118" si="200">IF(H1057=1,IF(H1056=H$2,1,-0.33),0)</f>
        <v>0</v>
      </c>
    </row>
    <row r="1059" spans="2:8" x14ac:dyDescent="0.25">
      <c r="B1059" s="76" t="s">
        <v>15</v>
      </c>
      <c r="C1059" s="108"/>
      <c r="D1059" s="141"/>
      <c r="E1059" s="144" t="s">
        <v>12</v>
      </c>
      <c r="F1059" s="18"/>
      <c r="G1059" s="24"/>
      <c r="H1059" s="22"/>
    </row>
    <row r="1060" spans="2:8" x14ac:dyDescent="0.25">
      <c r="B1060" s="101"/>
      <c r="C1060" s="16"/>
      <c r="D1060" s="141"/>
      <c r="E1060" s="144" t="s">
        <v>13</v>
      </c>
      <c r="F1060" s="18"/>
      <c r="G1060" s="17"/>
      <c r="H1060" s="22"/>
    </row>
    <row r="1061" spans="2:8" x14ac:dyDescent="0.25">
      <c r="B1061" s="122" t="s">
        <v>395</v>
      </c>
      <c r="C1061" s="124"/>
      <c r="D1061" s="142"/>
      <c r="E1061" s="12"/>
      <c r="F1061" s="14"/>
      <c r="G1061" s="26"/>
      <c r="H1061" s="13"/>
    </row>
    <row r="1062" spans="2:8" x14ac:dyDescent="0.25">
      <c r="B1062" s="76" t="s">
        <v>15</v>
      </c>
      <c r="C1062" s="108"/>
      <c r="D1062" s="141"/>
      <c r="E1062" s="144" t="s">
        <v>9</v>
      </c>
      <c r="F1062" s="18"/>
      <c r="G1062" s="24"/>
      <c r="H1062" s="19" t="b">
        <f>IF(D1064="x",H$2,H$1)</f>
        <v>0</v>
      </c>
    </row>
    <row r="1063" spans="2:8" x14ac:dyDescent="0.25">
      <c r="B1063" s="76" t="s">
        <v>15</v>
      </c>
      <c r="C1063" s="108"/>
      <c r="D1063" s="141"/>
      <c r="E1063" s="144" t="s">
        <v>10</v>
      </c>
      <c r="F1063" s="20" t="str">
        <f t="shared" ref="F1063" si="201">IF(H1064=1,IF(H1062=H$2,H1062,""),"")</f>
        <v/>
      </c>
      <c r="G1063" s="24"/>
      <c r="H1063" s="19">
        <f>IF(E1122="comprobar",COUNTIF(D1062:D1066,"x"),"")</f>
        <v>0</v>
      </c>
    </row>
    <row r="1064" spans="2:8" x14ac:dyDescent="0.25">
      <c r="B1064" s="76" t="s">
        <v>15</v>
      </c>
      <c r="C1064" s="108"/>
      <c r="D1064" s="141"/>
      <c r="E1064" s="144" t="s">
        <v>11</v>
      </c>
      <c r="F1064" s="21" t="str">
        <f t="shared" ref="F1064" si="202">IF(H1064=-0.33,IF(H1062=H$1,H1062,""),"")</f>
        <v/>
      </c>
      <c r="G1064" s="24"/>
      <c r="H1064" s="22">
        <f t="shared" si="200"/>
        <v>0</v>
      </c>
    </row>
    <row r="1065" spans="2:8" x14ac:dyDescent="0.25">
      <c r="B1065" s="76" t="s">
        <v>15</v>
      </c>
      <c r="C1065" s="108"/>
      <c r="D1065" s="141"/>
      <c r="E1065" s="144" t="s">
        <v>12</v>
      </c>
      <c r="F1065" s="18"/>
      <c r="G1065" s="24"/>
      <c r="H1065" s="22"/>
    </row>
    <row r="1066" spans="2:8" x14ac:dyDescent="0.25">
      <c r="B1066" s="101"/>
      <c r="C1066" s="16"/>
      <c r="D1066" s="141"/>
      <c r="E1066" s="144" t="s">
        <v>13</v>
      </c>
      <c r="F1066" s="18"/>
      <c r="G1066" s="17"/>
      <c r="H1066" s="22"/>
    </row>
    <row r="1067" spans="2:8" x14ac:dyDescent="0.25">
      <c r="B1067" s="122" t="s">
        <v>396</v>
      </c>
      <c r="C1067" s="124"/>
      <c r="D1067" s="142"/>
      <c r="E1067" s="12"/>
      <c r="F1067" s="14"/>
      <c r="G1067" s="26"/>
      <c r="H1067" s="13"/>
    </row>
    <row r="1068" spans="2:8" x14ac:dyDescent="0.25">
      <c r="B1068" s="76" t="s">
        <v>15</v>
      </c>
      <c r="C1068" s="108"/>
      <c r="D1068" s="141"/>
      <c r="E1068" s="144" t="s">
        <v>9</v>
      </c>
      <c r="F1068" s="18"/>
      <c r="G1068" s="24"/>
      <c r="H1068" s="19" t="b">
        <f>IF(D1068="x",H$2,H$1)</f>
        <v>0</v>
      </c>
    </row>
    <row r="1069" spans="2:8" x14ac:dyDescent="0.25">
      <c r="B1069" s="76" t="s">
        <v>15</v>
      </c>
      <c r="C1069" s="108"/>
      <c r="D1069" s="141"/>
      <c r="E1069" s="144" t="s">
        <v>10</v>
      </c>
      <c r="F1069" s="20" t="str">
        <f t="shared" ref="F1069" si="203">IF(H1070=1,IF(H1068=H$2,H1068,""),"")</f>
        <v/>
      </c>
      <c r="G1069" s="24"/>
      <c r="H1069" s="19">
        <f>IF(E1122="comprobar",COUNTIF(D1068:D1072,"x"),"")</f>
        <v>0</v>
      </c>
    </row>
    <row r="1070" spans="2:8" x14ac:dyDescent="0.25">
      <c r="B1070" s="76" t="s">
        <v>15</v>
      </c>
      <c r="C1070" s="108"/>
      <c r="D1070" s="141"/>
      <c r="E1070" s="144" t="s">
        <v>11</v>
      </c>
      <c r="F1070" s="21" t="str">
        <f t="shared" ref="F1070" si="204">IF(H1070=-0.33,IF(H1068=H$1,H1068,""),"")</f>
        <v/>
      </c>
      <c r="G1070" s="24"/>
      <c r="H1070" s="22">
        <f t="shared" si="200"/>
        <v>0</v>
      </c>
    </row>
    <row r="1071" spans="2:8" x14ac:dyDescent="0.25">
      <c r="B1071" s="76" t="s">
        <v>15</v>
      </c>
      <c r="C1071" s="108"/>
      <c r="D1071" s="141"/>
      <c r="E1071" s="144" t="s">
        <v>12</v>
      </c>
      <c r="F1071" s="18"/>
      <c r="G1071" s="24"/>
      <c r="H1071" s="22"/>
    </row>
    <row r="1072" spans="2:8" x14ac:dyDescent="0.25">
      <c r="B1072" s="101"/>
      <c r="C1072" s="16"/>
      <c r="D1072" s="141"/>
      <c r="E1072" s="144" t="s">
        <v>13</v>
      </c>
      <c r="F1072" s="18"/>
      <c r="G1072" s="17"/>
      <c r="H1072" s="22"/>
    </row>
    <row r="1073" spans="2:8" x14ac:dyDescent="0.25">
      <c r="B1073" s="122" t="s">
        <v>397</v>
      </c>
      <c r="C1073" s="124"/>
      <c r="D1073" s="142"/>
      <c r="E1073" s="12"/>
      <c r="F1073" s="14"/>
      <c r="G1073" s="26"/>
      <c r="H1073" s="13"/>
    </row>
    <row r="1074" spans="2:8" x14ac:dyDescent="0.25">
      <c r="B1074" s="76" t="s">
        <v>15</v>
      </c>
      <c r="C1074" s="108"/>
      <c r="D1074" s="141"/>
      <c r="E1074" s="144" t="s">
        <v>9</v>
      </c>
      <c r="F1074" s="18"/>
      <c r="G1074" s="24"/>
      <c r="H1074" s="19" t="b">
        <f>IF(D1074="x",H$2,H$1)</f>
        <v>0</v>
      </c>
    </row>
    <row r="1075" spans="2:8" x14ac:dyDescent="0.25">
      <c r="B1075" s="76" t="s">
        <v>15</v>
      </c>
      <c r="C1075" s="108"/>
      <c r="D1075" s="141"/>
      <c r="E1075" s="144" t="s">
        <v>10</v>
      </c>
      <c r="F1075" s="20" t="str">
        <f t="shared" ref="F1075" si="205">IF(H1076=1,IF(H1074=H$2,H1074,""),"")</f>
        <v/>
      </c>
      <c r="G1075" s="24"/>
      <c r="H1075" s="19">
        <f>IF(E1122="comprobar",COUNTIF(D1074:D1078,"x"),"")</f>
        <v>0</v>
      </c>
    </row>
    <row r="1076" spans="2:8" x14ac:dyDescent="0.25">
      <c r="B1076" s="76" t="s">
        <v>15</v>
      </c>
      <c r="C1076" s="108"/>
      <c r="D1076" s="141"/>
      <c r="E1076" s="144" t="s">
        <v>11</v>
      </c>
      <c r="F1076" s="21" t="str">
        <f t="shared" ref="F1076" si="206">IF(H1076=-0.33,IF(H1074=H$1,H1074,""),"")</f>
        <v/>
      </c>
      <c r="G1076" s="24"/>
      <c r="H1076" s="22">
        <f t="shared" si="200"/>
        <v>0</v>
      </c>
    </row>
    <row r="1077" spans="2:8" x14ac:dyDescent="0.25">
      <c r="B1077" s="76" t="s">
        <v>15</v>
      </c>
      <c r="C1077" s="108"/>
      <c r="D1077" s="141"/>
      <c r="E1077" s="144" t="s">
        <v>12</v>
      </c>
      <c r="F1077" s="18"/>
      <c r="G1077" s="24"/>
      <c r="H1077" s="22"/>
    </row>
    <row r="1078" spans="2:8" x14ac:dyDescent="0.25">
      <c r="B1078" s="101"/>
      <c r="C1078" s="16"/>
      <c r="D1078" s="141"/>
      <c r="E1078" s="144" t="s">
        <v>13</v>
      </c>
      <c r="F1078" s="18"/>
      <c r="G1078" s="17"/>
      <c r="H1078" s="22"/>
    </row>
    <row r="1079" spans="2:8" x14ac:dyDescent="0.25">
      <c r="B1079" s="122" t="s">
        <v>398</v>
      </c>
      <c r="C1079" s="124"/>
      <c r="D1079" s="142"/>
      <c r="E1079" s="12"/>
      <c r="F1079" s="14"/>
      <c r="G1079" s="26"/>
      <c r="H1079" s="13"/>
    </row>
    <row r="1080" spans="2:8" x14ac:dyDescent="0.25">
      <c r="B1080" s="76" t="s">
        <v>15</v>
      </c>
      <c r="C1080" s="108"/>
      <c r="D1080" s="141"/>
      <c r="E1080" s="144" t="s">
        <v>9</v>
      </c>
      <c r="F1080" s="18"/>
      <c r="G1080" s="24"/>
      <c r="H1080" s="19" t="b">
        <f>IF(D1082="x",H$2,H$1)</f>
        <v>0</v>
      </c>
    </row>
    <row r="1081" spans="2:8" x14ac:dyDescent="0.25">
      <c r="B1081" s="76" t="s">
        <v>15</v>
      </c>
      <c r="C1081" s="108"/>
      <c r="D1081" s="141"/>
      <c r="E1081" s="144" t="s">
        <v>10</v>
      </c>
      <c r="F1081" s="20" t="str">
        <f t="shared" ref="F1081" si="207">IF(H1082=1,IF(H1080=H$2,H1080,""),"")</f>
        <v/>
      </c>
      <c r="G1081" s="24"/>
      <c r="H1081" s="19">
        <f>IF(E1122="comprobar",COUNTIF(D1080:D1084,"x"),"")</f>
        <v>0</v>
      </c>
    </row>
    <row r="1082" spans="2:8" x14ac:dyDescent="0.25">
      <c r="B1082" s="76" t="s">
        <v>15</v>
      </c>
      <c r="C1082" s="108"/>
      <c r="D1082" s="141"/>
      <c r="E1082" s="144" t="s">
        <v>11</v>
      </c>
      <c r="F1082" s="21" t="str">
        <f t="shared" ref="F1082" si="208">IF(H1082=-0.33,IF(H1080=H$1,H1080,""),"")</f>
        <v/>
      </c>
      <c r="G1082" s="24"/>
      <c r="H1082" s="22">
        <f t="shared" si="200"/>
        <v>0</v>
      </c>
    </row>
    <row r="1083" spans="2:8" x14ac:dyDescent="0.25">
      <c r="B1083" s="76" t="s">
        <v>15</v>
      </c>
      <c r="C1083" s="108"/>
      <c r="D1083" s="141"/>
      <c r="E1083" s="144" t="s">
        <v>12</v>
      </c>
      <c r="F1083" s="18"/>
      <c r="G1083" s="24"/>
      <c r="H1083" s="22"/>
    </row>
    <row r="1084" spans="2:8" x14ac:dyDescent="0.25">
      <c r="B1084" s="101"/>
      <c r="C1084" s="16"/>
      <c r="D1084" s="141"/>
      <c r="E1084" s="144" t="s">
        <v>13</v>
      </c>
      <c r="F1084" s="18"/>
      <c r="G1084" s="17"/>
      <c r="H1084" s="22"/>
    </row>
    <row r="1085" spans="2:8" x14ac:dyDescent="0.25">
      <c r="B1085" s="122" t="s">
        <v>399</v>
      </c>
      <c r="C1085" s="124"/>
      <c r="D1085" s="142"/>
      <c r="E1085" s="12"/>
      <c r="F1085" s="14"/>
      <c r="G1085" s="26"/>
      <c r="H1085" s="13"/>
    </row>
    <row r="1086" spans="2:8" x14ac:dyDescent="0.25">
      <c r="B1086" s="76" t="s">
        <v>15</v>
      </c>
      <c r="C1086" s="108"/>
      <c r="D1086" s="141"/>
      <c r="E1086" s="144" t="s">
        <v>9</v>
      </c>
      <c r="F1086" s="18"/>
      <c r="G1086" s="24"/>
      <c r="H1086" s="19" t="b">
        <f>IF(D1089="x",H$2,H$1)</f>
        <v>0</v>
      </c>
    </row>
    <row r="1087" spans="2:8" x14ac:dyDescent="0.25">
      <c r="B1087" s="76" t="s">
        <v>15</v>
      </c>
      <c r="C1087" s="108"/>
      <c r="D1087" s="141"/>
      <c r="E1087" s="144" t="s">
        <v>10</v>
      </c>
      <c r="F1087" s="20" t="str">
        <f t="shared" ref="F1087" si="209">IF(H1088=1,IF(H1086=H$2,H1086,""),"")</f>
        <v/>
      </c>
      <c r="G1087" s="24"/>
      <c r="H1087" s="19">
        <f>IF(E1122="comprobar",COUNTIF(D1086:D1090,"x"),"")</f>
        <v>0</v>
      </c>
    </row>
    <row r="1088" spans="2:8" x14ac:dyDescent="0.25">
      <c r="B1088" s="76" t="s">
        <v>15</v>
      </c>
      <c r="C1088" s="108"/>
      <c r="D1088" s="141"/>
      <c r="E1088" s="144" t="s">
        <v>11</v>
      </c>
      <c r="F1088" s="21" t="str">
        <f t="shared" ref="F1088" si="210">IF(H1088=-0.33,IF(H1086=H$1,H1086,""),"")</f>
        <v/>
      </c>
      <c r="G1088" s="24"/>
      <c r="H1088" s="22">
        <f t="shared" si="200"/>
        <v>0</v>
      </c>
    </row>
    <row r="1089" spans="2:8" x14ac:dyDescent="0.25">
      <c r="B1089" s="76" t="s">
        <v>15</v>
      </c>
      <c r="C1089" s="108"/>
      <c r="D1089" s="141"/>
      <c r="E1089" s="144" t="s">
        <v>12</v>
      </c>
      <c r="F1089" s="18"/>
      <c r="G1089" s="24"/>
      <c r="H1089" s="22"/>
    </row>
    <row r="1090" spans="2:8" x14ac:dyDescent="0.25">
      <c r="B1090" s="101"/>
      <c r="C1090" s="16"/>
      <c r="D1090" s="141"/>
      <c r="E1090" s="144" t="s">
        <v>13</v>
      </c>
      <c r="F1090" s="18"/>
      <c r="G1090" s="17"/>
      <c r="H1090" s="22"/>
    </row>
    <row r="1091" spans="2:8" x14ac:dyDescent="0.25">
      <c r="B1091" s="122" t="s">
        <v>400</v>
      </c>
      <c r="C1091" s="124"/>
      <c r="D1091" s="142"/>
      <c r="E1091" s="12"/>
      <c r="F1091" s="14"/>
      <c r="G1091" s="26"/>
      <c r="H1091" s="13"/>
    </row>
    <row r="1092" spans="2:8" x14ac:dyDescent="0.25">
      <c r="B1092" s="76" t="s">
        <v>15</v>
      </c>
      <c r="C1092" s="108"/>
      <c r="D1092" s="141"/>
      <c r="E1092" s="144" t="s">
        <v>9</v>
      </c>
      <c r="F1092" s="18"/>
      <c r="G1092" s="24"/>
      <c r="H1092" s="19" t="b">
        <f>IF(D1095="x",H$2,H$1)</f>
        <v>0</v>
      </c>
    </row>
    <row r="1093" spans="2:8" x14ac:dyDescent="0.25">
      <c r="B1093" s="76" t="s">
        <v>15</v>
      </c>
      <c r="C1093" s="108"/>
      <c r="D1093" s="141"/>
      <c r="E1093" s="144" t="s">
        <v>10</v>
      </c>
      <c r="F1093" s="20" t="str">
        <f t="shared" ref="F1093" si="211">IF(H1094=1,IF(H1092=H$2,H1092,""),"")</f>
        <v/>
      </c>
      <c r="G1093" s="24"/>
      <c r="H1093" s="19">
        <f>IF(E1122="comprobar",COUNTIF(D1092:D1096,"x"),"")</f>
        <v>0</v>
      </c>
    </row>
    <row r="1094" spans="2:8" x14ac:dyDescent="0.25">
      <c r="B1094" s="76" t="s">
        <v>15</v>
      </c>
      <c r="C1094" s="108"/>
      <c r="D1094" s="141"/>
      <c r="E1094" s="144" t="s">
        <v>11</v>
      </c>
      <c r="F1094" s="21" t="str">
        <f t="shared" ref="F1094" si="212">IF(H1094=-0.33,IF(H1092=H$1,H1092,""),"")</f>
        <v/>
      </c>
      <c r="G1094" s="24"/>
      <c r="H1094" s="22">
        <f t="shared" si="200"/>
        <v>0</v>
      </c>
    </row>
    <row r="1095" spans="2:8" x14ac:dyDescent="0.25">
      <c r="B1095" s="76" t="s">
        <v>15</v>
      </c>
      <c r="C1095" s="108"/>
      <c r="D1095" s="141"/>
      <c r="E1095" s="144" t="s">
        <v>12</v>
      </c>
      <c r="F1095" s="18"/>
      <c r="G1095" s="24"/>
      <c r="H1095" s="22"/>
    </row>
    <row r="1096" spans="2:8" x14ac:dyDescent="0.25">
      <c r="B1096" s="101"/>
      <c r="C1096" s="16"/>
      <c r="D1096" s="141"/>
      <c r="E1096" s="144" t="s">
        <v>13</v>
      </c>
      <c r="F1096" s="18"/>
      <c r="G1096" s="17"/>
      <c r="H1096" s="22"/>
    </row>
    <row r="1097" spans="2:8" x14ac:dyDescent="0.25">
      <c r="B1097" s="122" t="s">
        <v>401</v>
      </c>
      <c r="C1097" s="124"/>
      <c r="D1097" s="142"/>
      <c r="E1097" s="12"/>
      <c r="F1097" s="14"/>
      <c r="G1097" s="26"/>
      <c r="H1097" s="13"/>
    </row>
    <row r="1098" spans="2:8" x14ac:dyDescent="0.25">
      <c r="B1098" s="76" t="s">
        <v>15</v>
      </c>
      <c r="C1098" s="108"/>
      <c r="D1098" s="141"/>
      <c r="E1098" s="144" t="s">
        <v>9</v>
      </c>
      <c r="F1098" s="18"/>
      <c r="G1098" s="24"/>
      <c r="H1098" s="19" t="b">
        <f>IF(D1099="x",H$2,H$1)</f>
        <v>0</v>
      </c>
    </row>
    <row r="1099" spans="2:8" x14ac:dyDescent="0.25">
      <c r="B1099" s="76" t="s">
        <v>15</v>
      </c>
      <c r="C1099" s="108"/>
      <c r="D1099" s="141"/>
      <c r="E1099" s="144" t="s">
        <v>10</v>
      </c>
      <c r="F1099" s="20" t="str">
        <f t="shared" ref="F1099" si="213">IF(H1100=1,IF(H1098=H$2,H1098,""),"")</f>
        <v/>
      </c>
      <c r="G1099" s="24"/>
      <c r="H1099" s="19">
        <f>IF(E1122="comprobar",COUNTIF(D1098:D1102,"x"),"")</f>
        <v>0</v>
      </c>
    </row>
    <row r="1100" spans="2:8" x14ac:dyDescent="0.25">
      <c r="B1100" s="76" t="s">
        <v>15</v>
      </c>
      <c r="C1100" s="108"/>
      <c r="D1100" s="141"/>
      <c r="E1100" s="144" t="s">
        <v>11</v>
      </c>
      <c r="F1100" s="21" t="str">
        <f t="shared" ref="F1100" si="214">IF(H1100=-0.33,IF(H1098=H$1,H1098,""),"")</f>
        <v/>
      </c>
      <c r="G1100" s="24"/>
      <c r="H1100" s="22">
        <f t="shared" si="200"/>
        <v>0</v>
      </c>
    </row>
    <row r="1101" spans="2:8" x14ac:dyDescent="0.25">
      <c r="B1101" s="76" t="s">
        <v>15</v>
      </c>
      <c r="C1101" s="108"/>
      <c r="D1101" s="141"/>
      <c r="E1101" s="144" t="s">
        <v>12</v>
      </c>
      <c r="F1101" s="18"/>
      <c r="G1101" s="24"/>
      <c r="H1101" s="22"/>
    </row>
    <row r="1102" spans="2:8" x14ac:dyDescent="0.25">
      <c r="B1102" s="101"/>
      <c r="C1102" s="16"/>
      <c r="D1102" s="141"/>
      <c r="E1102" s="144" t="s">
        <v>13</v>
      </c>
      <c r="F1102" s="18"/>
      <c r="G1102" s="17"/>
      <c r="H1102" s="22"/>
    </row>
    <row r="1103" spans="2:8" x14ac:dyDescent="0.25">
      <c r="B1103" s="122" t="s">
        <v>402</v>
      </c>
      <c r="C1103" s="124"/>
      <c r="D1103" s="142"/>
      <c r="E1103" s="12"/>
      <c r="F1103" s="14"/>
      <c r="G1103" s="26"/>
      <c r="H1103" s="13"/>
    </row>
    <row r="1104" spans="2:8" x14ac:dyDescent="0.25">
      <c r="B1104" s="76" t="s">
        <v>15</v>
      </c>
      <c r="C1104" s="108"/>
      <c r="D1104" s="141"/>
      <c r="E1104" s="144" t="s">
        <v>9</v>
      </c>
      <c r="F1104" s="18"/>
      <c r="G1104" s="24"/>
      <c r="H1104" s="19" t="b">
        <f>IF(D1105="x",H$2,H$1)</f>
        <v>0</v>
      </c>
    </row>
    <row r="1105" spans="2:8" x14ac:dyDescent="0.25">
      <c r="B1105" s="76" t="s">
        <v>15</v>
      </c>
      <c r="C1105" s="108"/>
      <c r="D1105" s="141"/>
      <c r="E1105" s="144" t="s">
        <v>10</v>
      </c>
      <c r="F1105" s="20" t="str">
        <f t="shared" ref="F1105" si="215">IF(H1106=1,IF(H1104=H$2,H1104,""),"")</f>
        <v/>
      </c>
      <c r="G1105" s="24"/>
      <c r="H1105" s="19">
        <f>IF(E1122="comprobar",COUNTIF(D1104:D1108,"x"),"")</f>
        <v>0</v>
      </c>
    </row>
    <row r="1106" spans="2:8" x14ac:dyDescent="0.25">
      <c r="B1106" s="76" t="s">
        <v>15</v>
      </c>
      <c r="C1106" s="108"/>
      <c r="D1106" s="141"/>
      <c r="E1106" s="144" t="s">
        <v>11</v>
      </c>
      <c r="F1106" s="21" t="str">
        <f t="shared" ref="F1106" si="216">IF(H1106=-0.33,IF(H1104=H$1,H1104,""),"")</f>
        <v/>
      </c>
      <c r="G1106" s="24"/>
      <c r="H1106" s="22">
        <f t="shared" si="200"/>
        <v>0</v>
      </c>
    </row>
    <row r="1107" spans="2:8" x14ac:dyDescent="0.25">
      <c r="B1107" s="76" t="s">
        <v>15</v>
      </c>
      <c r="C1107" s="108"/>
      <c r="D1107" s="141"/>
      <c r="E1107" s="144" t="s">
        <v>12</v>
      </c>
      <c r="F1107" s="18"/>
      <c r="G1107" s="24"/>
      <c r="H1107" s="22"/>
    </row>
    <row r="1108" spans="2:8" x14ac:dyDescent="0.25">
      <c r="B1108" s="101"/>
      <c r="C1108" s="16"/>
      <c r="D1108" s="141"/>
      <c r="E1108" s="144" t="s">
        <v>13</v>
      </c>
      <c r="F1108" s="18"/>
      <c r="G1108" s="17"/>
      <c r="H1108" s="22"/>
    </row>
    <row r="1109" spans="2:8" x14ac:dyDescent="0.25">
      <c r="B1109" s="122" t="s">
        <v>403</v>
      </c>
      <c r="C1109" s="124"/>
      <c r="D1109" s="142"/>
      <c r="E1109" s="12"/>
      <c r="F1109" s="14"/>
      <c r="G1109" s="26"/>
      <c r="H1109" s="13"/>
    </row>
    <row r="1110" spans="2:8" x14ac:dyDescent="0.25">
      <c r="B1110" s="76" t="s">
        <v>15</v>
      </c>
      <c r="C1110" s="108"/>
      <c r="D1110" s="141"/>
      <c r="E1110" s="144" t="s">
        <v>9</v>
      </c>
      <c r="F1110" s="18"/>
      <c r="G1110" s="24"/>
      <c r="H1110" s="19" t="b">
        <f>IF(D1111="x",H$2,H$1)</f>
        <v>0</v>
      </c>
    </row>
    <row r="1111" spans="2:8" x14ac:dyDescent="0.25">
      <c r="B1111" s="76" t="s">
        <v>15</v>
      </c>
      <c r="C1111" s="108"/>
      <c r="D1111" s="141"/>
      <c r="E1111" s="144" t="s">
        <v>10</v>
      </c>
      <c r="F1111" s="20" t="str">
        <f t="shared" ref="F1111" si="217">IF(H1112=1,IF(H1110=H$2,H1110,""),"")</f>
        <v/>
      </c>
      <c r="G1111" s="24"/>
      <c r="H1111" s="19">
        <f>IF(E1122="comprobar",COUNTIF(D1110:D1114,"x"),"")</f>
        <v>0</v>
      </c>
    </row>
    <row r="1112" spans="2:8" x14ac:dyDescent="0.25">
      <c r="B1112" s="76" t="s">
        <v>15</v>
      </c>
      <c r="C1112" s="108"/>
      <c r="D1112" s="141"/>
      <c r="E1112" s="144" t="s">
        <v>11</v>
      </c>
      <c r="F1112" s="21" t="str">
        <f t="shared" ref="F1112" si="218">IF(H1112=-0.33,IF(H1110=H$1,H1110,""),"")</f>
        <v/>
      </c>
      <c r="G1112" s="24"/>
      <c r="H1112" s="22">
        <f t="shared" si="200"/>
        <v>0</v>
      </c>
    </row>
    <row r="1113" spans="2:8" x14ac:dyDescent="0.25">
      <c r="B1113" s="76" t="s">
        <v>15</v>
      </c>
      <c r="C1113" s="108"/>
      <c r="D1113" s="141"/>
      <c r="E1113" s="144" t="s">
        <v>12</v>
      </c>
      <c r="F1113" s="18"/>
      <c r="G1113" s="24"/>
      <c r="H1113" s="22"/>
    </row>
    <row r="1114" spans="2:8" x14ac:dyDescent="0.25">
      <c r="B1114" s="101"/>
      <c r="C1114" s="16"/>
      <c r="D1114" s="141"/>
      <c r="E1114" s="144" t="s">
        <v>13</v>
      </c>
      <c r="F1114" s="18"/>
      <c r="G1114" s="17"/>
      <c r="H1114" s="22"/>
    </row>
    <row r="1115" spans="2:8" x14ac:dyDescent="0.25">
      <c r="B1115" s="122" t="s">
        <v>404</v>
      </c>
      <c r="C1115" s="124"/>
      <c r="D1115" s="142"/>
      <c r="E1115" s="12"/>
      <c r="F1115" s="14"/>
      <c r="G1115" s="26"/>
      <c r="H1115" s="13"/>
    </row>
    <row r="1116" spans="2:8" x14ac:dyDescent="0.25">
      <c r="B1116" s="76" t="s">
        <v>15</v>
      </c>
      <c r="C1116" s="108"/>
      <c r="D1116" s="141"/>
      <c r="E1116" s="144" t="s">
        <v>9</v>
      </c>
      <c r="F1116" s="18"/>
      <c r="G1116" s="24"/>
      <c r="H1116" s="19" t="b">
        <f>IF(D1118="x",H$2,H$1)</f>
        <v>0</v>
      </c>
    </row>
    <row r="1117" spans="2:8" x14ac:dyDescent="0.25">
      <c r="B1117" s="76" t="s">
        <v>15</v>
      </c>
      <c r="C1117" s="108"/>
      <c r="D1117" s="141"/>
      <c r="E1117" s="144" t="s">
        <v>10</v>
      </c>
      <c r="F1117" s="20" t="str">
        <f t="shared" ref="F1117" si="219">IF(H1118=1,IF(H1116=H$2,H1116,""),"")</f>
        <v/>
      </c>
      <c r="G1117" s="24"/>
      <c r="H1117" s="19">
        <f>IF(E1122="comprobar",COUNTIF(D1116:D1120,"x"),"")</f>
        <v>0</v>
      </c>
    </row>
    <row r="1118" spans="2:8" x14ac:dyDescent="0.25">
      <c r="B1118" s="76" t="s">
        <v>15</v>
      </c>
      <c r="C1118" s="108"/>
      <c r="D1118" s="141"/>
      <c r="E1118" s="144" t="s">
        <v>11</v>
      </c>
      <c r="F1118" s="21" t="str">
        <f t="shared" ref="F1118" si="220">IF(H1118=-0.33,IF(H1116=H$1,H1116,""),"")</f>
        <v/>
      </c>
      <c r="G1118" s="24"/>
      <c r="H1118" s="22">
        <f t="shared" si="200"/>
        <v>0</v>
      </c>
    </row>
    <row r="1119" spans="2:8" x14ac:dyDescent="0.25">
      <c r="B1119" s="76" t="s">
        <v>15</v>
      </c>
      <c r="C1119" s="108"/>
      <c r="D1119" s="141"/>
      <c r="E1119" s="144" t="s">
        <v>12</v>
      </c>
      <c r="F1119" s="18"/>
      <c r="G1119" s="24"/>
      <c r="H1119" s="22"/>
    </row>
    <row r="1120" spans="2:8" x14ac:dyDescent="0.25">
      <c r="B1120" s="101"/>
      <c r="C1120" s="16" t="s">
        <v>538</v>
      </c>
      <c r="D1120" s="141"/>
      <c r="E1120" s="144" t="s">
        <v>13</v>
      </c>
      <c r="F1120" s="18"/>
      <c r="G1120" s="17"/>
      <c r="H1120" s="22"/>
    </row>
    <row r="1121" spans="2:8" x14ac:dyDescent="0.25">
      <c r="B1121" s="42"/>
      <c r="C1121" s="5"/>
      <c r="D1121" s="5"/>
      <c r="E1121" s="5"/>
      <c r="F1121" s="18"/>
    </row>
    <row r="1122" spans="2:8" x14ac:dyDescent="0.25">
      <c r="B1122" s="101"/>
      <c r="C1122" s="16"/>
      <c r="D1122" s="48"/>
      <c r="E1122" s="54" t="s">
        <v>572</v>
      </c>
      <c r="F1122" s="18"/>
      <c r="G1122" s="17"/>
      <c r="H1122" s="22"/>
    </row>
    <row r="1123" spans="2:8" x14ac:dyDescent="0.25">
      <c r="B1123" s="42"/>
      <c r="C1123" s="8"/>
      <c r="D1123" s="48"/>
      <c r="E1123" s="59"/>
      <c r="F1123" s="28" t="s">
        <v>8</v>
      </c>
      <c r="G1123" s="17" t="s">
        <v>6</v>
      </c>
      <c r="H1123" s="17" t="s">
        <v>7</v>
      </c>
    </row>
    <row r="1124" spans="2:8" ht="19.5" x14ac:dyDescent="0.25">
      <c r="B1124" s="42"/>
      <c r="C1124" s="8"/>
      <c r="D1124" s="148"/>
      <c r="E1124" s="148"/>
      <c r="F1124" s="29">
        <f>IF(E1122="comprobar",H1118+H864+H870+H876+H882+H888+H894++H900+H906+H913+H920+H926+H932+H938++H944+H950+H956+H962+H968+H974+H980+H986+H1112+H1106+H1100+H1094+H1088+H1082+H1076+H1070+H1064+H1058+H1052+H1046+H1040+H1034+H1028+H1022+H1016+H1010++H992+H998+H1004,"")</f>
        <v>0.66999999999999993</v>
      </c>
      <c r="G1124" s="17">
        <f>10/2</f>
        <v>5</v>
      </c>
      <c r="H1124" s="17"/>
    </row>
    <row r="1125" spans="2:8" ht="16.5" thickBot="1" x14ac:dyDescent="0.3">
      <c r="B1125" s="65"/>
      <c r="C1125" s="66"/>
      <c r="D1125" s="31"/>
      <c r="E1125" s="9"/>
      <c r="F1125" s="32" t="str">
        <f>IF(F1124&gt;G1124,G1123,H1123)</f>
        <v>SUSPENDIDO</v>
      </c>
      <c r="G1125" s="17"/>
      <c r="H1125" s="17"/>
    </row>
  </sheetData>
  <mergeCells count="7">
    <mergeCell ref="D1124:E1124"/>
    <mergeCell ref="D531:E531"/>
    <mergeCell ref="D858:E858"/>
    <mergeCell ref="C136:F136"/>
    <mergeCell ref="C6:F6"/>
    <mergeCell ref="D69:E69"/>
    <mergeCell ref="C71:F71"/>
  </mergeCells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262</xdr:row>
                    <xdr:rowOff>190500</xdr:rowOff>
                  </from>
                  <to>
                    <xdr:col>2</xdr:col>
                    <xdr:colOff>9801225</xdr:colOff>
                    <xdr:row>264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330</xdr:row>
                    <xdr:rowOff>47625</xdr:rowOff>
                  </from>
                  <to>
                    <xdr:col>2</xdr:col>
                    <xdr:colOff>9991725</xdr:colOff>
                    <xdr:row>331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398</xdr:row>
                    <xdr:rowOff>0</xdr:rowOff>
                  </from>
                  <to>
                    <xdr:col>2</xdr:col>
                    <xdr:colOff>9820275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462</xdr:row>
                    <xdr:rowOff>190500</xdr:rowOff>
                  </from>
                  <to>
                    <xdr:col>2</xdr:col>
                    <xdr:colOff>9791700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462</xdr:row>
                    <xdr:rowOff>200025</xdr:rowOff>
                  </from>
                  <to>
                    <xdr:col>2</xdr:col>
                    <xdr:colOff>9096375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398</xdr:row>
                    <xdr:rowOff>9525</xdr:rowOff>
                  </from>
                  <to>
                    <xdr:col>2</xdr:col>
                    <xdr:colOff>9096375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330</xdr:row>
                    <xdr:rowOff>66675</xdr:rowOff>
                  </from>
                  <to>
                    <xdr:col>2</xdr:col>
                    <xdr:colOff>9296400</xdr:colOff>
                    <xdr:row>331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262</xdr:row>
                    <xdr:rowOff>190500</xdr:rowOff>
                  </from>
                  <to>
                    <xdr:col>2</xdr:col>
                    <xdr:colOff>9096375</xdr:colOff>
                    <xdr:row>264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529</xdr:row>
                    <xdr:rowOff>76200</xdr:rowOff>
                  </from>
                  <to>
                    <xdr:col>2</xdr:col>
                    <xdr:colOff>10563225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529</xdr:row>
                    <xdr:rowOff>76200</xdr:rowOff>
                  </from>
                  <to>
                    <xdr:col>2</xdr:col>
                    <xdr:colOff>9877425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0" name="Button 2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1" name="Button 26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2" name="Button 27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3" name="Button 2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24" name="Button 2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25" name="Button 3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26" name="Button 31">
              <controlPr defaultSize="0" autoFill="0" autoPict="0" macro="[0]!PEC1_BORRAR" altText="Borrar">
                <anchor moveWithCells="1" sizeWithCells="1">
                  <from>
                    <xdr:col>2</xdr:col>
                    <xdr:colOff>9953625</xdr:colOff>
                    <xdr:row>856</xdr:row>
                    <xdr:rowOff>76200</xdr:rowOff>
                  </from>
                  <to>
                    <xdr:col>2</xdr:col>
                    <xdr:colOff>10563225</xdr:colOff>
                    <xdr:row>857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27" name="Button 32">
              <controlPr defaultSize="0" autoFill="0" autoPict="0" macro="[0]!PEC1_COMPRO">
                <anchor moveWithCells="1" sizeWithCells="1">
                  <from>
                    <xdr:col>2</xdr:col>
                    <xdr:colOff>8572500</xdr:colOff>
                    <xdr:row>856</xdr:row>
                    <xdr:rowOff>76200</xdr:rowOff>
                  </from>
                  <to>
                    <xdr:col>2</xdr:col>
                    <xdr:colOff>9877425</xdr:colOff>
                    <xdr:row>857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8" name="Button 33">
              <controlPr defaultSize="0" autoFill="0" autoPict="0" macro="[0]!PEC3Ubi_BORRAR" altText="Borrar">
                <anchor moveWithCells="1" sizeWithCells="1">
                  <from>
                    <xdr:col>2</xdr:col>
                    <xdr:colOff>9953625</xdr:colOff>
                    <xdr:row>1122</xdr:row>
                    <xdr:rowOff>76200</xdr:rowOff>
                  </from>
                  <to>
                    <xdr:col>2</xdr:col>
                    <xdr:colOff>10563225</xdr:colOff>
                    <xdr:row>1123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9" name="Button 34">
              <controlPr defaultSize="0" autoFill="0" autoPict="0" macro="[0]!PEC3Ubi_COMPRO">
                <anchor moveWithCells="1" sizeWithCells="1">
                  <from>
                    <xdr:col>2</xdr:col>
                    <xdr:colOff>8572500</xdr:colOff>
                    <xdr:row>1122</xdr:row>
                    <xdr:rowOff>76200</xdr:rowOff>
                  </from>
                  <to>
                    <xdr:col>2</xdr:col>
                    <xdr:colOff>9877425</xdr:colOff>
                    <xdr:row>1123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Seguridad</vt:lpstr>
      <vt:lpstr>Seguridad!Área_de_impresión</vt:lpstr>
      <vt:lpstr>Seguridad!OLE_LINK2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Ubaldo Hidalgo Arriaga</cp:lastModifiedBy>
  <cp:revision/>
  <dcterms:created xsi:type="dcterms:W3CDTF">2016-11-17T08:46:58Z</dcterms:created>
  <dcterms:modified xsi:type="dcterms:W3CDTF">2018-05-17T09:48:36Z</dcterms:modified>
  <cp:category/>
  <cp:contentStatus/>
</cp:coreProperties>
</file>