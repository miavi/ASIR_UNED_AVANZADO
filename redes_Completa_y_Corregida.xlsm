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93F43CB8-5E82-4BA6-9F0D-D74EA421A11E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5" i="6" l="1"/>
  <c r="H837" i="6"/>
  <c r="H843" i="6"/>
  <c r="H831" i="6"/>
  <c r="H825" i="6"/>
  <c r="H819" i="6"/>
  <c r="H807" i="6"/>
  <c r="H801" i="6"/>
  <c r="H795" i="6"/>
  <c r="H844" i="6"/>
  <c r="H845" i="6"/>
  <c r="H790" i="6"/>
  <c r="H789" i="6"/>
  <c r="H791" i="6"/>
  <c r="H796" i="6"/>
  <c r="H797" i="6"/>
  <c r="H802" i="6"/>
  <c r="H803" i="6"/>
  <c r="H808" i="6"/>
  <c r="H809" i="6"/>
  <c r="H814" i="6"/>
  <c r="H813" i="6"/>
  <c r="H815" i="6"/>
  <c r="H820" i="6"/>
  <c r="H821" i="6"/>
  <c r="H826" i="6"/>
  <c r="H827" i="6"/>
  <c r="H832" i="6"/>
  <c r="H833" i="6"/>
  <c r="H838" i="6"/>
  <c r="H839" i="6"/>
  <c r="F850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3" i="6"/>
  <c r="F272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<sst xmlns="http://schemas.openxmlformats.org/spreadsheetml/2006/main" count="2143" uniqueCount="612">
  <si>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</si>
  <si>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</si>
  <si>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</si>
  <si>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</si>
  <si>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</si>
  <si>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</si>
  <si>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</si>
  <si>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</si>
  <si>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</si>
  <si>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</si>
  <si>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</si>
  <si>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</si>
  <si>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</si>
  <si>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</si>
  <si>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</si>
  <si>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</si>
  <si>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</si>
  <si>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</si>
  <si>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</si>
  <si>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</si>
  <si>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</si>
  <si>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</si>
  <si>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</si>
  <si>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</si>
  <si>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</si>
  <si>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</si>
  <si>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</si>
  <si>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</si>
  <si>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</si>
  <si>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</si>
  <si>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</si>
  <si>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</si>
  <si>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</si>
  <si>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</si>
  <si>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</si>
  <si>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</si>
  <si>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</si>
  <si>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</si>
  <si>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</si>
  <si>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</si>
  <si>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</si>
  <si>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</si>
  <si>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</si>
  <si>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</si>
  <si>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</si>
  <si>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</si>
  <si>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</si>
  <si>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</si>
  <si>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</si>
  <si>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</si>
  <si>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</si>
  <si>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</si>
  <si>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</si>
  <si>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</si>
  <si>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</si>
  <si>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</si>
  <si>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</si>
  <si>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</si>
  <si>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</si>
  <si>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</si>
  <si>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</si>
  <si>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</si>
  <si>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</si>
  <si>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</si>
  <si>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</si>
  <si>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</si>
  <si>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</si>
  <si>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</si>
  <si>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</si>
  <si>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</si>
  <si>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</si>
  <si>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</si>
  <si>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</si>
  <si>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</si>
  <si>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</si>
  <si>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</si>
  <si>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</si>
  <si>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</si>
  <si>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</si>
  <si>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</si>
  <si>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</si>
  <si>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</si>
  <si>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</si>
  <si>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</si>
  <si>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</si>
  <si>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</si>
  <si>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</si>
  <si>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Su usa para establecer un orden de transmisión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</si>
  <si>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</si>
  <si>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</si>
  <si>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</si>
  <si>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</si>
  <si>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</si>
  <si>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</si>
  <si>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</si>
  <si>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</si>
  <si>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</si>
  <si>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</si>
  <si>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</si>
  <si>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</si>
  <si>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</si>
  <si>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</si>
  <si>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</si>
  <si>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</si>
  <si>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</si>
  <si>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</si>
  <si>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</si>
  <si>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La red Internet;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</si>
  <si>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</si>
  <si>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</si>
  <si>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</si>
  <si>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</si>
  <si>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</si>
  <si>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</si>
  <si>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</si>
  <si>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</si>
  <si>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</si>
  <si>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</si>
  <si>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</si>
  <si>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</si>
  <si>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</si>
  <si>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</si>
  <si>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</si>
  <si>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</si>
  <si>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</si>
  <si>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</si>
  <si>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</si>
  <si>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</si>
  <si>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</si>
  <si>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</si>
  <si>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</si>
  <si>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</si>
  <si>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</si>
  <si>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</si>
  <si>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</si>
  <si>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</si>
  <si>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</si>
  <si>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</si>
  <si>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</si>
  <si>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</si>
  <si>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</si>
  <si>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</si>
  <si>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</si>
  <si>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</si>
  <si>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</si>
  <si>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</si>
  <si>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</si>
  <si>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</si>
  <si>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</si>
  <si>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</si>
  <si>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</si>
  <si>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</si>
  <si>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</si>
  <si>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</si>
  <si>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</si>
  <si>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</si>
  <si>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</si>
  <si>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</si>
  <si>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</si>
  <si>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</si>
  <si>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</si>
  <si>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</si>
  <si>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</si>
  <si>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</si>
  <si>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</si>
  <si>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</si>
  <si>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</si>
  <si>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</si>
  <si>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</si>
  <si>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</si>
  <si>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</si>
  <si>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</si>
  <si>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</si>
  <si>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</si>
  <si>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</si>
  <si>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</si>
  <si>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</si>
  <si>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</si>
  <si>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</si>
  <si>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</si>
  <si>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</si>
  <si>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</si>
  <si>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</si>
  <si>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</si>
  <si>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</si>
  <si>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</si>
  <si>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</si>
  <si>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</si>
  <si>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</si>
  <si>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</si>
  <si>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</si>
  <si>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</si>
  <si>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</si>
  <si>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</si>
  <si>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</si>
  <si>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</si>
  <si>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</si>
  <si>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</si>
  <si>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</si>
  <si>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</si>
  <si>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</si>
  <si>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</si>
  <si>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</si>
  <si>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</si>
  <si>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</si>
  <si>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</si>
  <si>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</si>
  <si>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</si>
  <si>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</si>
  <si>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</si>
  <si>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</si>
  <si>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</si>
  <si>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</si>
  <si>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</si>
  <si>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</si>
  <si>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</si>
  <si>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</si>
  <si>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</si>
  <si>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</si>
  <si>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</si>
  <si>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</si>
  <si>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</si>
  <si>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</si>
  <si>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</si>
  <si>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</si>
  <si>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</si>
  <si>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</si>
  <si>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</si>
  <si>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</si>
  <si>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</si>
  <si>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</si>
  <si>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</si>
  <si>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</si>
  <si>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</si>
  <si>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</si>
  <si>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</si>
  <si>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</si>
  <si>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</si>
  <si>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</si>
  <si>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</si>
  <si>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</si>
  <si>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</si>
  <si>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</si>
  <si>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</si>
  <si>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</si>
  <si>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</si>
  <si>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</si>
  <si>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</si>
  <si>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</si>
  <si>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</si>
  <si>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</si>
  <si>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</si>
  <si>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</si>
  <si>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</si>
  <si>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</si>
  <si>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</si>
  <si>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Cuál de las siguientes máscara NO es correcta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</si>
  <si>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</si>
  <si>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</si>
  <si>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</si>
  <si>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</si>
  <si>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</si>
  <si>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</si>
  <si>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</si>
  <si>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</si>
  <si>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</si>
  <si>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</si>
  <si>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</si>
  <si>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</si>
  <si>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</si>
  <si>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</si>
  <si>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</si>
  <si>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</si>
  <si>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</si>
  <si>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</si>
  <si>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Si nos piden crear 75 subredes en una red de clase B, cuántos bits tendremos que coger “prestados” de la máscara de red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</si>
  <si>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</si>
  <si>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</si>
  <si>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</si>
  <si>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</si>
  <si>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</si>
  <si>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</si>
  <si>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</si>
  <si>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</si>
  <si>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</si>
  <si>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</si>
  <si>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</si>
  <si>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</si>
  <si>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</si>
  <si>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</si>
  <si>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</si>
  <si>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</si>
  <si>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</si>
  <si>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</si>
  <si>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</si>
  <si>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</si>
  <si>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</si>
  <si>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</si>
  <si>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</si>
  <si>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</si>
  <si>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</si>
  <si>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</si>
  <si>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</si>
  <si>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</si>
  <si>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</si>
  <si>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</si>
  <si>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</si>
  <si>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</si>
  <si>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</si>
  <si>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</si>
  <si>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</si>
  <si>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</si>
  <si>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</si>
  <si>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</si>
  <si>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</si>
  <si>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</si>
  <si>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</si>
  <si>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</si>
  <si>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</si>
  <si>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</si>
  <si>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</si>
  <si>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</si>
  <si>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</si>
  <si>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</si>
  <si>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</si>
  <si>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</si>
  <si>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</si>
  <si>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</si>
  <si>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</si>
  <si>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</si>
  <si>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</si>
  <si>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</si>
  <si>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</si>
  <si>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d.-A y B son correctas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</si>
  <si>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</si>
  <si>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</si>
  <si>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</si>
  <si>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</si>
  <si>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</si>
  <si>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</si>
  <si>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</si>
  <si>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</si>
  <si>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</si>
  <si>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</si>
  <si>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</si>
  <si>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</si>
  <si>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</si>
  <si>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</si>
  <si>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</si>
  <si>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</si>
  <si>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</si>
  <si>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</si>
  <si>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</si>
  <si>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</si>
  <si>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</si>
  <si>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</si>
  <si>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</si>
  <si>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</si>
  <si>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</si>
  <si>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</si>
  <si>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</si>
  <si>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</si>
  <si>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</si>
  <si>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</si>
  <si>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</si>
  <si>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</si>
  <si>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</si>
  <si>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</si>
  <si>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</si>
  <si>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</si>
  <si>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</si>
  <si>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</si>
  <si>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</si>
  <si>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</si>
  <si>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</si>
  <si>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</si>
  <si>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</si>
  <si>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</si>
  <si>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</si>
  <si>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</si>
  <si>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</si>
  <si>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</si>
  <si>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</si>
  <si>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</si>
  <si>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</si>
  <si>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</si>
  <si>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</si>
  <si>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</si>
  <si>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</si>
  <si>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</si>
  <si>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</si>
  <si>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</si>
  <si>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</si>
  <si>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</si>
  <si>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</si>
  <si>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</si>
  <si>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</si>
  <si>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</si>
  <si>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</si>
  <si>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</si>
  <si>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</si>
  <si>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</si>
  <si>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</si>
  <si>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</si>
  <si>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</si>
  <si>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</si>
  <si>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</si>
  <si>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</si>
  <si>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</si>
  <si>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</si>
  <si>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</si>
  <si>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</si>
  <si>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</si>
  <si>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</si>
  <si>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</si>
  <si>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</si>
  <si>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</si>
  <si>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</si>
  <si>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</si>
  <si>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</si>
  <si>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</si>
  <si>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</si>
  <si>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</si>
  <si>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</si>
  <si>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</si>
  <si>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</si>
  <si>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</si>
  <si>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</si>
  <si>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</si>
  <si>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</si>
  <si>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</si>
  <si>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</si>
  <si>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</si>
  <si>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</si>
  <si>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</si>
  <si>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</si>
  <si>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</si>
  <si>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</si>
  <si>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</si>
  <si>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</si>
  <si>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</si>
  <si>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</si>
  <si>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</si>
  <si>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</si>
  <si>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</si>
  <si>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</si>
  <si>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</si>
  <si>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r>
      <t>El comando “</t>
    </r>
    <r>
      <rPr>
        <i/>
        <sz val="11"/>
        <color theme="1"/>
        <rFont val="Calibri"/>
        <family val="2"/>
        <scheme val="minor"/>
      </rPr>
      <t xml:space="preserve">Access-list 2 permit 181.16.0.0 0.0.3.255” </t>
    </r>
    <r>
      <rPr>
        <sz val="12"/>
        <color theme="1"/>
        <rFont val="Calibri"/>
        <family val="2"/>
        <scheme val="minor"/>
      </rPr>
      <t>se usa para:</t>
    </r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</si>
  <si>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</si>
  <si>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</si>
  <si>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</si>
  <si>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</si>
  <si>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</si>
  <si>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</si>
  <si>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</si>
  <si>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</si>
  <si>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</si>
  <si>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</si>
  <si>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</si>
  <si>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</si>
  <si>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</si>
  <si>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</si>
  <si>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</si>
  <si>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</si>
  <si>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</si>
  <si>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</si>
  <si>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</si>
  <si>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</si>
  <si>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</si>
  <si>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</si>
  <si>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</si>
  <si>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</si>
  <si>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</si>
  <si>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</si>
  <si>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</si>
  <si>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</si>
  <si>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</si>
  <si>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</si>
  <si>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mayor proporcionada es;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</si>
  <si>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</si>
  <si>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</si>
  <si>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</si>
  <si>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</si>
  <si>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</si>
  <si>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</si>
  <si>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</si>
  <si>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</si>
  <si>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</si>
  <si>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</si>
  <si>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</si>
  <si>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</si>
  <si>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</si>
  <si>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</si>
  <si>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</si>
  <si>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</si>
  <si>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</si>
  <si>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</si>
  <si>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</si>
  <si>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</si>
  <si>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</si>
  <si>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</si>
  <si>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</si>
  <si>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</si>
  <si>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</si>
  <si>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</si>
  <si>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</si>
  <si>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</si>
  <si>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</si>
  <si>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</si>
  <si>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</si>
  <si>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</si>
  <si>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</si>
  <si>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</si>
  <si>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</si>
  <si>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</si>
  <si>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</si>
  <si>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</si>
  <si>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</si>
  <si>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</si>
  <si>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</si>
  <si>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</si>
  <si>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a.-ip nat inside source static</t>
  </si>
  <si>
    <t>b.-ip nat outside source static</t>
  </si>
  <si>
    <t>c.-ip nat inside source list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</si>
  <si>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</si>
  <si>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</si>
  <si>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</si>
  <si>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</si>
  <si>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</si>
  <si>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</si>
  <si>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</si>
  <si>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</si>
  <si>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</si>
  <si>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</si>
  <si>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</si>
  <si>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</si>
  <si>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</si>
  <si>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</si>
  <si>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</si>
  <si>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</si>
  <si>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</si>
  <si>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</si>
  <si>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</si>
  <si>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</si>
  <si>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</si>
  <si>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</si>
  <si>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</si>
  <si>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</si>
  <si>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</si>
  <si>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</si>
  <si>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</si>
  <si>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</si>
  <si>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</si>
  <si>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</si>
  <si>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</si>
  <si>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</si>
  <si>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</si>
  <si>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</si>
  <si>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</si>
  <si>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</si>
  <si>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</si>
  <si>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</si>
  <si>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</si>
  <si>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</si>
  <si>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</si>
  <si>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</si>
  <si>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</si>
  <si>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</si>
  <si>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</si>
  <si>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</si>
  <si>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</si>
  <si>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</si>
  <si>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</si>
  <si>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</si>
  <si>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</si>
  <si>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</si>
  <si>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</si>
  <si>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</si>
  <si>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</si>
  <si>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</si>
  <si>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comprobar</t>
  </si>
  <si>
    <t>x</t>
  </si>
  <si>
    <r>
      <t xml:space="preserve">Un estándar de </t>
    </r>
    <r>
      <rPr>
        <b/>
        <sz val="11"/>
        <color rgb="FFFF0000"/>
        <rFont val="Calibri"/>
        <family val="2"/>
        <scheme val="minor"/>
      </rPr>
      <t>facto</t>
    </r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</si>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</sst>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5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="60" zoomScaleNormal="60" zoomScalePageLayoutView="115" workbookViewId="0">
      <pane xSplit="1" ySplit="5" topLeftCell="B818" activePane="bottomRight" state="frozen"/>
      <selection pane="topRight" activeCell="B1" sqref="B1"/>
      <selection pane="bottomLeft" activeCell="A6" sqref="A6"/>
      <selection pane="bottomRight" activeCell="C837" sqref="C837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0" t="s">
        <v>0</v>
      </c>
      <c r="D6" s="130"/>
      <c r="E6" s="130"/>
      <c r="F6" s="131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4" t="s">
        <v>18</v>
      </c>
      <c r="C7" s="86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5" t="s">
        <v>15</v>
      </c>
      <c r="C8" s="122" t="s">
        <v>35</v>
      </c>
      <c r="D8" s="38"/>
      <c r="E8" s="53" t="s">
        <v>9</v>
      </c>
      <c r="F8" s="25"/>
      <c r="G8" s="17"/>
      <c r="H8" s="19" t="str">
        <f>IF(D9="x",H$2,H$1)</f>
        <v>CORRECTO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5" t="s">
        <v>15</v>
      </c>
      <c r="C9" s="122" t="s">
        <v>36</v>
      </c>
      <c r="D9" s="38" t="s">
        <v>581</v>
      </c>
      <c r="E9" s="53" t="s">
        <v>10</v>
      </c>
      <c r="F9" s="20" t="str">
        <f>IF(H10=1,IF(H8=H$2,H8,""),"")</f>
        <v>CORRECTO</v>
      </c>
      <c r="G9" s="17"/>
      <c r="H9" s="19">
        <f>IF(E67="comprobar",COUNTIF(D8:D12,"x"),"")</f>
        <v>1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5" t="s">
        <v>15</v>
      </c>
      <c r="C10" s="122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5" t="s">
        <v>15</v>
      </c>
      <c r="C11" s="122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5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4" t="s">
        <v>17</v>
      </c>
      <c r="C13" s="86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5" t="s">
        <v>15</v>
      </c>
      <c r="C14" s="122" t="s">
        <v>40</v>
      </c>
      <c r="D14" s="38"/>
      <c r="E14" s="53" t="s">
        <v>9</v>
      </c>
      <c r="F14" s="25"/>
      <c r="G14" s="17"/>
      <c r="H14" s="19" t="str">
        <f>IF(D17="x",H$2,H$1)</f>
        <v>CORRECTO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5" t="s">
        <v>15</v>
      </c>
      <c r="C15" s="122" t="s">
        <v>41</v>
      </c>
      <c r="D15" s="38"/>
      <c r="E15" s="53" t="s">
        <v>10</v>
      </c>
      <c r="F15" s="20" t="str">
        <f>IF(H16=1,IF(H14=H$2,H14,""),"")</f>
        <v>CORRECTO</v>
      </c>
      <c r="G15" s="17"/>
      <c r="H15" s="19">
        <f>IF(E$67="comprobar",COUNTIF(D14:D18,"x"),"")</f>
        <v>1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5" t="s">
        <v>15</v>
      </c>
      <c r="C16" s="122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1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5" t="s">
        <v>15</v>
      </c>
      <c r="C17" s="122" t="s">
        <v>43</v>
      </c>
      <c r="D17" s="38" t="s">
        <v>581</v>
      </c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5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4" t="s">
        <v>19</v>
      </c>
      <c r="C19" s="86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5" t="s">
        <v>15</v>
      </c>
      <c r="C20" s="122" t="s">
        <v>45</v>
      </c>
      <c r="D20" s="38"/>
      <c r="E20" s="53" t="s">
        <v>9</v>
      </c>
      <c r="F20" s="25"/>
      <c r="G20" s="17"/>
      <c r="H20" s="19" t="str">
        <f>IF(D22="x",H$2,H$1)</f>
        <v>CORRECTO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5" t="s">
        <v>15</v>
      </c>
      <c r="C21" s="122" t="s">
        <v>46</v>
      </c>
      <c r="D21" s="38"/>
      <c r="E21" s="53" t="s">
        <v>10</v>
      </c>
      <c r="F21" s="20" t="str">
        <f>IF(H22=1,IF(H20=H$2,H20,""),"")</f>
        <v>CORRECTO</v>
      </c>
      <c r="G21" s="17"/>
      <c r="H21" s="19">
        <f>IF(E$67="comprobar",COUNTIF(D20:D24,"x"),"")</f>
        <v>1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5" t="s">
        <v>15</v>
      </c>
      <c r="C22" s="122" t="s">
        <v>47</v>
      </c>
      <c r="D22" s="38" t="s">
        <v>581</v>
      </c>
      <c r="E22" s="53" t="s">
        <v>11</v>
      </c>
      <c r="F22" s="21" t="str">
        <f>IF(H22=-0.33,IF(H20=H$1,H20,""),"")</f>
        <v/>
      </c>
      <c r="G22" s="17"/>
      <c r="H22" s="22">
        <f>IF(H21=1,IF(H20=H$2,1,-0.33),0)</f>
        <v>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5" t="s">
        <v>15</v>
      </c>
      <c r="C23" s="122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5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4" t="s">
        <v>20</v>
      </c>
      <c r="C25" s="86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5" t="s">
        <v>15</v>
      </c>
      <c r="C26" s="122" t="s">
        <v>50</v>
      </c>
      <c r="D26" s="38"/>
      <c r="E26" s="53" t="s">
        <v>9</v>
      </c>
      <c r="F26" s="25"/>
      <c r="G26" s="17"/>
      <c r="H26" s="19" t="str">
        <f>IF(D27="x",H$2,H$1)</f>
        <v>CORRECTO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5" t="s">
        <v>15</v>
      </c>
      <c r="C27" s="122" t="s">
        <v>51</v>
      </c>
      <c r="D27" s="38" t="s">
        <v>581</v>
      </c>
      <c r="E27" s="53" t="s">
        <v>10</v>
      </c>
      <c r="F27" s="20" t="str">
        <f>IF(H28=1,IF(H26=H$2,H26,""),"")</f>
        <v>CORRECTO</v>
      </c>
      <c r="G27" s="17"/>
      <c r="H27" s="19">
        <f>IF(E$67="comprobar",COUNTIF(D26:D30,"x"),"")</f>
        <v>1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5" t="s">
        <v>15</v>
      </c>
      <c r="C28" s="122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1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5" t="s">
        <v>15</v>
      </c>
      <c r="C29" s="122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5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4" t="s">
        <v>21</v>
      </c>
      <c r="C31" s="86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5" t="s">
        <v>15</v>
      </c>
      <c r="C32" s="122" t="s">
        <v>54</v>
      </c>
      <c r="D32" s="38"/>
      <c r="E32" s="53" t="s">
        <v>9</v>
      </c>
      <c r="F32" s="25"/>
      <c r="G32" s="17"/>
      <c r="H32" s="19" t="str">
        <f>IF(D35="x",H$2,H$1)</f>
        <v>CORRECTO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5" t="s">
        <v>15</v>
      </c>
      <c r="C33" s="122" t="s">
        <v>55</v>
      </c>
      <c r="D33" s="38"/>
      <c r="E33" s="53" t="s">
        <v>10</v>
      </c>
      <c r="F33" s="20" t="str">
        <f>IF(H34=1,IF(H32=H$2,H32,""),"")</f>
        <v>CORRECTO</v>
      </c>
      <c r="G33" s="17"/>
      <c r="H33" s="19">
        <f>IF(E$67="comprobar",COUNTIF(D32:D36,"x"),"")</f>
        <v>1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5" t="s">
        <v>15</v>
      </c>
      <c r="C34" s="122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1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5" t="s">
        <v>15</v>
      </c>
      <c r="C35" s="122" t="s">
        <v>57</v>
      </c>
      <c r="D35" s="38" t="s">
        <v>581</v>
      </c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5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4" t="s">
        <v>22</v>
      </c>
      <c r="C37" s="86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5" t="s">
        <v>15</v>
      </c>
      <c r="C38" s="122" t="s">
        <v>59</v>
      </c>
      <c r="D38" s="38" t="s">
        <v>581</v>
      </c>
      <c r="E38" s="53" t="s">
        <v>9</v>
      </c>
      <c r="F38" s="25"/>
      <c r="G38" s="17"/>
      <c r="H38" s="19" t="str">
        <f>IF(D38="x",H$2,H$1)</f>
        <v>CORRECTO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5" t="s">
        <v>15</v>
      </c>
      <c r="C39" s="122" t="s">
        <v>60</v>
      </c>
      <c r="D39" s="38"/>
      <c r="E39" s="53" t="s">
        <v>10</v>
      </c>
      <c r="F39" s="20" t="str">
        <f>IF(H40=1,IF(H38=H$2,H38,""),"")</f>
        <v>CORRECTO</v>
      </c>
      <c r="G39" s="17"/>
      <c r="H39" s="19">
        <f>IF(E$67="comprobar",COUNTIF(D38:D42,"x"),"")</f>
        <v>1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5" t="s">
        <v>15</v>
      </c>
      <c r="C40" s="122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1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5" t="s">
        <v>15</v>
      </c>
      <c r="C41" s="122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5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4" t="s">
        <v>23</v>
      </c>
      <c r="C43" s="86" t="s">
        <v>582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5" t="s">
        <v>15</v>
      </c>
      <c r="C44" s="122" t="s">
        <v>63</v>
      </c>
      <c r="D44" s="38"/>
      <c r="E44" s="53" t="s">
        <v>9</v>
      </c>
      <c r="F44" s="25"/>
      <c r="G44" s="17"/>
      <c r="H44" s="19" t="str">
        <f>IF(D47="x",H$2,H$1)</f>
        <v>CORRECTO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5" t="s">
        <v>15</v>
      </c>
      <c r="C45" s="122" t="s">
        <v>64</v>
      </c>
      <c r="D45" s="38"/>
      <c r="E45" s="53" t="s">
        <v>10</v>
      </c>
      <c r="F45" s="20" t="str">
        <f>IF(H46=1,IF(H44=H$2,H44,""),"")</f>
        <v>CORRECTO</v>
      </c>
      <c r="G45" s="17"/>
      <c r="H45" s="19">
        <f>IF(E$67="comprobar",COUNTIF(D44:D48,"x"),"")</f>
        <v>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5" t="s">
        <v>15</v>
      </c>
      <c r="C46" s="122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5" t="s">
        <v>15</v>
      </c>
      <c r="C47" s="122" t="s">
        <v>62</v>
      </c>
      <c r="D47" s="38" t="s">
        <v>581</v>
      </c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5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4" t="s">
        <v>24</v>
      </c>
      <c r="C49" s="86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5" t="s">
        <v>15</v>
      </c>
      <c r="C50" s="122" t="s">
        <v>583</v>
      </c>
      <c r="D50" s="38"/>
      <c r="E50" s="53" t="s">
        <v>9</v>
      </c>
      <c r="F50" s="25"/>
      <c r="G50" s="17"/>
      <c r="H50" s="19" t="str">
        <f>IF(D52="x",H$2,H$1)</f>
        <v>CORRECTO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5" t="s">
        <v>15</v>
      </c>
      <c r="C51" s="122" t="s">
        <v>584</v>
      </c>
      <c r="D51" s="38"/>
      <c r="E51" s="53" t="s">
        <v>10</v>
      </c>
      <c r="F51" s="20" t="str">
        <f>IF(H52=1,IF(H50=H$2,H50,""),"")</f>
        <v>CORRECTO</v>
      </c>
      <c r="G51" s="17"/>
      <c r="H51" s="19">
        <f>IF(E$67="comprobar",COUNTIF(D50:D54,"x"),"")</f>
        <v>1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5" t="s">
        <v>15</v>
      </c>
      <c r="C52" s="122" t="s">
        <v>585</v>
      </c>
      <c r="D52" s="38" t="s">
        <v>581</v>
      </c>
      <c r="E52" s="53" t="s">
        <v>11</v>
      </c>
      <c r="F52" s="21" t="str">
        <f>IF(H52=-0.33,IF(H50=H$1,H50,""),"")</f>
        <v/>
      </c>
      <c r="G52" s="17"/>
      <c r="H52" s="22">
        <f>IF(H51=1,IF(H50=H$2,1,-0.33),0)</f>
        <v>1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5" t="s">
        <v>15</v>
      </c>
      <c r="C53" s="122" t="s">
        <v>586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5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4" t="s">
        <v>29</v>
      </c>
      <c r="C55" s="86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5" t="s">
        <v>15</v>
      </c>
      <c r="C56" s="122" t="s">
        <v>68</v>
      </c>
      <c r="D56" s="38"/>
      <c r="E56" s="53" t="s">
        <v>9</v>
      </c>
      <c r="F56" s="25"/>
      <c r="G56" s="17"/>
      <c r="H56" s="19" t="str">
        <f>IF(D59="x",H$2,H$1)</f>
        <v>CORRECTO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5" t="s">
        <v>15</v>
      </c>
      <c r="C57" s="122" t="s">
        <v>69</v>
      </c>
      <c r="D57" s="38"/>
      <c r="E57" s="53" t="s">
        <v>10</v>
      </c>
      <c r="F57" s="20" t="str">
        <f>IF(H58=1,IF(H56=H$2,H56,""),"")</f>
        <v>CORRECTO</v>
      </c>
      <c r="G57" s="17"/>
      <c r="H57" s="19">
        <f>IF(E$67="comprobar",COUNTIF(D56:D60,"x"),"")</f>
        <v>1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5" t="s">
        <v>15</v>
      </c>
      <c r="C58" s="122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1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5" t="s">
        <v>15</v>
      </c>
      <c r="C59" s="122" t="s">
        <v>62</v>
      </c>
      <c r="D59" s="38" t="s">
        <v>581</v>
      </c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5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4" t="s">
        <v>27</v>
      </c>
      <c r="C61" s="86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5" t="s">
        <v>15</v>
      </c>
      <c r="C62" s="122" t="s">
        <v>72</v>
      </c>
      <c r="D62" s="38"/>
      <c r="E62" s="53" t="s">
        <v>9</v>
      </c>
      <c r="F62" s="25"/>
      <c r="G62" s="24"/>
      <c r="H62" s="19" t="str">
        <f>IF(D63="x",H$2,H$1)</f>
        <v>CORRECTO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5" t="s">
        <v>15</v>
      </c>
      <c r="C63" s="122" t="s">
        <v>73</v>
      </c>
      <c r="D63" s="38" t="s">
        <v>581</v>
      </c>
      <c r="E63" s="53" t="s">
        <v>10</v>
      </c>
      <c r="F63" s="20" t="str">
        <f>IF(H64=1,IF(H62=H$2,H62,""),"")</f>
        <v>CORRECTO</v>
      </c>
      <c r="G63" s="24"/>
      <c r="H63" s="19">
        <f>IF(E$67="comprobar",COUNTIF(D62:D66,"x"),"")</f>
        <v>1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5" t="s">
        <v>15</v>
      </c>
      <c r="C64" s="122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5" t="s">
        <v>15</v>
      </c>
      <c r="C65" s="122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5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 t="s">
        <v>580</v>
      </c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7"/>
      <c r="D69" s="132"/>
      <c r="E69" s="132"/>
      <c r="F69" s="29">
        <f>IF(E67="comprobar",H64+H58+H52+H46+H40+H34+H28+H22+H16+H10,"")</f>
        <v>10</v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0" t="s">
        <v>117</v>
      </c>
      <c r="D71" s="130"/>
      <c r="E71" s="130"/>
      <c r="F71" s="131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4" t="s">
        <v>18</v>
      </c>
      <c r="C72" s="86" t="s">
        <v>75</v>
      </c>
      <c r="D72" s="39"/>
      <c r="E72" s="52"/>
      <c r="F72" s="27"/>
      <c r="G72" s="13"/>
      <c r="H72" s="13"/>
    </row>
    <row r="73" spans="1:40" x14ac:dyDescent="0.25">
      <c r="B73" s="85" t="s">
        <v>15</v>
      </c>
      <c r="C73" s="122" t="s">
        <v>76</v>
      </c>
      <c r="D73" s="38"/>
      <c r="E73" s="53" t="s">
        <v>9</v>
      </c>
      <c r="F73" s="25"/>
      <c r="G73" s="17"/>
      <c r="H73" s="19" t="str">
        <f>IF(D76="x",H$2,H$1)</f>
        <v>CORRECTO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5" t="s">
        <v>15</v>
      </c>
      <c r="C74" s="122" t="s">
        <v>77</v>
      </c>
      <c r="D74" s="38"/>
      <c r="E74" s="53" t="s">
        <v>10</v>
      </c>
      <c r="F74" s="20" t="str">
        <f>IF(H75=1,IF(H73=H$2,H73,""),"")</f>
        <v>CORRECTO</v>
      </c>
      <c r="G74" s="17"/>
      <c r="H74" s="19">
        <f>IF(E$132="comprobar",COUNTIF(D73:D77,"x"),"")</f>
        <v>1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5" t="s">
        <v>15</v>
      </c>
      <c r="C75" s="122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5" t="s">
        <v>15</v>
      </c>
      <c r="C76" s="122" t="s">
        <v>38</v>
      </c>
      <c r="D76" s="38" t="s">
        <v>581</v>
      </c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4" t="s">
        <v>17</v>
      </c>
      <c r="C78" s="86" t="s">
        <v>79</v>
      </c>
      <c r="D78" s="39"/>
      <c r="E78" s="52"/>
      <c r="F78" s="27"/>
      <c r="G78" s="13"/>
      <c r="H78" s="13"/>
    </row>
    <row r="79" spans="1:40" x14ac:dyDescent="0.25">
      <c r="B79" s="85" t="s">
        <v>15</v>
      </c>
      <c r="C79" s="122" t="s">
        <v>80</v>
      </c>
      <c r="D79" s="38"/>
      <c r="E79" s="53" t="s">
        <v>9</v>
      </c>
      <c r="F79" s="25"/>
      <c r="G79" s="17"/>
      <c r="H79" s="19" t="str">
        <f>IF(D80="x",H$2,H$1)</f>
        <v>CORRECTO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5" t="s">
        <v>15</v>
      </c>
      <c r="C80" s="122" t="s">
        <v>81</v>
      </c>
      <c r="D80" s="38" t="s">
        <v>581</v>
      </c>
      <c r="E80" s="53" t="s">
        <v>10</v>
      </c>
      <c r="F80" s="20" t="str">
        <f>IF(H81=1,IF(H79=H$2,H79,""),"")</f>
        <v>CORRECTO</v>
      </c>
      <c r="G80" s="17"/>
      <c r="H80" s="19">
        <f>IF(E$132="comprobar",COUNTIF(D79:D83,"x"),"")</f>
        <v>1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5" t="s">
        <v>15</v>
      </c>
      <c r="C81" s="122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1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5" t="s">
        <v>15</v>
      </c>
      <c r="C82" s="122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20"/>
      <c r="B84" s="84" t="s">
        <v>19</v>
      </c>
      <c r="C84" s="86" t="s">
        <v>84</v>
      </c>
      <c r="D84" s="58"/>
      <c r="E84" s="56"/>
      <c r="F84" s="50"/>
      <c r="G84" s="47"/>
      <c r="H84" s="47"/>
    </row>
    <row r="85" spans="1:40" x14ac:dyDescent="0.25">
      <c r="B85" s="85" t="s">
        <v>15</v>
      </c>
      <c r="C85" s="122" t="s">
        <v>85</v>
      </c>
      <c r="D85" s="38"/>
      <c r="E85" s="53" t="s">
        <v>9</v>
      </c>
      <c r="F85" s="25"/>
      <c r="G85" s="17"/>
      <c r="H85" s="19" t="str">
        <f>IF(D87="x",H$2,H$1)</f>
        <v>CORRECTO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5" t="s">
        <v>15</v>
      </c>
      <c r="C86" s="122" t="s">
        <v>86</v>
      </c>
      <c r="D86" s="38"/>
      <c r="E86" s="53" t="s">
        <v>10</v>
      </c>
      <c r="F86" s="20" t="str">
        <f>IF(H87=1,IF(H85=H$2,H85,""),"")</f>
        <v>CORRECTO</v>
      </c>
      <c r="G86" s="17"/>
      <c r="H86" s="19">
        <f>IF(E$132="comprobar",COUNTIF(D85:D89,"x"),"")</f>
        <v>1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5" t="s">
        <v>15</v>
      </c>
      <c r="C87" s="122" t="s">
        <v>87</v>
      </c>
      <c r="D87" s="38" t="s">
        <v>581</v>
      </c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1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5" t="s">
        <v>15</v>
      </c>
      <c r="C88" s="122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4" t="s">
        <v>20</v>
      </c>
      <c r="C90" s="86" t="s">
        <v>88</v>
      </c>
      <c r="D90" s="39"/>
      <c r="E90" s="52"/>
      <c r="F90" s="27"/>
      <c r="G90" s="13"/>
      <c r="H90" s="13"/>
    </row>
    <row r="91" spans="1:40" x14ac:dyDescent="0.25">
      <c r="B91" s="85" t="s">
        <v>15</v>
      </c>
      <c r="C91" s="122" t="s">
        <v>89</v>
      </c>
      <c r="D91" s="38"/>
      <c r="E91" s="53" t="s">
        <v>9</v>
      </c>
      <c r="F91" s="25"/>
      <c r="G91" s="17"/>
      <c r="H91" s="19" t="str">
        <f>IF(D92="x",H$2,H$1)</f>
        <v>CORRECTO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5" t="s">
        <v>15</v>
      </c>
      <c r="C92" s="122" t="s">
        <v>90</v>
      </c>
      <c r="D92" s="38" t="s">
        <v>581</v>
      </c>
      <c r="E92" s="53" t="s">
        <v>10</v>
      </c>
      <c r="F92" s="20" t="str">
        <f>IF(H93=1,IF(H91=H$2,H91,""),"")</f>
        <v>CORRECTO</v>
      </c>
      <c r="G92" s="17"/>
      <c r="H92" s="19">
        <f>IF(E$132="comprobar",COUNTIF(D91:D95,"x"),"")</f>
        <v>1</v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5" t="s">
        <v>15</v>
      </c>
      <c r="C93" s="122" t="s">
        <v>91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1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5" t="s">
        <v>15</v>
      </c>
      <c r="C94" s="122" t="s">
        <v>92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4" t="s">
        <v>21</v>
      </c>
      <c r="C96" s="86" t="s">
        <v>93</v>
      </c>
      <c r="D96" s="39"/>
      <c r="E96" s="52"/>
      <c r="F96" s="27"/>
      <c r="G96" s="13"/>
      <c r="H96" s="13"/>
    </row>
    <row r="97" spans="1:40" x14ac:dyDescent="0.25">
      <c r="B97" s="85" t="s">
        <v>15</v>
      </c>
      <c r="C97" s="122" t="s">
        <v>94</v>
      </c>
      <c r="D97" s="38"/>
      <c r="E97" s="53" t="s">
        <v>9</v>
      </c>
      <c r="F97" s="25"/>
      <c r="G97" s="17"/>
      <c r="H97" s="19" t="str">
        <f>IF(D100="x",H$2,H$1)</f>
        <v>CORRECTO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5" t="s">
        <v>15</v>
      </c>
      <c r="C98" s="122" t="s">
        <v>95</v>
      </c>
      <c r="D98" s="38"/>
      <c r="E98" s="53" t="s">
        <v>10</v>
      </c>
      <c r="F98" s="20" t="str">
        <f>IF(H99=1,IF(H97=H$2,H97,""),"")</f>
        <v>CORRECTO</v>
      </c>
      <c r="G98" s="17"/>
      <c r="H98" s="19">
        <f>IF(E$132="comprobar",COUNTIF(D97:D101,"x"),"")</f>
        <v>1</v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5" t="s">
        <v>15</v>
      </c>
      <c r="C99" s="122" t="s">
        <v>96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1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5" t="s">
        <v>15</v>
      </c>
      <c r="C100" s="122" t="s">
        <v>97</v>
      </c>
      <c r="D100" s="38" t="s">
        <v>581</v>
      </c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4" t="s">
        <v>22</v>
      </c>
      <c r="C102" s="86" t="s">
        <v>98</v>
      </c>
      <c r="D102" s="39"/>
      <c r="E102" s="52"/>
      <c r="F102" s="27"/>
      <c r="G102" s="13"/>
      <c r="H102" s="13"/>
    </row>
    <row r="103" spans="1:40" x14ac:dyDescent="0.25">
      <c r="B103" s="85" t="s">
        <v>15</v>
      </c>
      <c r="C103" s="122" t="s">
        <v>99</v>
      </c>
      <c r="D103" s="38" t="s">
        <v>581</v>
      </c>
      <c r="E103" s="53" t="s">
        <v>9</v>
      </c>
      <c r="F103" s="25"/>
      <c r="G103" s="17"/>
      <c r="H103" s="19" t="str">
        <f>IF(D103="x",H$2,H$1)</f>
        <v>CORRECTO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5" t="s">
        <v>15</v>
      </c>
      <c r="C104" s="122" t="s">
        <v>100</v>
      </c>
      <c r="D104" s="38"/>
      <c r="E104" s="53" t="s">
        <v>10</v>
      </c>
      <c r="F104" s="20" t="str">
        <f>IF(H105=1,IF(H103=H$2,H103,""),"")</f>
        <v>CORRECTO</v>
      </c>
      <c r="G104" s="17"/>
      <c r="H104" s="19">
        <f>IF(E$132="comprobar",COUNTIF(D103:D107,"x"),"")</f>
        <v>1</v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5" t="s">
        <v>15</v>
      </c>
      <c r="C105" s="122" t="s">
        <v>101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1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5" t="s">
        <v>15</v>
      </c>
      <c r="C106" s="122" t="s">
        <v>102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4" t="s">
        <v>23</v>
      </c>
      <c r="C108" s="86" t="s">
        <v>103</v>
      </c>
      <c r="D108" s="39"/>
      <c r="E108" s="52"/>
      <c r="F108" s="27"/>
      <c r="G108" s="13"/>
      <c r="H108" s="13"/>
    </row>
    <row r="109" spans="1:40" x14ac:dyDescent="0.25">
      <c r="B109" s="85" t="s">
        <v>15</v>
      </c>
      <c r="C109" s="122" t="s">
        <v>104</v>
      </c>
      <c r="D109" s="71"/>
      <c r="E109" s="1"/>
      <c r="F109" s="25"/>
      <c r="G109" s="17"/>
      <c r="H109" s="19" t="str">
        <f>IF(D112="x",H$2,H$1)</f>
        <v>CORRECTO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5" t="s">
        <v>15</v>
      </c>
      <c r="C110" s="122" t="s">
        <v>105</v>
      </c>
      <c r="D110" s="38"/>
      <c r="E110" s="53" t="s">
        <v>9</v>
      </c>
      <c r="F110" s="20" t="str">
        <f>IF(H111=1,IF(H109=H$2,H109,""),"")</f>
        <v>CORRECTO</v>
      </c>
      <c r="G110" s="17"/>
      <c r="H110" s="19">
        <f>IF(E$132="comprobar",COUNTIF(D109:D113,"x"),"")</f>
        <v>1</v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5" t="s">
        <v>15</v>
      </c>
      <c r="C111" s="122" t="s">
        <v>106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1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5" t="s">
        <v>15</v>
      </c>
      <c r="C112" s="122" t="s">
        <v>62</v>
      </c>
      <c r="D112" s="38" t="s">
        <v>581</v>
      </c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4" t="s">
        <v>24</v>
      </c>
      <c r="C114" s="86" t="s">
        <v>107</v>
      </c>
      <c r="D114" s="39"/>
      <c r="E114" s="52"/>
      <c r="F114" s="27"/>
      <c r="G114" s="13"/>
      <c r="H114" s="13"/>
    </row>
    <row r="115" spans="1:40" x14ac:dyDescent="0.25">
      <c r="B115" s="85" t="s">
        <v>15</v>
      </c>
      <c r="C115" s="122" t="s">
        <v>587</v>
      </c>
      <c r="D115" s="38"/>
      <c r="E115" s="53" t="s">
        <v>9</v>
      </c>
      <c r="F115" s="25"/>
      <c r="G115" s="17"/>
      <c r="H115" s="19" t="str">
        <f>IF(D116="x",H$2,H$1)</f>
        <v>CORRECTO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5" t="s">
        <v>15</v>
      </c>
      <c r="C116" s="122" t="s">
        <v>588</v>
      </c>
      <c r="D116" s="38" t="s">
        <v>581</v>
      </c>
      <c r="E116" s="53" t="s">
        <v>10</v>
      </c>
      <c r="F116" s="20" t="str">
        <f>IF(H117=1,IF(H115=H$2,H115,""),"")</f>
        <v>CORRECTO</v>
      </c>
      <c r="G116" s="17"/>
      <c r="H116" s="19">
        <f>IF(E$132="comprobar",COUNTIF(D115:D119,"x"),"")</f>
        <v>1</v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5" t="s">
        <v>15</v>
      </c>
      <c r="C117" s="122" t="s">
        <v>589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1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5" t="s">
        <v>15</v>
      </c>
      <c r="C118" s="122" t="s">
        <v>590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4" t="s">
        <v>25</v>
      </c>
      <c r="C120" s="86" t="s">
        <v>108</v>
      </c>
      <c r="D120" s="39"/>
      <c r="E120" s="52"/>
      <c r="F120" s="27"/>
      <c r="G120" s="13"/>
      <c r="H120" s="13"/>
    </row>
    <row r="121" spans="1:40" x14ac:dyDescent="0.25">
      <c r="B121" s="85" t="s">
        <v>15</v>
      </c>
      <c r="C121" s="122" t="s">
        <v>109</v>
      </c>
      <c r="D121" s="38"/>
      <c r="E121" s="53" t="s">
        <v>9</v>
      </c>
      <c r="F121" s="25"/>
      <c r="G121" s="17"/>
      <c r="H121" s="19" t="str">
        <f>IF(D122="x",H$2,H$1)</f>
        <v>CORRECTO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5" t="s">
        <v>15</v>
      </c>
      <c r="C122" s="122" t="s">
        <v>110</v>
      </c>
      <c r="D122" s="38" t="s">
        <v>581</v>
      </c>
      <c r="E122" s="53" t="s">
        <v>10</v>
      </c>
      <c r="F122" s="20" t="str">
        <f>IF(H123=1,IF(H121=H$2,H121,""),"")</f>
        <v>CORRECTO</v>
      </c>
      <c r="G122" s="17"/>
      <c r="H122" s="19">
        <f>IF(E$132="comprobar",COUNTIF(D121:D125,"x"),"")</f>
        <v>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5" t="s">
        <v>15</v>
      </c>
      <c r="C123" s="122" t="s">
        <v>111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1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5" t="s">
        <v>15</v>
      </c>
      <c r="C124" s="122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4" t="s">
        <v>26</v>
      </c>
      <c r="C126" s="86" t="s">
        <v>112</v>
      </c>
      <c r="D126" s="39"/>
      <c r="E126" s="52"/>
      <c r="F126" s="27"/>
      <c r="G126" s="26"/>
      <c r="H126" s="13"/>
    </row>
    <row r="127" spans="1:40" x14ac:dyDescent="0.25">
      <c r="B127" s="85" t="s">
        <v>15</v>
      </c>
      <c r="C127" s="122" t="s">
        <v>113</v>
      </c>
      <c r="D127" s="38" t="s">
        <v>581</v>
      </c>
      <c r="E127" s="53" t="s">
        <v>9</v>
      </c>
      <c r="F127" s="25"/>
      <c r="G127" s="24"/>
      <c r="H127" s="19" t="str">
        <f>IF(D127="x",H$2,H$1)</f>
        <v>CORRECTO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5" t="s">
        <v>15</v>
      </c>
      <c r="C128" s="122" t="s">
        <v>114</v>
      </c>
      <c r="D128" s="38"/>
      <c r="E128" s="53" t="s">
        <v>10</v>
      </c>
      <c r="F128" s="20" t="str">
        <f>IF(H129=1,IF(H127=H$2,H127,""),"")</f>
        <v>CORRECTO</v>
      </c>
      <c r="G128" s="24"/>
      <c r="H128" s="19">
        <f>IF(E$132="comprobar",COUNTIF(D127:D131,"x"),"")</f>
        <v>1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5" t="s">
        <v>15</v>
      </c>
      <c r="C129" s="122" t="s">
        <v>115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1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5" t="s">
        <v>15</v>
      </c>
      <c r="C130" s="122" t="s">
        <v>97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 t="s">
        <v>580</v>
      </c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>
        <f>IF(E132="comprobar",H129+H123+H117+H111+H105+H99+H93+H87+H81+H75,"")</f>
        <v>10</v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7" t="s">
        <v>116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20"/>
      <c r="B137" s="84" t="s">
        <v>18</v>
      </c>
      <c r="C137" s="86" t="s">
        <v>118</v>
      </c>
      <c r="D137" s="72"/>
      <c r="E137" s="47"/>
      <c r="F137" s="73"/>
      <c r="G137" s="47"/>
      <c r="H137" s="47"/>
    </row>
    <row r="138" spans="1:40" x14ac:dyDescent="0.25">
      <c r="B138" s="85" t="s">
        <v>15</v>
      </c>
      <c r="C138" s="122" t="s">
        <v>119</v>
      </c>
      <c r="D138" s="38" t="s">
        <v>581</v>
      </c>
      <c r="E138" s="53" t="s">
        <v>9</v>
      </c>
      <c r="F138" s="25"/>
      <c r="G138" s="17"/>
      <c r="H138" s="19" t="str">
        <f>IF(D138="x",H$2,H$1)</f>
        <v>CORRECTO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5" t="s">
        <v>15</v>
      </c>
      <c r="C139" s="122" t="s">
        <v>120</v>
      </c>
      <c r="D139" s="38"/>
      <c r="E139" s="53" t="s">
        <v>10</v>
      </c>
      <c r="F139" s="20" t="str">
        <f>IF(H140=1,IF(H138=H$2,H138,""),"")</f>
        <v>CORRECTO</v>
      </c>
      <c r="G139" s="17"/>
      <c r="H139" s="19">
        <f>IF(E197="comprobar",COUNTIF(D138:D142,"x"),"")</f>
        <v>1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5" t="s">
        <v>15</v>
      </c>
      <c r="C140" s="122" t="s">
        <v>121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1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5" t="s">
        <v>15</v>
      </c>
      <c r="C141" s="122" t="s">
        <v>122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2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80"/>
      <c r="C143" s="122"/>
      <c r="D143" s="38"/>
      <c r="E143" s="53"/>
      <c r="F143" s="25"/>
      <c r="G143" s="17"/>
      <c r="H143" s="17"/>
    </row>
    <row r="144" spans="1:40" x14ac:dyDescent="0.25">
      <c r="B144" s="84" t="s">
        <v>17</v>
      </c>
      <c r="C144" s="86" t="s">
        <v>123</v>
      </c>
      <c r="D144" s="79"/>
      <c r="E144" s="52"/>
      <c r="F144" s="27"/>
      <c r="G144" s="13"/>
      <c r="H144" s="19" t="str">
        <f>IF(D146="x",H$2,H$1)</f>
        <v>CORRECTO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5" t="s">
        <v>15</v>
      </c>
      <c r="C145" s="122" t="s">
        <v>124</v>
      </c>
      <c r="D145" s="38"/>
      <c r="E145" s="53" t="s">
        <v>9</v>
      </c>
      <c r="F145" s="20" t="str">
        <f>IF(H146=1,IF(H144=H$2,H144,""),"")</f>
        <v>CORRECTO</v>
      </c>
      <c r="G145" s="17"/>
      <c r="H145" s="19">
        <f>IF(E$197="comprobar",COUNTIF(D145:D148,"x"),"")</f>
        <v>1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5" t="s">
        <v>15</v>
      </c>
      <c r="C146" s="122" t="s">
        <v>125</v>
      </c>
      <c r="D146" s="38" t="s">
        <v>581</v>
      </c>
      <c r="E146" s="53" t="s">
        <v>10</v>
      </c>
      <c r="F146" s="21" t="str">
        <f>IF(H146=-0.33,IF(H144=H$1,H144,""),"")</f>
        <v/>
      </c>
      <c r="G146" s="17"/>
      <c r="H146" s="22">
        <f t="shared" si="10"/>
        <v>1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5" t="s">
        <v>15</v>
      </c>
      <c r="C147" s="122" t="s">
        <v>126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5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20"/>
      <c r="B149" s="84" t="s">
        <v>19</v>
      </c>
      <c r="C149" s="86" t="s">
        <v>127</v>
      </c>
      <c r="D149" s="79"/>
      <c r="E149" s="52"/>
      <c r="F149" s="27"/>
      <c r="G149" s="13"/>
      <c r="H149" s="13"/>
    </row>
    <row r="150" spans="1:40" x14ac:dyDescent="0.25">
      <c r="B150" s="85" t="s">
        <v>15</v>
      </c>
      <c r="C150" s="122" t="s">
        <v>128</v>
      </c>
      <c r="D150" s="38"/>
      <c r="E150" s="53" t="s">
        <v>9</v>
      </c>
      <c r="F150" s="25"/>
      <c r="G150" s="17"/>
      <c r="H150" s="19" t="str">
        <f>IF(D153="x",H$2,H$1)</f>
        <v>CORRECTO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5" t="s">
        <v>15</v>
      </c>
      <c r="C151" s="122" t="s">
        <v>129</v>
      </c>
      <c r="D151" s="38"/>
      <c r="E151" s="53" t="s">
        <v>10</v>
      </c>
      <c r="F151" s="20" t="str">
        <f>IF(H152=1,IF(H150=H$2,H150,""),"")</f>
        <v>CORRECTO</v>
      </c>
      <c r="G151" s="17"/>
      <c r="H151" s="19">
        <f>IF(E$197="comprobar",COUNTIF(D150:D154,"x"),"")</f>
        <v>1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5" t="s">
        <v>15</v>
      </c>
      <c r="C152" s="122" t="s">
        <v>130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1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5" t="s">
        <v>15</v>
      </c>
      <c r="C153" s="122" t="s">
        <v>97</v>
      </c>
      <c r="D153" s="38" t="s">
        <v>581</v>
      </c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4" t="s">
        <v>20</v>
      </c>
      <c r="C155" s="86" t="s">
        <v>131</v>
      </c>
      <c r="D155" s="79"/>
      <c r="E155" s="52"/>
      <c r="F155" s="27"/>
      <c r="G155" s="13"/>
      <c r="H155" s="13"/>
    </row>
    <row r="156" spans="1:40" ht="17.25" customHeight="1" x14ac:dyDescent="0.25">
      <c r="B156" s="85" t="s">
        <v>15</v>
      </c>
      <c r="C156" s="133" t="s">
        <v>132</v>
      </c>
      <c r="D156" s="38"/>
      <c r="E156" s="53" t="s">
        <v>9</v>
      </c>
      <c r="F156" s="25"/>
      <c r="G156" s="17"/>
      <c r="H156" s="19" t="str">
        <f>IF(D157="x",H$2,H$1)</f>
        <v>CORRECTO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5" t="s">
        <v>15</v>
      </c>
      <c r="C157" s="122" t="s">
        <v>133</v>
      </c>
      <c r="D157" s="38" t="s">
        <v>581</v>
      </c>
      <c r="E157" s="53" t="s">
        <v>10</v>
      </c>
      <c r="F157" s="20" t="str">
        <f>IF(H158=1,IF(H156=H$2,H156,""),"")</f>
        <v>CORRECTO</v>
      </c>
      <c r="G157" s="17"/>
      <c r="H157" s="19">
        <f>IF(E$197="comprobar",COUNTIF(D156:D160,"x"),"")</f>
        <v>1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5" t="s">
        <v>15</v>
      </c>
      <c r="C158" s="122" t="s">
        <v>134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1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5" t="s">
        <v>15</v>
      </c>
      <c r="C159" s="122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1" t="s">
        <v>21</v>
      </c>
      <c r="C161" s="86" t="s">
        <v>135</v>
      </c>
      <c r="D161" s="79"/>
      <c r="E161" s="52"/>
      <c r="F161" s="27"/>
      <c r="G161" s="13"/>
      <c r="H161" s="13"/>
    </row>
    <row r="162" spans="1:40" x14ac:dyDescent="0.25">
      <c r="B162" s="85" t="s">
        <v>15</v>
      </c>
      <c r="C162" s="122" t="s">
        <v>136</v>
      </c>
      <c r="D162" s="38" t="s">
        <v>581</v>
      </c>
      <c r="E162" s="53" t="s">
        <v>9</v>
      </c>
      <c r="F162" s="25"/>
      <c r="G162" s="17"/>
      <c r="H162" s="19" t="str">
        <f>IF(D162="x",H$2,H$1)</f>
        <v>CORRECTO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5" t="s">
        <v>15</v>
      </c>
      <c r="C163" s="122" t="s">
        <v>137</v>
      </c>
      <c r="D163" s="38"/>
      <c r="E163" s="53" t="s">
        <v>10</v>
      </c>
      <c r="F163" s="20" t="str">
        <f>IF(H164=1,IF(H162=H$2,H162,""),"")</f>
        <v>CORRECTO</v>
      </c>
      <c r="G163" s="17"/>
      <c r="H163" s="19">
        <f>IF(E$197="comprobar",COUNTIF(D162:D166,"x"),"")</f>
        <v>1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5" t="s">
        <v>15</v>
      </c>
      <c r="C164" s="122" t="s">
        <v>138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1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5" t="s">
        <v>15</v>
      </c>
      <c r="C165" s="122" t="s">
        <v>139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1" t="s">
        <v>22</v>
      </c>
      <c r="C167" s="86" t="s">
        <v>140</v>
      </c>
      <c r="D167" s="79"/>
      <c r="E167" s="52"/>
      <c r="F167" s="27"/>
      <c r="G167" s="13"/>
      <c r="H167" s="13"/>
    </row>
    <row r="168" spans="1:40" x14ac:dyDescent="0.25">
      <c r="B168" s="85" t="s">
        <v>15</v>
      </c>
      <c r="C168" s="122" t="s">
        <v>591</v>
      </c>
      <c r="D168" s="38"/>
      <c r="E168" s="53" t="s">
        <v>9</v>
      </c>
      <c r="F168" s="25"/>
      <c r="G168" s="17"/>
      <c r="H168" s="19" t="str">
        <f>IF(D171="x",H$2,H$1)</f>
        <v>CORRECTO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5" t="s">
        <v>15</v>
      </c>
      <c r="C169" s="122" t="s">
        <v>592</v>
      </c>
      <c r="D169" s="38"/>
      <c r="E169" s="53" t="s">
        <v>10</v>
      </c>
      <c r="F169" s="20" t="str">
        <f>IF(H170=1,IF(H168=H$2,H168,""),"")</f>
        <v>CORRECTO</v>
      </c>
      <c r="G169" s="17"/>
      <c r="H169" s="19">
        <f>IF(E$197="comprobar",COUNTIF(D168:D172,"x"),"")</f>
        <v>1</v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5" t="s">
        <v>15</v>
      </c>
      <c r="C170" s="122" t="s">
        <v>593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1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5" t="s">
        <v>15</v>
      </c>
      <c r="C171" s="122" t="s">
        <v>594</v>
      </c>
      <c r="D171" s="38" t="s">
        <v>581</v>
      </c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1" t="s">
        <v>23</v>
      </c>
      <c r="C173" s="86" t="s">
        <v>141</v>
      </c>
      <c r="D173" s="79"/>
      <c r="E173" s="52"/>
      <c r="F173" s="27"/>
      <c r="G173" s="13"/>
      <c r="H173" s="13"/>
    </row>
    <row r="174" spans="1:40" s="34" customFormat="1" x14ac:dyDescent="0.25">
      <c r="A174" s="4"/>
      <c r="B174" s="85" t="s">
        <v>15</v>
      </c>
      <c r="C174" s="122" t="s">
        <v>142</v>
      </c>
      <c r="D174" s="38"/>
      <c r="E174" s="53" t="s">
        <v>9</v>
      </c>
      <c r="F174" s="25"/>
      <c r="G174" s="17"/>
      <c r="H174" s="19" t="str">
        <f>IF(D176="x",H$2,H$1)</f>
        <v>CORRECTO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5" t="s">
        <v>15</v>
      </c>
      <c r="C175" s="122" t="s">
        <v>143</v>
      </c>
      <c r="D175" s="38"/>
      <c r="E175" s="53" t="s">
        <v>10</v>
      </c>
      <c r="F175" s="20" t="str">
        <f>IF(H176=1,IF(H174=H$2,H174,""),"")</f>
        <v>CORRECTO</v>
      </c>
      <c r="G175" s="17"/>
      <c r="H175" s="19">
        <f>IF(E$197="comprobar",COUNTIF(D174:D178,"x"),"")</f>
        <v>1</v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5" t="s">
        <v>15</v>
      </c>
      <c r="C176" s="122" t="s">
        <v>144</v>
      </c>
      <c r="D176" s="38" t="s">
        <v>581</v>
      </c>
      <c r="E176" s="53" t="s">
        <v>11</v>
      </c>
      <c r="F176" s="21" t="str">
        <f>IF(H176=-0.33,IF(H174=H$1,H174,""),"")</f>
        <v/>
      </c>
      <c r="G176" s="17"/>
      <c r="H176" s="22">
        <f t="shared" si="10"/>
        <v>1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5" t="s">
        <v>15</v>
      </c>
      <c r="C177" s="122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1" t="s">
        <v>24</v>
      </c>
      <c r="C179" s="86" t="s">
        <v>145</v>
      </c>
      <c r="D179" s="39"/>
      <c r="E179" s="52"/>
      <c r="F179" s="27"/>
      <c r="G179" s="13"/>
      <c r="H179" s="13"/>
    </row>
    <row r="180" spans="1:40" x14ac:dyDescent="0.25">
      <c r="B180" s="85" t="s">
        <v>15</v>
      </c>
      <c r="C180" s="122" t="s">
        <v>146</v>
      </c>
      <c r="D180" s="38"/>
      <c r="E180" s="53" t="s">
        <v>9</v>
      </c>
      <c r="F180" s="25"/>
      <c r="G180" s="17"/>
      <c r="H180" s="19" t="str">
        <f>IF(D182="x",H$2,H$1)</f>
        <v>CORRECTO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5" t="s">
        <v>15</v>
      </c>
      <c r="C181" s="122" t="s">
        <v>147</v>
      </c>
      <c r="D181" s="38"/>
      <c r="E181" s="53" t="s">
        <v>10</v>
      </c>
      <c r="F181" s="20" t="str">
        <f>IF(H182=1,IF(H180=H$2,H180,""),"")</f>
        <v>CORRECTO</v>
      </c>
      <c r="G181" s="17"/>
      <c r="H181" s="19">
        <f>IF(E$197="comprobar",COUNTIF(D180:D184,"x"),"")</f>
        <v>1</v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5" t="s">
        <v>15</v>
      </c>
      <c r="C182" s="122" t="s">
        <v>148</v>
      </c>
      <c r="D182" s="38" t="s">
        <v>581</v>
      </c>
      <c r="E182" s="53" t="s">
        <v>11</v>
      </c>
      <c r="F182" s="21" t="str">
        <f>IF(H182=-0.33,IF(H180=H$1,H180,""),"")</f>
        <v/>
      </c>
      <c r="G182" s="17"/>
      <c r="H182" s="22">
        <f t="shared" si="10"/>
        <v>1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5" t="s">
        <v>15</v>
      </c>
      <c r="C183" s="122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1" t="s">
        <v>25</v>
      </c>
      <c r="C185" s="86" t="s">
        <v>149</v>
      </c>
      <c r="D185" s="39"/>
      <c r="E185" s="52"/>
      <c r="F185" s="27"/>
      <c r="G185" s="13"/>
      <c r="H185" s="13"/>
    </row>
    <row r="186" spans="1:40" x14ac:dyDescent="0.25">
      <c r="B186" s="85" t="s">
        <v>15</v>
      </c>
      <c r="C186" s="122" t="s">
        <v>150</v>
      </c>
      <c r="D186" s="38"/>
      <c r="E186" s="53" t="s">
        <v>9</v>
      </c>
      <c r="F186" s="25"/>
      <c r="G186" s="17"/>
      <c r="H186" s="19" t="str">
        <f>IF(D188="x",H$2,H$1)</f>
        <v>CORRECTO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5" t="s">
        <v>15</v>
      </c>
      <c r="C187" s="122" t="s">
        <v>151</v>
      </c>
      <c r="D187" s="38"/>
      <c r="E187" s="53" t="s">
        <v>10</v>
      </c>
      <c r="F187" s="20" t="str">
        <f>IF(H188=1,IF(H186=H$2,H186,""),"")</f>
        <v>CORRECTO</v>
      </c>
      <c r="G187" s="17"/>
      <c r="H187" s="19">
        <f>IF(E$197="comprobar",COUNTIF(D186:D190,"x"),"")</f>
        <v>1</v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5" t="s">
        <v>15</v>
      </c>
      <c r="C188" s="122" t="s">
        <v>152</v>
      </c>
      <c r="D188" s="38" t="s">
        <v>581</v>
      </c>
      <c r="E188" s="53" t="s">
        <v>11</v>
      </c>
      <c r="F188" s="21" t="str">
        <f>IF(H188=-0.33,IF(H186=H$1,H186,""),"")</f>
        <v/>
      </c>
      <c r="G188" s="17"/>
      <c r="H188" s="22">
        <f t="shared" si="10"/>
        <v>1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5" t="s">
        <v>15</v>
      </c>
      <c r="C189" s="122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1" t="s">
        <v>27</v>
      </c>
      <c r="C191" s="86" t="s">
        <v>153</v>
      </c>
      <c r="D191" s="39"/>
      <c r="E191" s="52"/>
      <c r="F191" s="27"/>
      <c r="G191" s="26"/>
      <c r="H191" s="13"/>
    </row>
    <row r="192" spans="1:40" x14ac:dyDescent="0.25">
      <c r="B192" s="85" t="s">
        <v>15</v>
      </c>
      <c r="C192" s="122" t="s">
        <v>154</v>
      </c>
      <c r="D192" s="38"/>
      <c r="E192" s="53" t="s">
        <v>9</v>
      </c>
      <c r="F192" s="25"/>
      <c r="G192" s="24"/>
      <c r="H192" s="19" t="str">
        <f>IF(D193="x",H$2,H$1)</f>
        <v>CORRECTO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5" t="s">
        <v>15</v>
      </c>
      <c r="C193" s="122" t="s">
        <v>155</v>
      </c>
      <c r="D193" s="38" t="s">
        <v>581</v>
      </c>
      <c r="E193" s="53" t="s">
        <v>10</v>
      </c>
      <c r="F193" s="20" t="str">
        <f>IF(H194=1,IF(H192=H$2,H192,""),"")</f>
        <v>CORRECTO</v>
      </c>
      <c r="G193" s="24"/>
      <c r="H193" s="19">
        <f>IF(E$197="comprobar",COUNTIF(D192:D196,"x"),"")</f>
        <v>1</v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5" t="s">
        <v>15</v>
      </c>
      <c r="C194" s="122" t="s">
        <v>156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1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5" t="s">
        <v>15</v>
      </c>
      <c r="C195" s="122" t="s">
        <v>157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 t="s">
        <v>580</v>
      </c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>
        <f>IF(E197="comprobar",H194+H188+H182+H176+H170+H164+H158+H152+H146+H140,"")</f>
        <v>10</v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7" t="s">
        <v>158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1" t="s">
        <v>18</v>
      </c>
      <c r="C202" s="86" t="s">
        <v>159</v>
      </c>
      <c r="D202" s="39"/>
      <c r="E202" s="52"/>
      <c r="F202" s="27"/>
      <c r="G202" s="13"/>
      <c r="H202" s="13"/>
    </row>
    <row r="203" spans="1:40" x14ac:dyDescent="0.25">
      <c r="B203" s="85" t="s">
        <v>15</v>
      </c>
      <c r="C203" s="122" t="s">
        <v>160</v>
      </c>
      <c r="D203" s="38"/>
      <c r="E203" s="53" t="s">
        <v>9</v>
      </c>
      <c r="F203" s="25"/>
      <c r="G203" s="17"/>
      <c r="H203" s="19" t="str">
        <f>IF(D205="x",H$2,H$1)</f>
        <v>CORRECTO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5" t="s">
        <v>15</v>
      </c>
      <c r="C204" s="122" t="s">
        <v>161</v>
      </c>
      <c r="D204" s="38"/>
      <c r="E204" s="53" t="s">
        <v>10</v>
      </c>
      <c r="F204" s="20" t="str">
        <f>IF(H205=1,IF(H203=H$2,H203,""),"")</f>
        <v>CORRECTO</v>
      </c>
      <c r="G204" s="17"/>
      <c r="H204" s="19">
        <f>IF(E262="comprobar",COUNTIF(D203:D207,"x"),"")</f>
        <v>1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5" t="s">
        <v>15</v>
      </c>
      <c r="C205" s="122" t="s">
        <v>162</v>
      </c>
      <c r="D205" s="38" t="s">
        <v>581</v>
      </c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1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5" t="s">
        <v>15</v>
      </c>
      <c r="C206" s="122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1" t="s">
        <v>28</v>
      </c>
      <c r="C208" s="86" t="s">
        <v>163</v>
      </c>
      <c r="D208" s="39"/>
      <c r="E208" s="52"/>
      <c r="F208" s="27"/>
      <c r="G208" s="13"/>
      <c r="H208" s="13"/>
    </row>
    <row r="209" spans="1:40" x14ac:dyDescent="0.25">
      <c r="B209" s="85" t="s">
        <v>15</v>
      </c>
      <c r="C209" s="122" t="s">
        <v>164</v>
      </c>
      <c r="D209" s="38"/>
      <c r="E209" s="53" t="s">
        <v>9</v>
      </c>
      <c r="F209" s="25"/>
      <c r="G209" s="17"/>
      <c r="H209" s="19" t="str">
        <f>IF(D212="x",H$2,H$1)</f>
        <v>CORRECTO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5" t="s">
        <v>15</v>
      </c>
      <c r="C210" s="122" t="s">
        <v>165</v>
      </c>
      <c r="D210" s="38"/>
      <c r="E210" s="53" t="s">
        <v>10</v>
      </c>
      <c r="F210" s="20" t="str">
        <f>IF(H211=1,IF(H209=H$2,H209,""),"")</f>
        <v>CORRECTO</v>
      </c>
      <c r="G210" s="17"/>
      <c r="H210" s="19">
        <f>IF(E$262="comprobar",COUNTIF(D209:D213,"x"),"")</f>
        <v>1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5" t="s">
        <v>15</v>
      </c>
      <c r="C211" s="122" t="s">
        <v>166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1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5" t="s">
        <v>15</v>
      </c>
      <c r="C212" s="122" t="s">
        <v>38</v>
      </c>
      <c r="D212" s="38" t="s">
        <v>581</v>
      </c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1" t="s">
        <v>19</v>
      </c>
      <c r="C214" s="86" t="s">
        <v>167</v>
      </c>
      <c r="D214" s="39"/>
      <c r="E214" s="52"/>
      <c r="F214" s="27"/>
      <c r="G214" s="13"/>
      <c r="H214" s="13"/>
    </row>
    <row r="215" spans="1:40" x14ac:dyDescent="0.25">
      <c r="B215" s="85" t="s">
        <v>15</v>
      </c>
      <c r="C215" s="122" t="s">
        <v>168</v>
      </c>
      <c r="D215" s="38"/>
      <c r="E215" s="53" t="s">
        <v>9</v>
      </c>
      <c r="F215" s="25"/>
      <c r="G215" s="17"/>
      <c r="H215" s="19" t="str">
        <f>IF(D216="x",H$2,H$1)</f>
        <v>CORRECTO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5" t="s">
        <v>15</v>
      </c>
      <c r="C216" s="122" t="s">
        <v>169</v>
      </c>
      <c r="D216" s="38" t="s">
        <v>581</v>
      </c>
      <c r="E216" s="53" t="s">
        <v>10</v>
      </c>
      <c r="F216" s="20" t="str">
        <f>IF(H217=1,IF(H215=H$2,H215,""),"")</f>
        <v>CORRECTO</v>
      </c>
      <c r="G216" s="17"/>
      <c r="H216" s="19">
        <f>IF(E$262="comprobar",COUNTIF(D215:D219,"x"),"")</f>
        <v>1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5" t="s">
        <v>15</v>
      </c>
      <c r="C217" s="122" t="s">
        <v>170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1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5" t="s">
        <v>15</v>
      </c>
      <c r="C218" s="122" t="s">
        <v>171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1" t="s">
        <v>20</v>
      </c>
      <c r="C220" s="86" t="s">
        <v>172</v>
      </c>
      <c r="D220" s="39"/>
      <c r="E220" s="52"/>
      <c r="F220" s="27"/>
      <c r="G220" s="13"/>
      <c r="H220" s="13"/>
    </row>
    <row r="221" spans="1:40" x14ac:dyDescent="0.25">
      <c r="B221" s="85" t="s">
        <v>15</v>
      </c>
      <c r="C221" s="122" t="s">
        <v>173</v>
      </c>
      <c r="D221" s="38"/>
      <c r="E221" s="53" t="s">
        <v>9</v>
      </c>
      <c r="F221" s="25"/>
      <c r="G221" s="17"/>
      <c r="H221" s="19" t="str">
        <f>IF(D222="x",H$2,H$1)</f>
        <v>CORRECTO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5" t="s">
        <v>15</v>
      </c>
      <c r="C222" s="122" t="s">
        <v>174</v>
      </c>
      <c r="D222" s="38" t="s">
        <v>581</v>
      </c>
      <c r="E222" s="53" t="s">
        <v>10</v>
      </c>
      <c r="F222" s="20" t="str">
        <f>IF(H223=1,IF(H221=H$2,H221,""),"")</f>
        <v>CORRECTO</v>
      </c>
      <c r="G222" s="17"/>
      <c r="H222" s="19">
        <f>IF(E$262="comprobar",COUNTIF(D221:D225,"x"),"")</f>
        <v>1</v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5" t="s">
        <v>15</v>
      </c>
      <c r="C223" s="122" t="s">
        <v>175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1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5" t="s">
        <v>15</v>
      </c>
      <c r="C224" s="122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1" t="s">
        <v>21</v>
      </c>
      <c r="C226" s="86" t="s">
        <v>176</v>
      </c>
      <c r="D226" s="39"/>
      <c r="E226" s="52"/>
      <c r="F226" s="27"/>
      <c r="G226" s="13"/>
      <c r="H226" s="13"/>
    </row>
    <row r="227" spans="1:40" x14ac:dyDescent="0.25">
      <c r="B227" s="85" t="s">
        <v>15</v>
      </c>
      <c r="C227" s="122" t="s">
        <v>595</v>
      </c>
      <c r="D227" s="38" t="s">
        <v>581</v>
      </c>
      <c r="E227" s="53" t="s">
        <v>9</v>
      </c>
      <c r="F227" s="25"/>
      <c r="G227" s="17"/>
      <c r="H227" s="19" t="str">
        <f>IF(D227="x",H$2,H$1)</f>
        <v>CORRECTO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5" t="s">
        <v>15</v>
      </c>
      <c r="C228" s="122" t="s">
        <v>596</v>
      </c>
      <c r="D228" s="38"/>
      <c r="E228" s="53" t="s">
        <v>10</v>
      </c>
      <c r="F228" s="20" t="str">
        <f>IF(H229=1,IF(H227=H$2,H227,""),"")</f>
        <v>CORRECTO</v>
      </c>
      <c r="G228" s="17"/>
      <c r="H228" s="19">
        <f>IF(E$262="comprobar",COUNTIF(D227:D231,"x"),"")</f>
        <v>1</v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5" t="s">
        <v>15</v>
      </c>
      <c r="C229" s="122" t="s">
        <v>597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1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5" t="s">
        <v>15</v>
      </c>
      <c r="C230" s="122" t="s">
        <v>590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1" t="s">
        <v>22</v>
      </c>
      <c r="C232" s="86" t="s">
        <v>177</v>
      </c>
      <c r="D232" s="39"/>
      <c r="E232" s="52"/>
      <c r="F232" s="27"/>
      <c r="G232" s="13"/>
      <c r="H232" s="13"/>
    </row>
    <row r="233" spans="1:40" x14ac:dyDescent="0.25">
      <c r="B233" s="85" t="s">
        <v>15</v>
      </c>
      <c r="C233" s="122" t="s">
        <v>178</v>
      </c>
      <c r="D233" s="38" t="s">
        <v>581</v>
      </c>
      <c r="E233" s="53" t="s">
        <v>9</v>
      </c>
      <c r="F233" s="25"/>
      <c r="G233" s="17"/>
      <c r="H233" s="19" t="str">
        <f>IF(D233="x",H$2,H$1)</f>
        <v>CORRECTO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5" t="s">
        <v>15</v>
      </c>
      <c r="C234" s="122" t="s">
        <v>179</v>
      </c>
      <c r="D234" s="38"/>
      <c r="E234" s="53" t="s">
        <v>10</v>
      </c>
      <c r="F234" s="20" t="str">
        <f>IF(H235=1,IF(H233=H$2,H233,""),"")</f>
        <v>CORRECTO</v>
      </c>
      <c r="G234" s="17"/>
      <c r="H234" s="19">
        <f>IF(E$262="comprobar",COUNTIF(D233:D237,"x"),"")</f>
        <v>1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5" t="s">
        <v>15</v>
      </c>
      <c r="C235" s="122" t="s">
        <v>180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1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5" t="s">
        <v>15</v>
      </c>
      <c r="C236" s="122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1" t="s">
        <v>23</v>
      </c>
      <c r="C238" s="86" t="s">
        <v>181</v>
      </c>
      <c r="D238" s="39"/>
      <c r="E238" s="52"/>
      <c r="F238" s="27"/>
      <c r="G238" s="13"/>
      <c r="H238" s="13"/>
    </row>
    <row r="239" spans="1:40" x14ac:dyDescent="0.25">
      <c r="B239" s="85" t="s">
        <v>15</v>
      </c>
      <c r="C239" s="122" t="s">
        <v>182</v>
      </c>
      <c r="D239" s="38"/>
      <c r="E239" s="53" t="s">
        <v>9</v>
      </c>
      <c r="F239" s="25"/>
      <c r="G239" s="17"/>
      <c r="H239" s="19" t="str">
        <f>IF(D242="x",H$2,H$1)</f>
        <v>CORRECTO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5" t="s">
        <v>15</v>
      </c>
      <c r="C240" s="122" t="s">
        <v>183</v>
      </c>
      <c r="D240" s="38"/>
      <c r="E240" s="53" t="s">
        <v>10</v>
      </c>
      <c r="F240" s="20" t="str">
        <f>IF(H241=1,IF(H239=H$2,H239,""),"")</f>
        <v>CORRECTO</v>
      </c>
      <c r="G240" s="17"/>
      <c r="H240" s="19">
        <f>IF(E$262="comprobar",COUNTIF(D239:D243,"x"),"")</f>
        <v>1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5" t="s">
        <v>15</v>
      </c>
      <c r="C241" s="122" t="s">
        <v>184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1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5" t="s">
        <v>15</v>
      </c>
      <c r="C242" s="122" t="s">
        <v>97</v>
      </c>
      <c r="D242" s="38" t="s">
        <v>581</v>
      </c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1" t="s">
        <v>24</v>
      </c>
      <c r="C244" s="86" t="s">
        <v>185</v>
      </c>
      <c r="D244" s="39"/>
      <c r="E244" s="52"/>
      <c r="F244" s="27"/>
      <c r="G244" s="13"/>
      <c r="H244" s="13"/>
    </row>
    <row r="245" spans="1:40" x14ac:dyDescent="0.25">
      <c r="B245" s="85" t="s">
        <v>15</v>
      </c>
      <c r="C245" s="122" t="s">
        <v>186</v>
      </c>
      <c r="D245" s="38"/>
      <c r="E245" s="53" t="s">
        <v>9</v>
      </c>
      <c r="F245" s="25"/>
      <c r="G245" s="17"/>
      <c r="H245" s="19" t="str">
        <f>IF(D247="x",H$2,H$1)</f>
        <v>CORRECTO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5" t="s">
        <v>15</v>
      </c>
      <c r="C246" s="122" t="s">
        <v>187</v>
      </c>
      <c r="D246" s="38"/>
      <c r="E246" s="53" t="s">
        <v>10</v>
      </c>
      <c r="F246" s="20" t="str">
        <f>IF(H247=1,IF(H245=H$2,H245,""),"")</f>
        <v>CORRECTO</v>
      </c>
      <c r="G246" s="17"/>
      <c r="H246" s="19">
        <f>IF(E$262="comprobar",COUNTIF(D245:D249,"x"),"")</f>
        <v>1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5" t="s">
        <v>15</v>
      </c>
      <c r="C247" s="122" t="s">
        <v>188</v>
      </c>
      <c r="D247" s="38" t="s">
        <v>581</v>
      </c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1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5" t="s">
        <v>15</v>
      </c>
      <c r="C248" s="122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1" t="s">
        <v>29</v>
      </c>
      <c r="C250" s="86" t="s">
        <v>189</v>
      </c>
      <c r="D250" s="39"/>
      <c r="E250" s="52"/>
      <c r="F250" s="27"/>
      <c r="G250" s="13"/>
      <c r="H250" s="13"/>
    </row>
    <row r="251" spans="1:40" x14ac:dyDescent="0.25">
      <c r="B251" s="85" t="s">
        <v>15</v>
      </c>
      <c r="C251" s="122" t="s">
        <v>190</v>
      </c>
      <c r="D251" s="38"/>
      <c r="E251" s="53" t="s">
        <v>9</v>
      </c>
      <c r="F251" s="25"/>
      <c r="G251" s="17"/>
      <c r="H251" s="19" t="str">
        <f>IF(D254="x",H$2,H$1)</f>
        <v>CORRECTO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5" t="s">
        <v>15</v>
      </c>
      <c r="C252" s="122" t="s">
        <v>191</v>
      </c>
      <c r="D252" s="38"/>
      <c r="E252" s="53" t="s">
        <v>10</v>
      </c>
      <c r="F252" s="20" t="str">
        <f>IF(H253=1,IF(H251=H$2,H251,""),"")</f>
        <v>CORRECTO</v>
      </c>
      <c r="G252" s="17"/>
      <c r="H252" s="19">
        <f>IF(E$262="comprobar",COUNTIF(D251:D255,"x"),"")</f>
        <v>1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5" t="s">
        <v>15</v>
      </c>
      <c r="C253" s="122" t="s">
        <v>192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1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5" t="s">
        <v>15</v>
      </c>
      <c r="C254" s="122" t="s">
        <v>97</v>
      </c>
      <c r="D254" s="38" t="s">
        <v>581</v>
      </c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1" t="s">
        <v>27</v>
      </c>
      <c r="C256" s="86" t="s">
        <v>193</v>
      </c>
      <c r="D256" s="39"/>
      <c r="E256" s="52"/>
      <c r="F256" s="27"/>
      <c r="G256" s="26"/>
      <c r="H256" s="13"/>
    </row>
    <row r="257" spans="1:40" x14ac:dyDescent="0.25">
      <c r="B257" s="85" t="s">
        <v>15</v>
      </c>
      <c r="C257" s="122" t="s">
        <v>194</v>
      </c>
      <c r="D257" s="38" t="s">
        <v>581</v>
      </c>
      <c r="E257" s="53" t="s">
        <v>9</v>
      </c>
      <c r="F257" s="25"/>
      <c r="G257" s="24"/>
      <c r="H257" s="19" t="str">
        <f>IF(D257="x",H$2,H$1)</f>
        <v>CORRECTO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5" t="s">
        <v>15</v>
      </c>
      <c r="C258" s="122" t="s">
        <v>195</v>
      </c>
      <c r="D258" s="38"/>
      <c r="E258" s="53" t="s">
        <v>10</v>
      </c>
      <c r="F258" s="20" t="str">
        <f>IF(H259=1,IF(H257=H$2,H257,""),"")</f>
        <v>CORRECTO</v>
      </c>
      <c r="G258" s="24"/>
      <c r="H258" s="19">
        <f>IF(E$262="comprobar",COUNTIF(D257:D261,"x"),"")</f>
        <v>1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5" t="s">
        <v>15</v>
      </c>
      <c r="C259" s="122" t="s">
        <v>196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1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5" t="s">
        <v>15</v>
      </c>
      <c r="C260" s="122" t="s">
        <v>197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 t="s">
        <v>580</v>
      </c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>
        <f>IF(E262="comprobar",H259+H253+H247+H241+H235+H229+H223+H217+H211+H205,"")</f>
        <v>10</v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2"/>
      <c r="C266" s="89"/>
      <c r="D266" s="90"/>
      <c r="E266" s="90"/>
      <c r="F266" s="90"/>
    </row>
    <row r="267" spans="1:40" s="4" customFormat="1" hidden="1" x14ac:dyDescent="0.25">
      <c r="B267" s="17"/>
      <c r="C267" s="17"/>
      <c r="D267" s="48"/>
      <c r="E267" s="53"/>
      <c r="F267" s="93"/>
      <c r="G267" s="17"/>
      <c r="H267" s="17"/>
    </row>
    <row r="268" spans="1:40" s="4" customFormat="1" hidden="1" x14ac:dyDescent="0.25">
      <c r="B268" s="94"/>
      <c r="C268" s="16"/>
      <c r="D268" s="48"/>
      <c r="E268" s="53"/>
      <c r="F268" s="93"/>
      <c r="G268" s="17"/>
      <c r="H268" s="91"/>
    </row>
    <row r="269" spans="1:40" s="75" customFormat="1" ht="14.1" hidden="1" customHeight="1" thickBot="1" x14ac:dyDescent="0.3">
      <c r="B269" s="95"/>
      <c r="C269" s="95"/>
      <c r="D269" s="96"/>
      <c r="E269" s="97"/>
      <c r="F269" s="98"/>
      <c r="G269" s="74"/>
      <c r="H269" s="91"/>
    </row>
    <row r="270" spans="1:40" s="15" customFormat="1" ht="29.1" customHeight="1" x14ac:dyDescent="0.45">
      <c r="A270" s="4"/>
      <c r="B270" s="61" t="s">
        <v>33</v>
      </c>
      <c r="C270" s="117" t="s">
        <v>198</v>
      </c>
      <c r="D270" s="62"/>
      <c r="E270" s="62"/>
      <c r="F270" s="88"/>
      <c r="G270" s="17"/>
      <c r="H270" s="100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1" t="s">
        <v>18</v>
      </c>
      <c r="C271" s="86" t="s">
        <v>199</v>
      </c>
      <c r="D271" s="39"/>
      <c r="E271" s="52"/>
      <c r="F271" s="27"/>
      <c r="G271" s="17"/>
      <c r="H271" s="91" t="str">
        <f>IF(D273="x",H$2,H$1)</f>
        <v>CORRECTO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5" t="s">
        <v>15</v>
      </c>
      <c r="C272" s="122" t="s">
        <v>200</v>
      </c>
      <c r="D272" s="103"/>
      <c r="E272" s="106" t="s">
        <v>9</v>
      </c>
      <c r="F272" s="105" t="str">
        <f>IF(H273=1,IF(H271=H$2,H271,""),"")</f>
        <v>CORRECTO</v>
      </c>
      <c r="G272" s="17"/>
      <c r="H272" s="91">
        <f>IF(E$391="comprobar",COUNTIF(D272:D276,"x"),"")</f>
        <v>1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5" t="s">
        <v>15</v>
      </c>
      <c r="C273" s="122" t="s">
        <v>201</v>
      </c>
      <c r="D273" s="103" t="s">
        <v>581</v>
      </c>
      <c r="E273" s="106" t="s">
        <v>10</v>
      </c>
      <c r="F273" s="107" t="str">
        <f>IF(H273=-0.33,IF(H271=H$1,H271,""),"")</f>
        <v/>
      </c>
      <c r="G273" s="17"/>
      <c r="H273" s="22">
        <f>IF(H272=1,IF(H271=H$2,1,-0.33),0)</f>
        <v>1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5" t="s">
        <v>15</v>
      </c>
      <c r="C274" s="122" t="s">
        <v>202</v>
      </c>
      <c r="D274" s="103"/>
      <c r="E274" s="106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5" t="s">
        <v>15</v>
      </c>
      <c r="C275" s="122" t="s">
        <v>97</v>
      </c>
      <c r="D275" s="103"/>
      <c r="E275" s="106" t="s">
        <v>12</v>
      </c>
      <c r="F275" s="108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5"/>
      <c r="C276" s="24"/>
      <c r="D276" s="103"/>
      <c r="E276" s="106" t="s">
        <v>13</v>
      </c>
      <c r="F276" s="108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1" t="s">
        <v>17</v>
      </c>
      <c r="C277" s="86" t="s">
        <v>203</v>
      </c>
      <c r="D277" s="39"/>
      <c r="E277" s="52"/>
      <c r="F277" s="27"/>
      <c r="G277" s="13"/>
      <c r="H277" s="13"/>
    </row>
    <row r="278" spans="1:40" x14ac:dyDescent="0.25">
      <c r="B278" s="85" t="s">
        <v>15</v>
      </c>
      <c r="C278" s="122" t="s">
        <v>598</v>
      </c>
      <c r="D278" s="103"/>
      <c r="E278" s="106" t="s">
        <v>9</v>
      </c>
      <c r="F278" s="25"/>
      <c r="G278" s="17"/>
      <c r="H278" s="91" t="str">
        <f>IF(D279="x",H$2,H$1)</f>
        <v>CORRECTO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5" t="s">
        <v>15</v>
      </c>
      <c r="C279" s="122" t="s">
        <v>599</v>
      </c>
      <c r="D279" s="103" t="s">
        <v>581</v>
      </c>
      <c r="E279" s="106" t="s">
        <v>10</v>
      </c>
      <c r="F279" s="105" t="str">
        <f>IF(H280=1,IF(H278=H$2,H278,""),"")</f>
        <v>CORRECTO</v>
      </c>
      <c r="G279" s="17"/>
      <c r="H279" s="19">
        <f>IF(E$391="comprobar",COUNTIF(D278:D282,"x"),"")</f>
        <v>1</v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5" t="s">
        <v>15</v>
      </c>
      <c r="C280" s="122" t="s">
        <v>600</v>
      </c>
      <c r="D280" s="103"/>
      <c r="E280" s="106" t="s">
        <v>11</v>
      </c>
      <c r="F280" s="107" t="str">
        <f>IF(H280=-0.33,IF(H278=H$1,H278,""),"")</f>
        <v/>
      </c>
      <c r="G280" s="17"/>
      <c r="H280" s="22">
        <f t="shared" ref="H280" si="20">IF(H279=1,IF(H278=H$2,1,-0.33),0)</f>
        <v>1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5" t="s">
        <v>15</v>
      </c>
      <c r="C281" s="122" t="s">
        <v>601</v>
      </c>
      <c r="D281" s="103"/>
      <c r="E281" s="106" t="s">
        <v>12</v>
      </c>
      <c r="F281" s="25"/>
      <c r="G281" s="17"/>
      <c r="H281" s="100"/>
    </row>
    <row r="282" spans="1:40" s="4" customFormat="1" x14ac:dyDescent="0.25">
      <c r="B282" s="85"/>
      <c r="C282" s="24"/>
      <c r="D282" s="103"/>
      <c r="E282" s="106" t="s">
        <v>13</v>
      </c>
      <c r="F282" s="25"/>
      <c r="G282" s="17"/>
      <c r="H282" s="100"/>
    </row>
    <row r="283" spans="1:40" s="15" customFormat="1" x14ac:dyDescent="0.25">
      <c r="A283" s="4"/>
      <c r="B283" s="121" t="s">
        <v>19</v>
      </c>
      <c r="C283" s="86" t="s">
        <v>204</v>
      </c>
      <c r="D283" s="39"/>
      <c r="E283" s="52"/>
      <c r="F283" s="27"/>
      <c r="G283" s="13"/>
      <c r="H283" s="13"/>
    </row>
    <row r="284" spans="1:40" x14ac:dyDescent="0.25">
      <c r="B284" s="85" t="s">
        <v>15</v>
      </c>
      <c r="C284" s="122" t="s">
        <v>602</v>
      </c>
      <c r="D284" s="103"/>
      <c r="E284" s="106" t="s">
        <v>9</v>
      </c>
      <c r="F284" s="25"/>
      <c r="G284" s="17"/>
      <c r="H284" s="91" t="str">
        <f>IF(D287="x",H$2,H$1)</f>
        <v>CORRECTO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5" t="s">
        <v>15</v>
      </c>
      <c r="C285" s="122" t="s">
        <v>603</v>
      </c>
      <c r="D285" s="103"/>
      <c r="E285" s="106" t="s">
        <v>10</v>
      </c>
      <c r="F285" s="105" t="str">
        <f>IF(H286=1,IF(H284=H$2,H284,""),"")</f>
        <v>CORRECTO</v>
      </c>
      <c r="G285" s="17"/>
      <c r="H285" s="19">
        <f>IF(E$391="comprobar",COUNTIF(D284:D288,"x"),"")</f>
        <v>1</v>
      </c>
    </row>
    <row r="286" spans="1:40" x14ac:dyDescent="0.25">
      <c r="B286" s="85" t="s">
        <v>15</v>
      </c>
      <c r="C286" s="122" t="s">
        <v>604</v>
      </c>
      <c r="D286" s="103"/>
      <c r="E286" s="106" t="s">
        <v>11</v>
      </c>
      <c r="F286" s="107" t="str">
        <f>IF(H286=-0.33,IF(H284=H$1,H284,""),"")</f>
        <v/>
      </c>
      <c r="G286" s="17"/>
      <c r="H286" s="22">
        <f t="shared" ref="H286" si="21">IF(H285=1,IF(H284=H$2,1,-0.33),0)</f>
        <v>1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5" t="s">
        <v>15</v>
      </c>
      <c r="C287" s="122" t="s">
        <v>605</v>
      </c>
      <c r="D287" s="103" t="s">
        <v>581</v>
      </c>
      <c r="E287" s="106" t="s">
        <v>12</v>
      </c>
      <c r="F287" s="25"/>
      <c r="G287" s="17"/>
      <c r="H287" s="100"/>
    </row>
    <row r="288" spans="1:40" s="4" customFormat="1" x14ac:dyDescent="0.25">
      <c r="B288" s="85"/>
      <c r="C288" s="24"/>
      <c r="D288" s="103"/>
      <c r="E288" s="106" t="s">
        <v>13</v>
      </c>
      <c r="F288" s="25"/>
      <c r="G288" s="17"/>
      <c r="H288" s="100"/>
    </row>
    <row r="289" spans="1:40" s="15" customFormat="1" x14ac:dyDescent="0.25">
      <c r="A289" s="4"/>
      <c r="B289" s="121" t="s">
        <v>20</v>
      </c>
      <c r="C289" s="86" t="s">
        <v>205</v>
      </c>
      <c r="D289" s="39"/>
      <c r="E289" s="52"/>
      <c r="F289" s="27"/>
      <c r="G289" s="13"/>
      <c r="H289" s="13"/>
    </row>
    <row r="290" spans="1:40" x14ac:dyDescent="0.25">
      <c r="B290" s="85" t="s">
        <v>15</v>
      </c>
      <c r="C290" s="122" t="s">
        <v>206</v>
      </c>
      <c r="D290" s="103"/>
      <c r="E290" s="106" t="s">
        <v>9</v>
      </c>
      <c r="F290" s="25"/>
      <c r="G290" s="17"/>
      <c r="H290" s="19" t="str">
        <f>IF(D293="x",H$2,H$1)</f>
        <v>CORRECTO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5" t="s">
        <v>15</v>
      </c>
      <c r="C291" s="122" t="s">
        <v>207</v>
      </c>
      <c r="D291" s="103"/>
      <c r="E291" s="106" t="s">
        <v>10</v>
      </c>
      <c r="F291" s="105" t="str">
        <f>IF(H292=1,IF(H290=H$2,H290,""),"")</f>
        <v>CORRECTO</v>
      </c>
      <c r="G291" s="17"/>
      <c r="H291" s="19">
        <f>IF(E$391="comprobar",COUNTIF(D290:D294,"x"),"")</f>
        <v>1</v>
      </c>
    </row>
    <row r="292" spans="1:40" x14ac:dyDescent="0.25">
      <c r="B292" s="85" t="s">
        <v>15</v>
      </c>
      <c r="C292" s="122" t="s">
        <v>208</v>
      </c>
      <c r="D292" s="103"/>
      <c r="E292" s="106" t="s">
        <v>11</v>
      </c>
      <c r="F292" s="107" t="str">
        <f>IF(H292=-0.33,IF(H290=H$1,H290,""),"")</f>
        <v/>
      </c>
      <c r="G292" s="17"/>
      <c r="H292" s="22">
        <f t="shared" ref="H292" si="22">IF(H291=1,IF(H290=H$2,1,-0.33),0)</f>
        <v>1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5" t="s">
        <v>15</v>
      </c>
      <c r="C293" s="122" t="s">
        <v>83</v>
      </c>
      <c r="D293" s="103" t="s">
        <v>581</v>
      </c>
      <c r="E293" s="106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5"/>
      <c r="C294" s="24"/>
      <c r="D294" s="103"/>
      <c r="E294" s="106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1" t="s">
        <v>21</v>
      </c>
      <c r="C295" s="86" t="s">
        <v>209</v>
      </c>
      <c r="D295" s="109"/>
      <c r="E295" s="104"/>
      <c r="F295" s="27"/>
      <c r="G295" s="13"/>
      <c r="H295" s="13"/>
    </row>
    <row r="296" spans="1:40" x14ac:dyDescent="0.25">
      <c r="B296" s="85" t="s">
        <v>15</v>
      </c>
      <c r="C296" s="122" t="s">
        <v>210</v>
      </c>
      <c r="D296" s="103"/>
      <c r="E296" s="106" t="s">
        <v>9</v>
      </c>
      <c r="F296" s="25"/>
      <c r="G296" s="17"/>
      <c r="H296" s="19" t="str">
        <f>IF(D297="x",H$2,H$1)</f>
        <v>CORRECTO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5" t="s">
        <v>15</v>
      </c>
      <c r="C297" s="122" t="s">
        <v>211</v>
      </c>
      <c r="D297" s="103" t="s">
        <v>581</v>
      </c>
      <c r="E297" s="106" t="s">
        <v>10</v>
      </c>
      <c r="F297" s="105" t="str">
        <f>IF(H298=1,IF(H296=H$2,H296,""),"")</f>
        <v>CORRECTO</v>
      </c>
      <c r="G297" s="17"/>
      <c r="H297" s="19">
        <f>IF(E$391="comprobar",COUNTIF(D296:D300,"x"),"")</f>
        <v>1</v>
      </c>
    </row>
    <row r="298" spans="1:40" x14ac:dyDescent="0.25">
      <c r="B298" s="85" t="s">
        <v>15</v>
      </c>
      <c r="C298" s="122" t="s">
        <v>212</v>
      </c>
      <c r="D298" s="103"/>
      <c r="E298" s="106" t="s">
        <v>11</v>
      </c>
      <c r="F298" s="107" t="str">
        <f>IF(H298=-0.33,IF(H296=H$1,H296,""),"")</f>
        <v/>
      </c>
      <c r="G298" s="17"/>
      <c r="H298" s="22">
        <f t="shared" ref="H298" si="23">IF(H297=1,IF(H296=H$2,1,-0.33),0)</f>
        <v>1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5" t="s">
        <v>15</v>
      </c>
      <c r="C299" s="122" t="s">
        <v>213</v>
      </c>
      <c r="D299" s="103"/>
      <c r="E299" s="106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2"/>
      <c r="C300" s="24"/>
      <c r="D300" s="103"/>
      <c r="E300" s="106" t="s">
        <v>13</v>
      </c>
      <c r="F300" s="108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1" t="s">
        <v>22</v>
      </c>
      <c r="C301" s="86" t="s">
        <v>214</v>
      </c>
      <c r="D301" s="109"/>
      <c r="E301" s="104"/>
      <c r="F301" s="27"/>
      <c r="G301" s="13"/>
      <c r="H301" s="13"/>
    </row>
    <row r="302" spans="1:40" x14ac:dyDescent="0.25">
      <c r="B302" s="85" t="s">
        <v>15</v>
      </c>
      <c r="C302" s="122" t="s">
        <v>215</v>
      </c>
      <c r="D302" s="103"/>
      <c r="E302" s="106" t="s">
        <v>9</v>
      </c>
      <c r="F302" s="25"/>
      <c r="G302" s="17"/>
      <c r="H302" s="19" t="str">
        <f>IF(D304="x",H$2,H$1)</f>
        <v>CORRECTO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5" t="s">
        <v>15</v>
      </c>
      <c r="C303" s="122" t="s">
        <v>216</v>
      </c>
      <c r="D303" s="103"/>
      <c r="E303" s="106" t="s">
        <v>10</v>
      </c>
      <c r="F303" s="105" t="str">
        <f>IF(H304=1,IF(H302=H$2,H302,""),"")</f>
        <v>CORRECTO</v>
      </c>
      <c r="G303" s="17"/>
      <c r="H303" s="19">
        <f>IF(E$391="comprobar",COUNTIF(D302:D306,"x"),"")</f>
        <v>1</v>
      </c>
    </row>
    <row r="304" spans="1:40" x14ac:dyDescent="0.25">
      <c r="B304" s="85" t="s">
        <v>15</v>
      </c>
      <c r="C304" s="122" t="s">
        <v>217</v>
      </c>
      <c r="D304" s="103" t="s">
        <v>581</v>
      </c>
      <c r="E304" s="106" t="s">
        <v>11</v>
      </c>
      <c r="F304" s="107" t="str">
        <f>IF(H304=-0.33,IF(H302=H$1,H302,""),"")</f>
        <v/>
      </c>
      <c r="G304" s="17"/>
      <c r="H304" s="22">
        <f t="shared" ref="H304" si="24">IF(H303=1,IF(H302=H$2,1,-0.33),0)</f>
        <v>1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5" t="s">
        <v>15</v>
      </c>
      <c r="C305" s="122" t="s">
        <v>218</v>
      </c>
      <c r="D305" s="103"/>
      <c r="E305" s="106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3"/>
      <c r="E306" s="106" t="s">
        <v>13</v>
      </c>
      <c r="F306" s="108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1" t="s">
        <v>23</v>
      </c>
      <c r="C307" s="86" t="s">
        <v>219</v>
      </c>
      <c r="D307" s="109"/>
      <c r="E307" s="104"/>
      <c r="F307" s="27"/>
      <c r="G307" s="13"/>
      <c r="H307" s="13"/>
    </row>
    <row r="308" spans="1:40" x14ac:dyDescent="0.25">
      <c r="B308" s="85" t="s">
        <v>15</v>
      </c>
      <c r="C308" s="122" t="s">
        <v>220</v>
      </c>
      <c r="D308" s="103"/>
      <c r="E308" s="106" t="s">
        <v>9</v>
      </c>
      <c r="F308" s="25"/>
      <c r="G308" s="17"/>
      <c r="H308" s="19" t="str">
        <f>IF(D311="x",H$2,H$1)</f>
        <v>CORRECTO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5" t="s">
        <v>15</v>
      </c>
      <c r="C309" s="122" t="s">
        <v>221</v>
      </c>
      <c r="D309" s="103"/>
      <c r="E309" s="106" t="s">
        <v>10</v>
      </c>
      <c r="F309" s="105" t="str">
        <f>IF(H310=1,IF(H308=H$2,H308,""),"")</f>
        <v>CORRECTO</v>
      </c>
      <c r="G309" s="17"/>
      <c r="H309" s="19">
        <f>IF(E$391="comprobar",COUNTIF(D308:D312,"x"),"")</f>
        <v>1</v>
      </c>
    </row>
    <row r="310" spans="1:40" x14ac:dyDescent="0.25">
      <c r="B310" s="85" t="s">
        <v>15</v>
      </c>
      <c r="C310" s="122" t="s">
        <v>222</v>
      </c>
      <c r="D310" s="103"/>
      <c r="E310" s="106" t="s">
        <v>11</v>
      </c>
      <c r="F310" s="107" t="str">
        <f>IF(H310=-0.33,IF(H308=H$1,H308,""),"")</f>
        <v/>
      </c>
      <c r="G310" s="17"/>
      <c r="H310" s="22">
        <f t="shared" ref="H310" si="25">IF(H309=1,IF(H308=H$2,1,-0.33),0)</f>
        <v>1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5" t="s">
        <v>15</v>
      </c>
      <c r="C311" s="122" t="s">
        <v>62</v>
      </c>
      <c r="D311" s="103" t="s">
        <v>581</v>
      </c>
      <c r="E311" s="106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3"/>
      <c r="E312" s="106" t="s">
        <v>13</v>
      </c>
      <c r="F312" s="108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1" t="s">
        <v>24</v>
      </c>
      <c r="C313" s="86" t="s">
        <v>223</v>
      </c>
      <c r="D313" s="109"/>
      <c r="E313" s="104"/>
      <c r="F313" s="27"/>
      <c r="G313" s="13"/>
      <c r="H313" s="13"/>
    </row>
    <row r="314" spans="1:40" x14ac:dyDescent="0.25">
      <c r="B314" s="85" t="s">
        <v>15</v>
      </c>
      <c r="C314" s="122" t="s">
        <v>224</v>
      </c>
      <c r="D314" s="103"/>
      <c r="E314" s="106" t="s">
        <v>9</v>
      </c>
      <c r="F314" s="25"/>
      <c r="G314" s="17"/>
      <c r="H314" s="19" t="str">
        <f>IF(D317="x",H$2,H$1)</f>
        <v>CORRECTO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5" t="s">
        <v>15</v>
      </c>
      <c r="C315" s="122" t="s">
        <v>225</v>
      </c>
      <c r="D315" s="103"/>
      <c r="E315" s="106" t="s">
        <v>10</v>
      </c>
      <c r="F315" s="105" t="str">
        <f>IF(H316=1,IF(H314=H$2,H314,""),"")</f>
        <v>CORRECTO</v>
      </c>
      <c r="G315" s="17"/>
      <c r="H315" s="19">
        <f>IF(E$391="comprobar",COUNTIF(D314:D318,"x"),"")</f>
        <v>1</v>
      </c>
    </row>
    <row r="316" spans="1:40" x14ac:dyDescent="0.25">
      <c r="B316" s="85" t="s">
        <v>15</v>
      </c>
      <c r="C316" s="122" t="s">
        <v>226</v>
      </c>
      <c r="D316" s="103"/>
      <c r="E316" s="106" t="s">
        <v>11</v>
      </c>
      <c r="F316" s="107" t="str">
        <f>IF(H316=-0.33,IF(H314=H$1,H314,""),"")</f>
        <v/>
      </c>
      <c r="G316" s="17"/>
      <c r="H316" s="22">
        <f t="shared" ref="H316" si="26">IF(H315=1,IF(H314=H$2,1,-0.33),0)</f>
        <v>1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5" t="s">
        <v>15</v>
      </c>
      <c r="C317" s="122" t="s">
        <v>97</v>
      </c>
      <c r="D317" s="103" t="s">
        <v>581</v>
      </c>
      <c r="E317" s="106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3"/>
      <c r="E318" s="106" t="s">
        <v>13</v>
      </c>
      <c r="F318" s="108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1" t="s">
        <v>29</v>
      </c>
      <c r="C319" s="86" t="s">
        <v>227</v>
      </c>
      <c r="D319" s="109"/>
      <c r="E319" s="104"/>
      <c r="F319" s="27"/>
      <c r="G319" s="26"/>
      <c r="H319" s="13"/>
    </row>
    <row r="320" spans="1:40" s="4" customFormat="1" x14ac:dyDescent="0.25">
      <c r="B320" s="85" t="s">
        <v>15</v>
      </c>
      <c r="C320" s="122" t="s">
        <v>228</v>
      </c>
      <c r="D320" s="103"/>
      <c r="E320" s="106" t="s">
        <v>9</v>
      </c>
      <c r="F320" s="25"/>
      <c r="G320" s="99"/>
      <c r="H320" s="91" t="str">
        <f>IF(D321="x",H$2,H$1)</f>
        <v>CORRECTO</v>
      </c>
    </row>
    <row r="321" spans="1:40" s="4" customFormat="1" x14ac:dyDescent="0.25">
      <c r="B321" s="85" t="s">
        <v>15</v>
      </c>
      <c r="C321" s="122" t="s">
        <v>229</v>
      </c>
      <c r="D321" s="103" t="s">
        <v>581</v>
      </c>
      <c r="E321" s="106" t="s">
        <v>10</v>
      </c>
      <c r="F321" s="105" t="str">
        <f>IF(H322=1,IF(H320=H$2,H320,""),"")</f>
        <v>CORRECTO</v>
      </c>
      <c r="G321" s="99"/>
      <c r="H321" s="91">
        <f>IF(E$391="comprobar",COUNTIF(D320:D324,"x"),"")</f>
        <v>1</v>
      </c>
    </row>
    <row r="322" spans="1:40" s="4" customFormat="1" x14ac:dyDescent="0.25">
      <c r="B322" s="85" t="s">
        <v>15</v>
      </c>
      <c r="C322" s="122" t="s">
        <v>230</v>
      </c>
      <c r="D322" s="103"/>
      <c r="E322" s="106" t="s">
        <v>11</v>
      </c>
      <c r="F322" s="107" t="str">
        <f>IF(H322=-0.33,IF(H320=H$1,H320,""),"")</f>
        <v/>
      </c>
      <c r="G322" s="99"/>
      <c r="H322" s="100">
        <f t="shared" ref="H322" si="27">IF(H321=1,IF(H320=H$2,1,-0.33),0)</f>
        <v>1</v>
      </c>
    </row>
    <row r="323" spans="1:40" x14ac:dyDescent="0.25">
      <c r="B323" s="85" t="s">
        <v>15</v>
      </c>
      <c r="C323" s="122" t="s">
        <v>231</v>
      </c>
      <c r="D323" s="103"/>
      <c r="E323" s="106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3"/>
      <c r="E324" s="106" t="s">
        <v>13</v>
      </c>
      <c r="F324" s="108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1" t="s">
        <v>27</v>
      </c>
      <c r="C325" s="86" t="s">
        <v>232</v>
      </c>
      <c r="D325" s="109"/>
      <c r="E325" s="104"/>
      <c r="F325" s="27"/>
      <c r="G325" s="13"/>
      <c r="H325" s="13"/>
    </row>
    <row r="326" spans="1:40" x14ac:dyDescent="0.25">
      <c r="B326" s="85" t="s">
        <v>15</v>
      </c>
      <c r="C326" s="122" t="s">
        <v>233</v>
      </c>
      <c r="D326" s="103" t="s">
        <v>581</v>
      </c>
      <c r="E326" s="106" t="s">
        <v>9</v>
      </c>
      <c r="F326" s="25"/>
      <c r="G326" s="24"/>
      <c r="H326" s="19" t="str">
        <f>IF(D326="x",H$2,H$1)</f>
        <v>CORRECTO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5" t="s">
        <v>15</v>
      </c>
      <c r="C327" s="122" t="s">
        <v>234</v>
      </c>
      <c r="D327" s="103"/>
      <c r="E327" s="106" t="s">
        <v>10</v>
      </c>
      <c r="F327" s="105" t="str">
        <f>IF(H328=1,IF(H326=H$2,H326,""),"")</f>
        <v>CORRECTO</v>
      </c>
      <c r="G327" s="24"/>
      <c r="H327" s="19">
        <f>IF(E$391="comprobar",COUNTIF(D326:D330,"x"),"")</f>
        <v>1</v>
      </c>
    </row>
    <row r="328" spans="1:40" x14ac:dyDescent="0.25">
      <c r="B328" s="85" t="s">
        <v>15</v>
      </c>
      <c r="C328" s="122" t="s">
        <v>235</v>
      </c>
      <c r="D328" s="103"/>
      <c r="E328" s="106" t="s">
        <v>11</v>
      </c>
      <c r="F328" s="107" t="str">
        <f>IF(H328=-0.33,IF(H326=H$1,H326,""),"")</f>
        <v/>
      </c>
      <c r="G328" s="24"/>
      <c r="H328" s="22">
        <f t="shared" ref="H328" si="28">IF(H327=1,IF(H326=H$2,1,-0.33),0)</f>
        <v>1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5" t="s">
        <v>15</v>
      </c>
      <c r="C329" s="122" t="s">
        <v>62</v>
      </c>
      <c r="D329" s="103"/>
      <c r="E329" s="106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3"/>
      <c r="E330" s="106" t="s">
        <v>13</v>
      </c>
      <c r="F330" s="108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8" t="s">
        <v>236</v>
      </c>
      <c r="C331" s="86" t="s">
        <v>247</v>
      </c>
      <c r="D331" s="109"/>
      <c r="E331" s="104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5" t="s">
        <v>15</v>
      </c>
      <c r="C332" s="122" t="s">
        <v>248</v>
      </c>
      <c r="D332" s="103"/>
      <c r="E332" s="106" t="s">
        <v>9</v>
      </c>
      <c r="F332" s="25"/>
      <c r="G332" s="24"/>
      <c r="H332" s="19" t="str">
        <f>IF(D334="x",H$2,H$1)</f>
        <v>CORRECTO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5" t="s">
        <v>15</v>
      </c>
      <c r="C333" s="134">
        <v>192168255254</v>
      </c>
      <c r="D333" s="103"/>
      <c r="E333" s="106" t="s">
        <v>10</v>
      </c>
      <c r="F333" s="105" t="str">
        <f>IF(H334=1,IF(H332=H$2,H332,""),"")</f>
        <v>CORRECTO</v>
      </c>
      <c r="G333" s="24"/>
      <c r="H333" s="19">
        <f>IF(E$391="comprobar",COUNTIF(D332:D336,"x"),"")</f>
        <v>1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5" t="s">
        <v>15</v>
      </c>
      <c r="C334" s="122" t="s">
        <v>249</v>
      </c>
      <c r="D334" s="103" t="s">
        <v>581</v>
      </c>
      <c r="E334" s="106" t="s">
        <v>11</v>
      </c>
      <c r="F334" s="107" t="str">
        <f>IF(H334=-0.33,IF(H332=H$1,H332,""),"")</f>
        <v/>
      </c>
      <c r="G334" s="24"/>
      <c r="H334" s="22">
        <f t="shared" ref="H334" si="29">IF(H333=1,IF(H332=H$2,1,-0.33),0)</f>
        <v>1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5" t="s">
        <v>15</v>
      </c>
      <c r="C335" s="122" t="s">
        <v>250</v>
      </c>
      <c r="D335" s="103"/>
      <c r="E335" s="106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3"/>
      <c r="E336" s="106" t="s">
        <v>13</v>
      </c>
      <c r="F336" s="108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8" t="s">
        <v>237</v>
      </c>
      <c r="C337" s="86" t="s">
        <v>251</v>
      </c>
      <c r="D337" s="109"/>
      <c r="E337" s="104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5" t="s">
        <v>15</v>
      </c>
      <c r="C338" s="122" t="s">
        <v>252</v>
      </c>
      <c r="D338" s="103"/>
      <c r="E338" s="106" t="s">
        <v>9</v>
      </c>
      <c r="F338" s="25"/>
      <c r="G338" s="24"/>
      <c r="H338" s="19" t="str">
        <f>IF(D339="x",H$2,H$1)</f>
        <v>CORRECTO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5" t="s">
        <v>15</v>
      </c>
      <c r="C339" s="122" t="s">
        <v>253</v>
      </c>
      <c r="D339" s="103" t="s">
        <v>581</v>
      </c>
      <c r="E339" s="106" t="s">
        <v>10</v>
      </c>
      <c r="F339" s="105" t="str">
        <f>IF(H340=1,IF(H338=H$2,H338,""),"")</f>
        <v>CORRECTO</v>
      </c>
      <c r="G339" s="24"/>
      <c r="H339" s="19">
        <f>IF(E$391="comprobar",COUNTIF(D338:D342,"x"),"")</f>
        <v>1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5" t="s">
        <v>15</v>
      </c>
      <c r="C340" s="122" t="s">
        <v>254</v>
      </c>
      <c r="D340" s="103"/>
      <c r="E340" s="106" t="s">
        <v>11</v>
      </c>
      <c r="F340" s="107" t="str">
        <f>IF(H340=-0.33,IF(H338=H$1,H338,""),"")</f>
        <v/>
      </c>
      <c r="G340" s="24"/>
      <c r="H340" s="22">
        <f t="shared" ref="H340" si="30">IF(H339=1,IF(H338=H$2,1,-0.33),0)</f>
        <v>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5" t="s">
        <v>15</v>
      </c>
      <c r="C341" s="122" t="s">
        <v>255</v>
      </c>
      <c r="D341" s="103"/>
      <c r="E341" s="106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3"/>
      <c r="E342" s="106" t="s">
        <v>13</v>
      </c>
      <c r="F342" s="108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8" t="s">
        <v>238</v>
      </c>
      <c r="C343" s="86" t="s">
        <v>256</v>
      </c>
      <c r="D343" s="109"/>
      <c r="E343" s="104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5" t="s">
        <v>15</v>
      </c>
      <c r="C344" s="122" t="s">
        <v>257</v>
      </c>
      <c r="D344" s="103"/>
      <c r="E344" s="106" t="s">
        <v>9</v>
      </c>
      <c r="F344" s="25"/>
      <c r="G344" s="24"/>
      <c r="H344" s="19" t="str">
        <f>IF(D345="x",H$2,H$1)</f>
        <v>CORRECTO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5" t="s">
        <v>15</v>
      </c>
      <c r="C345" s="122" t="s">
        <v>258</v>
      </c>
      <c r="D345" s="103" t="s">
        <v>581</v>
      </c>
      <c r="E345" s="106" t="s">
        <v>10</v>
      </c>
      <c r="F345" s="105" t="str">
        <f>IF(H346=1,IF(H344=H$2,H344,""),"")</f>
        <v>CORRECTO</v>
      </c>
      <c r="G345" s="24"/>
      <c r="H345" s="19">
        <f>IF(E$391="comprobar",COUNTIF(D344:D348,"x"),"")</f>
        <v>1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5" t="s">
        <v>15</v>
      </c>
      <c r="C346" s="122" t="s">
        <v>259</v>
      </c>
      <c r="D346" s="103"/>
      <c r="E346" s="106" t="s">
        <v>11</v>
      </c>
      <c r="F346" s="107" t="str">
        <f>IF(H346=-0.33,IF(H344=H$1,H344,""),"")</f>
        <v/>
      </c>
      <c r="G346" s="24"/>
      <c r="H346" s="22">
        <f t="shared" ref="H346" si="31">IF(H345=1,IF(H344=H$2,1,-0.33),0)</f>
        <v>1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5" t="s">
        <v>15</v>
      </c>
      <c r="C347" s="122" t="s">
        <v>260</v>
      </c>
      <c r="D347" s="103"/>
      <c r="E347" s="106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3"/>
      <c r="E348" s="106" t="s">
        <v>13</v>
      </c>
      <c r="F348" s="108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8" t="s">
        <v>239</v>
      </c>
      <c r="C349" s="86" t="s">
        <v>261</v>
      </c>
      <c r="D349" s="109"/>
      <c r="E349" s="104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5" t="s">
        <v>15</v>
      </c>
      <c r="C350" s="122" t="s">
        <v>262</v>
      </c>
      <c r="D350" s="103"/>
      <c r="E350" s="106" t="s">
        <v>9</v>
      </c>
      <c r="F350" s="25"/>
      <c r="G350" s="24"/>
      <c r="H350" s="19" t="str">
        <f>IF(D352="x",H$2,H$1)</f>
        <v>CORRECTO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5" t="s">
        <v>15</v>
      </c>
      <c r="C351" s="122" t="s">
        <v>263</v>
      </c>
      <c r="D351" s="103"/>
      <c r="E351" s="106" t="s">
        <v>10</v>
      </c>
      <c r="F351" s="105" t="str">
        <f>IF(H352=1,IF(H350=H$2,H350,""),"")</f>
        <v>CORRECTO</v>
      </c>
      <c r="G351" s="24"/>
      <c r="H351" s="19">
        <f>IF(E$391="comprobar",COUNTIF(D350:D354,"x"),"")</f>
        <v>1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5" t="s">
        <v>15</v>
      </c>
      <c r="C352" s="122" t="s">
        <v>264</v>
      </c>
      <c r="D352" s="103" t="s">
        <v>581</v>
      </c>
      <c r="E352" s="106" t="s">
        <v>11</v>
      </c>
      <c r="F352" s="107" t="str">
        <f>IF(H352=-0.33,IF(H350=H$1,H350,""),"")</f>
        <v/>
      </c>
      <c r="G352" s="24"/>
      <c r="H352" s="22">
        <f t="shared" ref="H352" si="32">IF(H351=1,IF(H350=H$2,1,-0.33),0)</f>
        <v>1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5" t="s">
        <v>15</v>
      </c>
      <c r="C353" s="122" t="s">
        <v>265</v>
      </c>
      <c r="D353" s="103"/>
      <c r="E353" s="106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3"/>
      <c r="E354" s="106" t="s">
        <v>13</v>
      </c>
      <c r="F354" s="108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8" t="s">
        <v>240</v>
      </c>
      <c r="C355" s="86" t="s">
        <v>266</v>
      </c>
      <c r="D355" s="109"/>
      <c r="E355" s="104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5" t="s">
        <v>15</v>
      </c>
      <c r="C356" s="122" t="s">
        <v>267</v>
      </c>
      <c r="D356" s="103"/>
      <c r="E356" s="106" t="s">
        <v>9</v>
      </c>
      <c r="F356" s="25"/>
      <c r="G356" s="24"/>
      <c r="H356" s="19" t="str">
        <f>IF(D358="x",H$2,H$1)</f>
        <v>CORRECTO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5" t="s">
        <v>15</v>
      </c>
      <c r="C357" s="122" t="s">
        <v>268</v>
      </c>
      <c r="D357" s="103"/>
      <c r="E357" s="106" t="s">
        <v>10</v>
      </c>
      <c r="F357" s="105" t="str">
        <f>IF(H358=1,IF(H356=H$2,H356,""),"")</f>
        <v>CORRECTO</v>
      </c>
      <c r="G357" s="24"/>
      <c r="H357" s="19">
        <f>IF(E$391="comprobar",COUNTIF(D356:D360,"x"),"")</f>
        <v>1</v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5" t="s">
        <v>15</v>
      </c>
      <c r="C358" s="122" t="s">
        <v>269</v>
      </c>
      <c r="D358" s="103" t="s">
        <v>581</v>
      </c>
      <c r="E358" s="106" t="s">
        <v>11</v>
      </c>
      <c r="F358" s="107" t="str">
        <f>IF(H358=-0.33,IF(H356=H$1,H356,""),"")</f>
        <v/>
      </c>
      <c r="G358" s="24"/>
      <c r="H358" s="22">
        <f t="shared" ref="H358" si="33">IF(H357=1,IF(H356=H$2,1,-0.33),0)</f>
        <v>1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5" t="s">
        <v>15</v>
      </c>
      <c r="C359" s="134">
        <v>255255255192</v>
      </c>
      <c r="D359" s="103"/>
      <c r="E359" s="106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3"/>
      <c r="E360" s="106" t="s">
        <v>13</v>
      </c>
      <c r="F360" s="108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8" t="s">
        <v>241</v>
      </c>
      <c r="C361" s="86" t="s">
        <v>270</v>
      </c>
      <c r="D361" s="109"/>
      <c r="E361" s="104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5" t="s">
        <v>15</v>
      </c>
      <c r="C362" s="122" t="s">
        <v>271</v>
      </c>
      <c r="D362" s="103"/>
      <c r="E362" s="106" t="s">
        <v>9</v>
      </c>
      <c r="F362" s="25"/>
      <c r="G362" s="24"/>
      <c r="H362" s="19" t="str">
        <f>IF(D364="x",H$2,H$1)</f>
        <v>CORRECTO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5" t="s">
        <v>15</v>
      </c>
      <c r="C363" s="122" t="s">
        <v>272</v>
      </c>
      <c r="D363" s="103"/>
      <c r="E363" s="106" t="s">
        <v>10</v>
      </c>
      <c r="F363" s="105" t="str">
        <f>IF(H364=1,IF(H362=H$2,H362,""),"")</f>
        <v>CORRECTO</v>
      </c>
      <c r="G363" s="24"/>
      <c r="H363" s="19">
        <f>IF(E$391="comprobar",COUNTIF(D362:D366,"x"),"")</f>
        <v>1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5" t="s">
        <v>15</v>
      </c>
      <c r="C364" s="122" t="s">
        <v>273</v>
      </c>
      <c r="D364" s="103" t="s">
        <v>581</v>
      </c>
      <c r="E364" s="106" t="s">
        <v>11</v>
      </c>
      <c r="F364" s="107" t="str">
        <f>IF(H364=-0.33,IF(H362=H$1,H362,""),"")</f>
        <v/>
      </c>
      <c r="G364" s="24"/>
      <c r="H364" s="22">
        <f t="shared" ref="H364" si="34">IF(H363=1,IF(H362=H$2,1,-0.33),0)</f>
        <v>1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5" t="s">
        <v>15</v>
      </c>
      <c r="C365" s="122" t="s">
        <v>274</v>
      </c>
      <c r="D365" s="103"/>
      <c r="E365" s="106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3"/>
      <c r="E366" s="106" t="s">
        <v>13</v>
      </c>
      <c r="F366" s="108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8" t="s">
        <v>242</v>
      </c>
      <c r="C367" s="86" t="s">
        <v>275</v>
      </c>
      <c r="D367" s="109"/>
      <c r="E367" s="104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5" t="s">
        <v>15</v>
      </c>
      <c r="C368" s="129">
        <v>10</v>
      </c>
      <c r="D368" s="103"/>
      <c r="E368" s="106" t="s">
        <v>9</v>
      </c>
      <c r="F368" s="25"/>
      <c r="G368" s="24"/>
      <c r="H368" s="19" t="str">
        <f>IF(D371="x",H$2,H$1)</f>
        <v>CORRECTO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5" t="s">
        <v>15</v>
      </c>
      <c r="C369" s="129">
        <v>5</v>
      </c>
      <c r="D369" s="103"/>
      <c r="E369" s="106" t="s">
        <v>10</v>
      </c>
      <c r="F369" s="105" t="str">
        <f>IF(H370=1,IF(H368=H$2,H368,""),"")</f>
        <v>CORRECTO</v>
      </c>
      <c r="G369" s="24"/>
      <c r="H369" s="19">
        <f>IF(E$391="comprobar",COUNTIF(D368:D372,"x"),"")</f>
        <v>1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5" t="s">
        <v>15</v>
      </c>
      <c r="C370" s="129">
        <v>6</v>
      </c>
      <c r="D370" s="103"/>
      <c r="E370" s="106" t="s">
        <v>11</v>
      </c>
      <c r="F370" s="107" t="str">
        <f>IF(H370=-0.33,IF(H368=H$1,H368,""),"")</f>
        <v/>
      </c>
      <c r="G370" s="24"/>
      <c r="H370" s="22">
        <f t="shared" ref="H370" si="35">IF(H369=1,IF(H368=H$2,1,-0.33),0)</f>
        <v>1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5" t="s">
        <v>15</v>
      </c>
      <c r="C371" s="129">
        <v>7</v>
      </c>
      <c r="D371" s="103" t="s">
        <v>581</v>
      </c>
      <c r="E371" s="106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3"/>
      <c r="E372" s="106" t="s">
        <v>13</v>
      </c>
      <c r="F372" s="108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8" t="s">
        <v>243</v>
      </c>
      <c r="C373" s="86" t="s">
        <v>276</v>
      </c>
      <c r="D373" s="109"/>
      <c r="E373" s="104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5" t="s">
        <v>15</v>
      </c>
      <c r="C374" s="122" t="s">
        <v>277</v>
      </c>
      <c r="D374" s="103"/>
      <c r="E374" s="106" t="s">
        <v>9</v>
      </c>
      <c r="F374" s="25"/>
      <c r="G374" s="24"/>
      <c r="H374" s="19" t="str">
        <f>IF(D375="x",H$2,H$1)</f>
        <v>CORRECTO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5" t="s">
        <v>15</v>
      </c>
      <c r="C375" s="122" t="s">
        <v>278</v>
      </c>
      <c r="D375" s="103" t="s">
        <v>581</v>
      </c>
      <c r="E375" s="106" t="s">
        <v>10</v>
      </c>
      <c r="F375" s="105" t="str">
        <f>IF(H376=1,IF(H374=H$2,H374,""),"")</f>
        <v>CORRECTO</v>
      </c>
      <c r="G375" s="24"/>
      <c r="H375" s="19">
        <f>IF(E$391="comprobar",COUNTIF(D374:D378,"x"),"")</f>
        <v>1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5" t="s">
        <v>15</v>
      </c>
      <c r="C376" s="122" t="s">
        <v>279</v>
      </c>
      <c r="D376" s="103"/>
      <c r="E376" s="106" t="s">
        <v>11</v>
      </c>
      <c r="F376" s="107" t="str">
        <f>IF(H376=-0.33,IF(H374=H$1,H374,""),"")</f>
        <v/>
      </c>
      <c r="G376" s="24"/>
      <c r="H376" s="22">
        <f t="shared" ref="H376" si="36">IF(H375=1,IF(H374=H$2,1,-0.33),0)</f>
        <v>1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5" t="s">
        <v>15</v>
      </c>
      <c r="C377" s="122" t="s">
        <v>280</v>
      </c>
      <c r="D377" s="103"/>
      <c r="E377" s="106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3"/>
      <c r="E378" s="106" t="s">
        <v>13</v>
      </c>
      <c r="F378" s="108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8" t="s">
        <v>244</v>
      </c>
      <c r="C379" s="86" t="s">
        <v>281</v>
      </c>
      <c r="D379" s="109"/>
      <c r="E379" s="104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5" t="s">
        <v>15</v>
      </c>
      <c r="C380" s="122" t="s">
        <v>282</v>
      </c>
      <c r="D380" s="103"/>
      <c r="E380" s="106" t="s">
        <v>9</v>
      </c>
      <c r="F380" s="25"/>
      <c r="G380" s="24"/>
      <c r="H380" s="19" t="str">
        <f>IF(D383="x",H$2,H$1)</f>
        <v>CORRECTO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5" t="s">
        <v>15</v>
      </c>
      <c r="C381" s="122" t="s">
        <v>283</v>
      </c>
      <c r="D381" s="103"/>
      <c r="E381" s="106" t="s">
        <v>10</v>
      </c>
      <c r="F381" s="105" t="str">
        <f>IF(H382=1,IF(H380=H$2,H380,""),"")</f>
        <v>CORRECTO</v>
      </c>
      <c r="G381" s="24"/>
      <c r="H381" s="19">
        <f>IF(E$391="comprobar",COUNTIF(D380:D384,"x"),"")</f>
        <v>1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5" t="s">
        <v>15</v>
      </c>
      <c r="C382" s="122" t="s">
        <v>284</v>
      </c>
      <c r="D382" s="103"/>
      <c r="E382" s="106" t="s">
        <v>11</v>
      </c>
      <c r="F382" s="107" t="str">
        <f>IF(H382=-0.33,IF(H380=H$1,H380,""),"")</f>
        <v/>
      </c>
      <c r="G382" s="24"/>
      <c r="H382" s="22">
        <f t="shared" ref="H382" si="37">IF(H381=1,IF(H380=H$2,1,-0.33),0)</f>
        <v>1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5" t="s">
        <v>15</v>
      </c>
      <c r="C383" s="122" t="s">
        <v>285</v>
      </c>
      <c r="D383" s="103" t="s">
        <v>581</v>
      </c>
      <c r="E383" s="106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3"/>
      <c r="E384" s="106" t="s">
        <v>13</v>
      </c>
      <c r="F384" s="108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8" t="s">
        <v>245</v>
      </c>
      <c r="C385" s="86" t="s">
        <v>286</v>
      </c>
      <c r="D385" s="109"/>
      <c r="E385" s="104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5" t="s">
        <v>15</v>
      </c>
      <c r="C386" s="122" t="s">
        <v>287</v>
      </c>
      <c r="D386" s="103"/>
      <c r="E386" s="106" t="s">
        <v>9</v>
      </c>
      <c r="F386" s="25"/>
      <c r="G386" s="24"/>
      <c r="H386" s="19" t="str">
        <f>IF(D387="x",H$2,H$1)</f>
        <v>CORRECTO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5" t="s">
        <v>15</v>
      </c>
      <c r="C387" s="122" t="s">
        <v>288</v>
      </c>
      <c r="D387" s="103" t="s">
        <v>581</v>
      </c>
      <c r="E387" s="106" t="s">
        <v>10</v>
      </c>
      <c r="F387" s="105" t="str">
        <f>IF(H388=1,IF(H386=H$2,H386,""),"")</f>
        <v>CORRECTO</v>
      </c>
      <c r="G387" s="24"/>
      <c r="H387" s="19">
        <f>IF(E$391="comprobar",COUNTIF(D386:D390,"x"),"")</f>
        <v>1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5" t="s">
        <v>15</v>
      </c>
      <c r="C388" s="122" t="s">
        <v>289</v>
      </c>
      <c r="D388" s="103"/>
      <c r="E388" s="106" t="s">
        <v>11</v>
      </c>
      <c r="F388" s="107" t="str">
        <f>IF(H388=-0.33,IF(H386=H$1,H386,""),"")</f>
        <v/>
      </c>
      <c r="G388" s="24"/>
      <c r="H388" s="22">
        <f t="shared" ref="H388" si="38">IF(H387=1,IF(H386=H$2,1,-0.33),0)</f>
        <v>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5" t="s">
        <v>15</v>
      </c>
      <c r="C389" s="122" t="s">
        <v>290</v>
      </c>
      <c r="D389" s="103"/>
      <c r="E389" s="106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3"/>
      <c r="E390" s="106" t="s">
        <v>13</v>
      </c>
      <c r="F390" s="108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1"/>
      <c r="E391" s="54" t="s">
        <v>580</v>
      </c>
      <c r="F391" s="108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10"/>
      <c r="C392" s="8"/>
      <c r="D392" s="111"/>
      <c r="E392" s="77"/>
      <c r="F392" s="112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3"/>
      <c r="F393" s="29">
        <f>IF(E$391="comprobar",H328+H322+H316+H310+H304+H298+H292+H286+H280+H273+H334+H340+H346+H352+H358+H364+H370+H376+H382+H388,"")</f>
        <v>20</v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4"/>
      <c r="E394" s="115"/>
      <c r="F394" s="116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6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6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7" t="s">
        <v>246</v>
      </c>
      <c r="D397" s="82"/>
      <c r="E397" s="82"/>
      <c r="F397" s="8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1" t="s">
        <v>18</v>
      </c>
      <c r="C398" s="86" t="s">
        <v>291</v>
      </c>
      <c r="D398" s="39"/>
      <c r="E398" s="52"/>
      <c r="F398" s="27"/>
      <c r="G398" s="13"/>
      <c r="H398" s="13"/>
    </row>
    <row r="399" spans="1:40" x14ac:dyDescent="0.25">
      <c r="B399" s="85" t="s">
        <v>15</v>
      </c>
      <c r="C399" s="122" t="s">
        <v>292</v>
      </c>
      <c r="D399" s="38"/>
      <c r="E399" s="53" t="s">
        <v>9</v>
      </c>
      <c r="F399" s="25"/>
      <c r="G399" s="17"/>
      <c r="H399" s="19" t="str">
        <f>IF(D402="x",H$2,H$1)</f>
        <v>CORRECTO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5" t="s">
        <v>15</v>
      </c>
      <c r="C400" s="122" t="s">
        <v>293</v>
      </c>
      <c r="D400" s="38"/>
      <c r="E400" s="53" t="s">
        <v>10</v>
      </c>
      <c r="F400" s="20" t="str">
        <f>IF(H401=1,IF(H399=H$2,H399,""),"")</f>
        <v>CORRECTO</v>
      </c>
      <c r="G400" s="17"/>
      <c r="H400" s="19">
        <f>IF(E458="comprobar",COUNTIF(D399:D403,"x"),"")</f>
        <v>1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5" t="s">
        <v>15</v>
      </c>
      <c r="C401" s="122" t="s">
        <v>294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1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5" t="s">
        <v>15</v>
      </c>
      <c r="C402" s="122" t="s">
        <v>38</v>
      </c>
      <c r="D402" s="38" t="s">
        <v>581</v>
      </c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1" t="s">
        <v>28</v>
      </c>
      <c r="C404" s="86" t="s">
        <v>295</v>
      </c>
      <c r="D404" s="39"/>
      <c r="E404" s="52"/>
      <c r="F404" s="27"/>
      <c r="G404" s="13"/>
      <c r="H404" s="13"/>
    </row>
    <row r="405" spans="1:40" x14ac:dyDescent="0.25">
      <c r="B405" s="85" t="s">
        <v>15</v>
      </c>
      <c r="C405" s="122" t="s">
        <v>296</v>
      </c>
      <c r="D405" s="38"/>
      <c r="E405" s="53" t="s">
        <v>9</v>
      </c>
      <c r="F405" s="25"/>
      <c r="G405" s="17"/>
      <c r="H405" s="19" t="str">
        <f>IF(D406="x",H$2,H$1)</f>
        <v>CORRECTO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5" t="s">
        <v>15</v>
      </c>
      <c r="C406" s="122" t="s">
        <v>297</v>
      </c>
      <c r="D406" s="38" t="s">
        <v>581</v>
      </c>
      <c r="E406" s="53" t="s">
        <v>10</v>
      </c>
      <c r="F406" s="20" t="str">
        <f>IF(H407=1,IF(H405=H$2,H405,""),"")</f>
        <v>CORRECTO</v>
      </c>
      <c r="G406" s="17"/>
      <c r="H406" s="19">
        <f>IF(E$458="comprobar",COUNTIF(D405:D409,"x"),"")</f>
        <v>1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5" t="s">
        <v>15</v>
      </c>
      <c r="C407" s="122" t="s">
        <v>298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1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5" t="s">
        <v>15</v>
      </c>
      <c r="C408" s="122" t="s">
        <v>97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1" t="s">
        <v>31</v>
      </c>
      <c r="C410" s="86" t="s">
        <v>299</v>
      </c>
      <c r="D410" s="39"/>
      <c r="E410" s="52"/>
      <c r="F410" s="27"/>
      <c r="G410" s="13"/>
      <c r="H410" s="13"/>
    </row>
    <row r="411" spans="1:40" x14ac:dyDescent="0.25">
      <c r="B411" s="85" t="s">
        <v>15</v>
      </c>
      <c r="C411" s="122" t="s">
        <v>300</v>
      </c>
      <c r="D411" s="38"/>
      <c r="E411" s="53" t="s">
        <v>9</v>
      </c>
      <c r="F411" s="25"/>
      <c r="G411" s="17"/>
      <c r="H411" s="19" t="str">
        <f>IF(D413="x",H$2,H$1)</f>
        <v>CORRECTO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5" t="s">
        <v>15</v>
      </c>
      <c r="C412" s="122" t="s">
        <v>301</v>
      </c>
      <c r="D412" s="38"/>
      <c r="E412" s="53" t="s">
        <v>10</v>
      </c>
      <c r="F412" s="20" t="str">
        <f>IF(H413=1,IF(H411=H$2,H411,""),"")</f>
        <v>CORRECTO</v>
      </c>
      <c r="G412" s="17"/>
      <c r="H412" s="19">
        <f>IF(E$458="comprobar",COUNTIF(D411:D415,"x"),"")</f>
        <v>1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5" t="s">
        <v>15</v>
      </c>
      <c r="C413" s="122" t="s">
        <v>302</v>
      </c>
      <c r="D413" s="38" t="s">
        <v>581</v>
      </c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1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5" t="s">
        <v>15</v>
      </c>
      <c r="C414" s="122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1" t="s">
        <v>20</v>
      </c>
      <c r="C416" s="86" t="s">
        <v>303</v>
      </c>
      <c r="D416" s="39"/>
      <c r="E416" s="52"/>
      <c r="F416" s="27"/>
      <c r="G416" s="13"/>
      <c r="H416" s="13"/>
    </row>
    <row r="417" spans="1:40" x14ac:dyDescent="0.25">
      <c r="B417" s="85" t="s">
        <v>15</v>
      </c>
      <c r="C417" s="122" t="s">
        <v>304</v>
      </c>
      <c r="D417" s="38"/>
      <c r="E417" s="53" t="s">
        <v>9</v>
      </c>
      <c r="F417" s="25"/>
      <c r="G417" s="17"/>
      <c r="H417" s="19" t="str">
        <f>IF(D418="x",H$2,H$1)</f>
        <v>CORRECTO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5" t="s">
        <v>15</v>
      </c>
      <c r="C418" s="122" t="s">
        <v>305</v>
      </c>
      <c r="D418" s="38" t="s">
        <v>581</v>
      </c>
      <c r="E418" s="53" t="s">
        <v>10</v>
      </c>
      <c r="F418" s="20" t="str">
        <f>IF(H419=1,IF(H417=H$2,H417,""),"")</f>
        <v>CORRECTO</v>
      </c>
      <c r="G418" s="17"/>
      <c r="H418" s="19">
        <f>IF(E$458="comprobar",COUNTIF(D417:D421,"x"),"")</f>
        <v>1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5" t="s">
        <v>15</v>
      </c>
      <c r="C419" s="122" t="s">
        <v>306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1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5" t="s">
        <v>15</v>
      </c>
      <c r="C420" s="122" t="s">
        <v>307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8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1" t="s">
        <v>21</v>
      </c>
      <c r="C422" s="86" t="s">
        <v>308</v>
      </c>
      <c r="D422" s="39"/>
      <c r="E422" s="52"/>
      <c r="F422" s="27"/>
      <c r="G422" s="13"/>
      <c r="H422" s="13"/>
    </row>
    <row r="423" spans="1:40" x14ac:dyDescent="0.25">
      <c r="B423" s="85" t="s">
        <v>15</v>
      </c>
      <c r="C423" s="122" t="s">
        <v>309</v>
      </c>
      <c r="D423" s="38"/>
      <c r="E423" s="53" t="s">
        <v>9</v>
      </c>
      <c r="F423" s="25"/>
      <c r="G423" s="17"/>
      <c r="H423" s="19" t="str">
        <f>IF(D426="x",H$2,H$1)</f>
        <v>CORRECTO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5" t="s">
        <v>15</v>
      </c>
      <c r="C424" s="122" t="s">
        <v>310</v>
      </c>
      <c r="D424" s="38"/>
      <c r="E424" s="53" t="s">
        <v>10</v>
      </c>
      <c r="F424" s="20" t="str">
        <f>IF(H425=1,IF(H423=H$2,H423,""),"")</f>
        <v>CORRECTO</v>
      </c>
      <c r="G424" s="17"/>
      <c r="H424" s="19">
        <f>IF(E$458="comprobar",COUNTIF(D423:D427,"x"),"")</f>
        <v>1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5" t="s">
        <v>15</v>
      </c>
      <c r="C425" s="122" t="s">
        <v>311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1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5" t="s">
        <v>15</v>
      </c>
      <c r="C426" s="122" t="s">
        <v>62</v>
      </c>
      <c r="D426" s="38" t="s">
        <v>581</v>
      </c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1" t="s">
        <v>32</v>
      </c>
      <c r="C428" s="86" t="s">
        <v>312</v>
      </c>
      <c r="D428" s="39"/>
      <c r="E428" s="52"/>
      <c r="F428" s="27"/>
      <c r="G428" s="13"/>
      <c r="H428" s="13"/>
    </row>
    <row r="429" spans="1:40" x14ac:dyDescent="0.25">
      <c r="B429" s="85" t="s">
        <v>15</v>
      </c>
      <c r="C429" s="122" t="s">
        <v>313</v>
      </c>
      <c r="D429" s="38" t="s">
        <v>581</v>
      </c>
      <c r="E429" s="53" t="s">
        <v>9</v>
      </c>
      <c r="F429" s="25"/>
      <c r="G429" s="17"/>
      <c r="H429" s="19" t="str">
        <f>IF(D429="x",H$2,H$1)</f>
        <v>CORRECTO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5" t="s">
        <v>15</v>
      </c>
      <c r="C430" s="122" t="s">
        <v>314</v>
      </c>
      <c r="D430" s="38"/>
      <c r="E430" s="53" t="s">
        <v>10</v>
      </c>
      <c r="F430" s="20" t="str">
        <f>IF(H431=1,IF(H429=H$2,H429,""),"")</f>
        <v>CORRECTO</v>
      </c>
      <c r="G430" s="17"/>
      <c r="H430" s="19">
        <f>IF(E$458="comprobar",COUNTIF(D429:D433,"x"),"")</f>
        <v>1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5" t="s">
        <v>15</v>
      </c>
      <c r="C431" s="122" t="s">
        <v>315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1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5" t="s">
        <v>15</v>
      </c>
      <c r="C432" s="122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1" t="s">
        <v>23</v>
      </c>
      <c r="C434" s="86" t="s">
        <v>316</v>
      </c>
      <c r="D434" s="39"/>
      <c r="E434" s="52"/>
      <c r="F434" s="27"/>
      <c r="G434" s="13"/>
      <c r="H434" s="13"/>
    </row>
    <row r="435" spans="1:40" x14ac:dyDescent="0.25">
      <c r="B435" s="85" t="s">
        <v>15</v>
      </c>
      <c r="C435" s="122" t="s">
        <v>317</v>
      </c>
      <c r="D435" s="38" t="s">
        <v>581</v>
      </c>
      <c r="E435" s="53" t="s">
        <v>9</v>
      </c>
      <c r="F435" s="25"/>
      <c r="G435" s="17"/>
      <c r="H435" s="19" t="str">
        <f>IF(D435="x",H$2,H$1)</f>
        <v>CORRECTO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5" t="s">
        <v>15</v>
      </c>
      <c r="C436" s="122" t="s">
        <v>318</v>
      </c>
      <c r="D436" s="38"/>
      <c r="E436" s="53" t="s">
        <v>10</v>
      </c>
      <c r="F436" s="20" t="str">
        <f>IF(H437=1,IF(H435=H$2,H435,""),"")</f>
        <v>CORRECTO</v>
      </c>
      <c r="G436" s="17"/>
      <c r="H436" s="19">
        <f>IF(E$458="comprobar",COUNTIF(D435:D439,"x"),"")</f>
        <v>1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5" t="s">
        <v>15</v>
      </c>
      <c r="C437" s="122" t="s">
        <v>319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1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5" t="s">
        <v>15</v>
      </c>
      <c r="C438" s="122" t="s">
        <v>97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1" t="s">
        <v>30</v>
      </c>
      <c r="C440" s="86" t="s">
        <v>320</v>
      </c>
      <c r="D440" s="39"/>
      <c r="E440" s="52"/>
      <c r="F440" s="27"/>
      <c r="G440" s="13"/>
      <c r="H440" s="13"/>
    </row>
    <row r="441" spans="1:40" x14ac:dyDescent="0.25">
      <c r="B441" s="85" t="s">
        <v>15</v>
      </c>
      <c r="C441" s="122" t="s">
        <v>321</v>
      </c>
      <c r="D441" s="38"/>
      <c r="E441" s="53" t="s">
        <v>9</v>
      </c>
      <c r="F441" s="25"/>
      <c r="G441" s="17"/>
      <c r="H441" s="19" t="str">
        <f>IF(D444="x",H$2,H$1)</f>
        <v>CORRECTO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5" t="s">
        <v>15</v>
      </c>
      <c r="C442" s="122" t="s">
        <v>322</v>
      </c>
      <c r="D442" s="38"/>
      <c r="E442" s="53" t="s">
        <v>10</v>
      </c>
      <c r="F442" s="20" t="str">
        <f>IF(H443=1,IF(H441=H$2,H441,""),"")</f>
        <v>CORRECTO</v>
      </c>
      <c r="G442" s="17"/>
      <c r="H442" s="19">
        <f>IF(E$458="comprobar",COUNTIF(D441:D445,"x"),"")</f>
        <v>1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5" t="s">
        <v>15</v>
      </c>
      <c r="C443" s="122" t="s">
        <v>323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1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5" t="s">
        <v>15</v>
      </c>
      <c r="C444" s="122" t="s">
        <v>157</v>
      </c>
      <c r="D444" s="38" t="s">
        <v>581</v>
      </c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1" t="s">
        <v>29</v>
      </c>
      <c r="C446" s="86" t="s">
        <v>324</v>
      </c>
      <c r="D446" s="39"/>
      <c r="E446" s="52"/>
      <c r="F446" s="27"/>
      <c r="G446" s="13"/>
      <c r="H446" s="13"/>
    </row>
    <row r="447" spans="1:40" x14ac:dyDescent="0.25">
      <c r="B447" s="85" t="s">
        <v>15</v>
      </c>
      <c r="C447" s="122" t="s">
        <v>325</v>
      </c>
      <c r="D447" s="38"/>
      <c r="E447" s="53" t="s">
        <v>9</v>
      </c>
      <c r="F447" s="25"/>
      <c r="G447" s="17"/>
      <c r="H447" s="19" t="str">
        <f>IF(D450="x",H$2,H$1)</f>
        <v>CORRECTO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5" t="s">
        <v>15</v>
      </c>
      <c r="C448" s="122" t="s">
        <v>326</v>
      </c>
      <c r="D448" s="38"/>
      <c r="E448" s="53" t="s">
        <v>10</v>
      </c>
      <c r="F448" s="20" t="str">
        <f>IF(H449=1,IF(H447=H$2,H447,""),"")</f>
        <v>CORRECTO</v>
      </c>
      <c r="G448" s="17"/>
      <c r="H448" s="19">
        <f>IF(E$458="comprobar",COUNTIF(D447:D451,"x"),"")</f>
        <v>1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5" t="s">
        <v>15</v>
      </c>
      <c r="C449" s="122" t="s">
        <v>327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1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5" t="s">
        <v>15</v>
      </c>
      <c r="C450" s="122" t="s">
        <v>97</v>
      </c>
      <c r="D450" s="38" t="s">
        <v>581</v>
      </c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9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1" t="s">
        <v>27</v>
      </c>
      <c r="C452" s="86" t="s">
        <v>328</v>
      </c>
      <c r="D452" s="79"/>
      <c r="E452" s="52"/>
      <c r="F452" s="27"/>
      <c r="G452" s="26"/>
      <c r="H452" s="13"/>
    </row>
    <row r="453" spans="1:40" x14ac:dyDescent="0.25">
      <c r="B453" s="85" t="s">
        <v>15</v>
      </c>
      <c r="C453" s="122" t="s">
        <v>329</v>
      </c>
      <c r="D453" s="38"/>
      <c r="E453" s="53" t="s">
        <v>9</v>
      </c>
      <c r="F453" s="25"/>
      <c r="G453" s="24"/>
      <c r="H453" s="19" t="str">
        <f>IF(D456="x",H$2,H$1)</f>
        <v>CORRECTO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5" t="s">
        <v>15</v>
      </c>
      <c r="C454" s="122" t="s">
        <v>330</v>
      </c>
      <c r="D454" s="38"/>
      <c r="E454" s="53" t="s">
        <v>10</v>
      </c>
      <c r="F454" s="20" t="str">
        <f>IF(H455=1,IF(H453=H$2,H453,""),"")</f>
        <v>CORRECTO</v>
      </c>
      <c r="G454" s="24"/>
      <c r="H454" s="19">
        <f>IF(E$458="comprobar",COUNTIF(D453:D457,"x"),"")</f>
        <v>1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5" t="s">
        <v>15</v>
      </c>
      <c r="C455" s="122" t="s">
        <v>331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1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5" t="s">
        <v>15</v>
      </c>
      <c r="C456" s="122" t="s">
        <v>62</v>
      </c>
      <c r="D456" s="38" t="s">
        <v>581</v>
      </c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8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 t="s">
        <v>580</v>
      </c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1"/>
      <c r="E460" s="51"/>
      <c r="F460" s="29">
        <f>IF(E$458="comprobar",H455+H449+H443+H437+H431+H425+H419+H413+H407+H401,"")</f>
        <v>10</v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7" t="s">
        <v>332</v>
      </c>
      <c r="D462" s="82"/>
      <c r="E462" s="82"/>
      <c r="F462" s="8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1" t="s">
        <v>18</v>
      </c>
      <c r="C463" s="86" t="s">
        <v>334</v>
      </c>
      <c r="D463" s="39"/>
      <c r="E463" s="52"/>
      <c r="F463" s="27"/>
      <c r="G463" s="13"/>
      <c r="H463" s="13"/>
    </row>
    <row r="464" spans="1:40" x14ac:dyDescent="0.25">
      <c r="B464" s="85" t="s">
        <v>15</v>
      </c>
      <c r="C464" s="122" t="s">
        <v>606</v>
      </c>
      <c r="D464" s="38"/>
      <c r="E464" s="53" t="s">
        <v>9</v>
      </c>
      <c r="F464" s="25"/>
      <c r="G464" s="24"/>
      <c r="H464" s="19" t="str">
        <f>IF(D467="x",H$2,H$1)</f>
        <v>CORRECTO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5" t="s">
        <v>15</v>
      </c>
      <c r="C465" s="122" t="s">
        <v>607</v>
      </c>
      <c r="D465" s="38"/>
      <c r="E465" s="53" t="s">
        <v>10</v>
      </c>
      <c r="F465" s="20" t="str">
        <f>IF(H466=1,IF(H464=H$2,H464,""),"")</f>
        <v>CORRECTO</v>
      </c>
      <c r="G465" s="24"/>
      <c r="H465" s="19">
        <f>IF(E$523="comprobar",COUNTIF(D464:D468,"x"),"")</f>
        <v>1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5" t="s">
        <v>15</v>
      </c>
      <c r="C466" s="122" t="s">
        <v>608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1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5" t="s">
        <v>15</v>
      </c>
      <c r="C467" s="122" t="s">
        <v>556</v>
      </c>
      <c r="D467" s="38" t="s">
        <v>581</v>
      </c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1" t="s">
        <v>17</v>
      </c>
      <c r="C469" s="86" t="s">
        <v>335</v>
      </c>
      <c r="D469" s="39"/>
      <c r="E469" s="52"/>
      <c r="F469" s="78"/>
      <c r="G469" s="13"/>
      <c r="H469" s="13"/>
    </row>
    <row r="470" spans="1:40" x14ac:dyDescent="0.25">
      <c r="B470" s="85" t="s">
        <v>15</v>
      </c>
      <c r="C470" s="122" t="s">
        <v>336</v>
      </c>
      <c r="D470" s="38" t="s">
        <v>581</v>
      </c>
      <c r="E470" s="53" t="s">
        <v>9</v>
      </c>
      <c r="F470" s="25"/>
      <c r="G470" s="24"/>
      <c r="H470" s="19" t="str">
        <f>IF(D470="x",H$2,H$1)</f>
        <v>CORRECTO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5" t="s">
        <v>15</v>
      </c>
      <c r="C471" s="122" t="s">
        <v>337</v>
      </c>
      <c r="D471" s="38"/>
      <c r="E471" s="53" t="s">
        <v>10</v>
      </c>
      <c r="F471" s="20" t="str">
        <f>IF(H472=1,IF(H470=H$2,H470,""),"")</f>
        <v>CORRECTO</v>
      </c>
      <c r="G471" s="24"/>
      <c r="H471" s="19">
        <f>IF(E$523="comprobar",COUNTIF(D470:D474,"x"),"")</f>
        <v>1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5" t="s">
        <v>15</v>
      </c>
      <c r="C472" s="122" t="s">
        <v>338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1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5" t="s">
        <v>15</v>
      </c>
      <c r="C473" s="122" t="s">
        <v>339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1" t="s">
        <v>19</v>
      </c>
      <c r="C475" s="86" t="s">
        <v>340</v>
      </c>
      <c r="D475" s="79"/>
      <c r="E475" s="52"/>
      <c r="F475" s="27"/>
      <c r="G475" s="13"/>
      <c r="H475" s="13"/>
    </row>
    <row r="476" spans="1:40" x14ac:dyDescent="0.25">
      <c r="B476" s="85" t="s">
        <v>15</v>
      </c>
      <c r="C476" s="122" t="s">
        <v>337</v>
      </c>
      <c r="D476" s="38"/>
      <c r="E476" s="53" t="s">
        <v>9</v>
      </c>
      <c r="F476" s="25"/>
      <c r="G476" s="24"/>
      <c r="H476" s="19" t="str">
        <f>IF(D479="x",H$2,H$1)</f>
        <v>CORRECTO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5" t="s">
        <v>15</v>
      </c>
      <c r="C477" s="122" t="s">
        <v>609</v>
      </c>
      <c r="D477" s="38"/>
      <c r="E477" s="53" t="s">
        <v>10</v>
      </c>
      <c r="F477" s="20" t="str">
        <f>IF(H478=1,IF(H476=H$2,H476,""),"")</f>
        <v>CORRECTO</v>
      </c>
      <c r="G477" s="24"/>
      <c r="H477" s="19">
        <f>IF(E$523="comprobar",COUNTIF(D476:D480,"x"),"")</f>
        <v>1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5" t="s">
        <v>15</v>
      </c>
      <c r="C478" s="122" t="s">
        <v>610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1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5" t="s">
        <v>15</v>
      </c>
      <c r="C479" s="122" t="s">
        <v>556</v>
      </c>
      <c r="D479" s="38" t="s">
        <v>581</v>
      </c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1" t="s">
        <v>20</v>
      </c>
      <c r="C481" s="86" t="s">
        <v>341</v>
      </c>
      <c r="D481" s="79"/>
      <c r="E481" s="52"/>
      <c r="F481" s="27"/>
      <c r="G481" s="13"/>
      <c r="H481" s="13"/>
    </row>
    <row r="482" spans="1:40" x14ac:dyDescent="0.25">
      <c r="B482" s="85" t="s">
        <v>15</v>
      </c>
      <c r="C482" s="122" t="s">
        <v>610</v>
      </c>
      <c r="D482" s="38"/>
      <c r="E482" s="53" t="s">
        <v>9</v>
      </c>
      <c r="F482" s="25"/>
      <c r="G482" s="24"/>
      <c r="H482" s="19" t="str">
        <f>IF(D483="x",H$2,H$1)</f>
        <v>CORRECTO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5" t="s">
        <v>15</v>
      </c>
      <c r="C483" s="122" t="s">
        <v>611</v>
      </c>
      <c r="D483" s="38" t="s">
        <v>581</v>
      </c>
      <c r="E483" s="53" t="s">
        <v>10</v>
      </c>
      <c r="F483" s="20" t="str">
        <f>IF(H484=1,IF(H482=H$2,H482,""),"")</f>
        <v>CORRECTO</v>
      </c>
      <c r="G483" s="24"/>
      <c r="H483" s="19">
        <f>IF(E$523="comprobar",COUNTIF(D482:D486,"x"),"")</f>
        <v>1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5" t="s">
        <v>15</v>
      </c>
      <c r="C484" s="122" t="s">
        <v>337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1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5" t="s">
        <v>15</v>
      </c>
      <c r="C485" s="122" t="s">
        <v>556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1" t="s">
        <v>21</v>
      </c>
      <c r="C487" s="86" t="s">
        <v>342</v>
      </c>
      <c r="D487" s="101"/>
      <c r="E487" s="52"/>
      <c r="F487" s="27"/>
      <c r="G487" s="13"/>
      <c r="H487" s="13"/>
    </row>
    <row r="488" spans="1:40" x14ac:dyDescent="0.25">
      <c r="B488" s="85" t="s">
        <v>15</v>
      </c>
      <c r="C488" s="122" t="s">
        <v>343</v>
      </c>
      <c r="D488" s="38"/>
      <c r="E488" s="53" t="s">
        <v>9</v>
      </c>
      <c r="F488" s="25"/>
      <c r="G488" s="24"/>
      <c r="H488" s="19" t="str">
        <f>IF(D489="x",H$2,H$1)</f>
        <v>CORRECTO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5" t="s">
        <v>15</v>
      </c>
      <c r="C489" s="122" t="s">
        <v>344</v>
      </c>
      <c r="D489" s="38" t="s">
        <v>581</v>
      </c>
      <c r="E489" s="53" t="s">
        <v>10</v>
      </c>
      <c r="F489" s="20" t="str">
        <f>IF(H490=1,IF(H488=H$2,H488,""),"")</f>
        <v>CORRECTO</v>
      </c>
      <c r="G489" s="24"/>
      <c r="H489" s="19">
        <f>IF(E$523="comprobar",COUNTIF(D488:D492,"x"),"")</f>
        <v>1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5" t="s">
        <v>15</v>
      </c>
      <c r="C490" s="122" t="s">
        <v>345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1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5" t="s">
        <v>15</v>
      </c>
      <c r="C491" s="122" t="s">
        <v>97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1" t="s">
        <v>22</v>
      </c>
      <c r="C493" s="86" t="s">
        <v>346</v>
      </c>
      <c r="D493" s="101"/>
      <c r="E493" s="52"/>
      <c r="F493" s="27"/>
      <c r="G493" s="13"/>
      <c r="H493" s="13"/>
    </row>
    <row r="494" spans="1:40" x14ac:dyDescent="0.25">
      <c r="B494" s="85" t="s">
        <v>15</v>
      </c>
      <c r="C494" s="122" t="s">
        <v>347</v>
      </c>
      <c r="D494" s="38"/>
      <c r="E494" s="53"/>
      <c r="F494" s="25"/>
      <c r="G494" s="24"/>
      <c r="H494" s="19" t="str">
        <f>IF(D497="x",H$2,H$1)</f>
        <v>CORRECTO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5" t="s">
        <v>15</v>
      </c>
      <c r="C495" s="122" t="s">
        <v>348</v>
      </c>
      <c r="D495" s="38"/>
      <c r="E495" s="53" t="s">
        <v>10</v>
      </c>
      <c r="F495" s="20" t="str">
        <f>IF(H496=1,IF(H494=H$2,H494,""),"")</f>
        <v>CORRECTO</v>
      </c>
      <c r="G495" s="24"/>
      <c r="H495" s="19">
        <f>IF(E$523="comprobar",COUNTIF(D494:D498,"x"),"")</f>
        <v>1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5" t="s">
        <v>15</v>
      </c>
      <c r="C496" s="122" t="s">
        <v>349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1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5" t="s">
        <v>15</v>
      </c>
      <c r="C497" s="122" t="s">
        <v>62</v>
      </c>
      <c r="D497" s="38" t="s">
        <v>581</v>
      </c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1" t="s">
        <v>23</v>
      </c>
      <c r="C499" s="86" t="s">
        <v>350</v>
      </c>
      <c r="D499" s="101"/>
      <c r="E499" s="52"/>
      <c r="F499" s="27"/>
      <c r="G499" s="13"/>
      <c r="H499" s="13"/>
    </row>
    <row r="500" spans="1:40" x14ac:dyDescent="0.25">
      <c r="B500" s="85" t="s">
        <v>15</v>
      </c>
      <c r="C500" s="122" t="s">
        <v>351</v>
      </c>
      <c r="D500" s="38"/>
      <c r="E500" s="53" t="s">
        <v>9</v>
      </c>
      <c r="F500" s="25"/>
      <c r="G500" s="24"/>
      <c r="H500" s="19" t="str">
        <f>IF(D502="x",H$2,H$1)</f>
        <v>CORRECTO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5" t="s">
        <v>15</v>
      </c>
      <c r="C501" s="122" t="s">
        <v>352</v>
      </c>
      <c r="D501" s="38"/>
      <c r="E501" s="53" t="s">
        <v>10</v>
      </c>
      <c r="F501" s="20" t="str">
        <f>IF(H502=1,IF(H500=H$2,H500,""),"")</f>
        <v>CORRECTO</v>
      </c>
      <c r="G501" s="24"/>
      <c r="H501" s="19">
        <f>IF(E$523="comprobar",COUNTIF(D500:D504,"x"),"")</f>
        <v>1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5" t="s">
        <v>15</v>
      </c>
      <c r="C502" s="122" t="s">
        <v>353</v>
      </c>
      <c r="D502" s="38" t="s">
        <v>581</v>
      </c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1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5" t="s">
        <v>15</v>
      </c>
      <c r="C503" s="122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1" t="s">
        <v>24</v>
      </c>
      <c r="C505" s="86" t="s">
        <v>354</v>
      </c>
      <c r="D505" s="101"/>
      <c r="E505" s="52"/>
      <c r="F505" s="27"/>
      <c r="G505" s="13"/>
      <c r="H505" s="13"/>
    </row>
    <row r="506" spans="1:40" x14ac:dyDescent="0.25">
      <c r="B506" s="85" t="s">
        <v>15</v>
      </c>
      <c r="C506" s="122" t="s">
        <v>355</v>
      </c>
      <c r="D506" s="38"/>
      <c r="E506" s="53" t="s">
        <v>9</v>
      </c>
      <c r="F506" s="25"/>
      <c r="G506" s="24"/>
      <c r="H506" s="19" t="str">
        <f>IF(D507="x",H$2,H$1)</f>
        <v>CORRECTO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5" t="s">
        <v>15</v>
      </c>
      <c r="C507" s="122" t="s">
        <v>186</v>
      </c>
      <c r="D507" s="38" t="s">
        <v>581</v>
      </c>
      <c r="E507" s="53" t="s">
        <v>10</v>
      </c>
      <c r="F507" s="20" t="str">
        <f>IF(H508=1,IF(H506=H$2,H506,""),"")</f>
        <v>CORRECTO</v>
      </c>
      <c r="G507" s="24"/>
      <c r="H507" s="19">
        <f>IF(E$523="comprobar",COUNTIF(D506:D510,"x"),"")</f>
        <v>1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5" t="s">
        <v>15</v>
      </c>
      <c r="C508" s="122" t="s">
        <v>356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1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5" t="s">
        <v>15</v>
      </c>
      <c r="C509" s="122" t="s">
        <v>357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1" t="s">
        <v>29</v>
      </c>
      <c r="C511" s="86" t="s">
        <v>358</v>
      </c>
      <c r="D511" s="101"/>
      <c r="E511" s="52"/>
      <c r="F511" s="27"/>
      <c r="G511" s="13"/>
      <c r="H511" s="13"/>
    </row>
    <row r="512" spans="1:40" x14ac:dyDescent="0.25">
      <c r="B512" s="85" t="s">
        <v>15</v>
      </c>
      <c r="C512" s="122" t="s">
        <v>359</v>
      </c>
      <c r="D512" s="38" t="s">
        <v>581</v>
      </c>
      <c r="E512" s="53" t="s">
        <v>9</v>
      </c>
      <c r="F512" s="25"/>
      <c r="G512" s="24"/>
      <c r="H512" s="19" t="str">
        <f>IF(D512="x",H$2,H$1)</f>
        <v>CORRECTO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5" t="s">
        <v>15</v>
      </c>
      <c r="C513" s="122" t="s">
        <v>360</v>
      </c>
      <c r="D513" s="38"/>
      <c r="E513" s="53" t="s">
        <v>10</v>
      </c>
      <c r="F513" s="20" t="str">
        <f>IF(H514=1,IF(H512=H$2,H512,""),"")</f>
        <v>CORRECTO</v>
      </c>
      <c r="G513" s="24"/>
      <c r="H513" s="19">
        <f>IF(E$523="comprobar",COUNTIF(D512:D516,"x"),"")</f>
        <v>1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5" t="s">
        <v>15</v>
      </c>
      <c r="C514" s="122" t="s">
        <v>361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1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5" t="s">
        <v>15</v>
      </c>
      <c r="C515" s="122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1" t="s">
        <v>27</v>
      </c>
      <c r="C517" s="86" t="s">
        <v>362</v>
      </c>
      <c r="D517" s="101"/>
      <c r="E517" s="52"/>
      <c r="F517" s="27"/>
      <c r="G517" s="13"/>
      <c r="H517" s="13"/>
    </row>
    <row r="518" spans="1:40" x14ac:dyDescent="0.25">
      <c r="B518" s="85" t="s">
        <v>15</v>
      </c>
      <c r="C518" s="122" t="s">
        <v>363</v>
      </c>
      <c r="D518" s="38"/>
      <c r="E518" s="53" t="s">
        <v>9</v>
      </c>
      <c r="F518" s="25"/>
      <c r="G518" s="24"/>
      <c r="H518" s="19" t="str">
        <f>IF(D520="x",H$2,H$1)</f>
        <v>CORRECTO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5" t="s">
        <v>15</v>
      </c>
      <c r="C519" s="122" t="s">
        <v>364</v>
      </c>
      <c r="D519" s="38"/>
      <c r="E519" s="53" t="s">
        <v>10</v>
      </c>
      <c r="F519" s="20" t="str">
        <f>IF(H520=1,IF(H518=H$2,H518,""),"")</f>
        <v>CORRECTO</v>
      </c>
      <c r="G519" s="24"/>
      <c r="H519" s="19">
        <f>IF(E$523="comprobar",COUNTIF(D518:D522,"x"),"")</f>
        <v>1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5" t="s">
        <v>15</v>
      </c>
      <c r="C520" s="122" t="s">
        <v>365</v>
      </c>
      <c r="D520" s="38" t="s">
        <v>581</v>
      </c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1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5" t="s">
        <v>15</v>
      </c>
      <c r="C521" s="122" t="s">
        <v>157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 t="s">
        <v>580</v>
      </c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1"/>
      <c r="E525" s="51"/>
      <c r="F525" s="29">
        <f>IF(E$523="comprobar",H466+H472+H478+H484+H490+H496+H502+H508+H514+H520,"")</f>
        <v>10</v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2" t="s">
        <v>16</v>
      </c>
      <c r="D527" s="82"/>
      <c r="E527" s="82"/>
      <c r="F527" s="83"/>
    </row>
    <row r="528" spans="1:40" s="15" customFormat="1" x14ac:dyDescent="0.25">
      <c r="A528" s="4"/>
      <c r="B528" s="121" t="s">
        <v>18</v>
      </c>
      <c r="C528" s="86" t="s">
        <v>366</v>
      </c>
      <c r="D528" s="12"/>
      <c r="E528" s="12"/>
      <c r="F528" s="14"/>
      <c r="G528" s="26"/>
      <c r="H528" s="13"/>
    </row>
    <row r="529" spans="1:8" x14ac:dyDescent="0.25">
      <c r="B529" s="85" t="s">
        <v>15</v>
      </c>
      <c r="C529" s="122" t="s">
        <v>367</v>
      </c>
      <c r="D529" s="38"/>
      <c r="E529" s="81" t="s">
        <v>9</v>
      </c>
      <c r="F529" s="18"/>
      <c r="G529" s="24"/>
      <c r="H529" s="19" t="str">
        <f>IF(D532="x",H$2,H$1)</f>
        <v>CORRECTO</v>
      </c>
    </row>
    <row r="530" spans="1:8" x14ac:dyDescent="0.25">
      <c r="B530" s="85" t="s">
        <v>15</v>
      </c>
      <c r="C530" s="122" t="s">
        <v>368</v>
      </c>
      <c r="D530" s="38"/>
      <c r="E530" s="81" t="s">
        <v>10</v>
      </c>
      <c r="F530" s="20" t="str">
        <f>IF(H531=1,IF(H529=H$2,H529,""),"")</f>
        <v>CORRECTO</v>
      </c>
      <c r="G530" s="24"/>
      <c r="H530" s="19">
        <f>IF(E$588="comprobar",COUNTIF(D529:D533,"x"),"")</f>
        <v>1</v>
      </c>
    </row>
    <row r="531" spans="1:8" x14ac:dyDescent="0.25">
      <c r="B531" s="85" t="s">
        <v>15</v>
      </c>
      <c r="C531" s="122" t="s">
        <v>369</v>
      </c>
      <c r="D531" s="38"/>
      <c r="E531" s="81" t="s">
        <v>11</v>
      </c>
      <c r="F531" s="21" t="str">
        <f>IF(H531=-0.33,IF(H529=H$1,H529,""),"")</f>
        <v/>
      </c>
      <c r="G531" s="24"/>
      <c r="H531" s="22">
        <f>IF(H530=1,IF(H529=H$2,1,-0.33),0)</f>
        <v>1</v>
      </c>
    </row>
    <row r="532" spans="1:8" x14ac:dyDescent="0.25">
      <c r="B532" s="85" t="s">
        <v>15</v>
      </c>
      <c r="C532" s="122" t="s">
        <v>62</v>
      </c>
      <c r="D532" s="38" t="s">
        <v>581</v>
      </c>
      <c r="E532" s="81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1" t="s">
        <v>13</v>
      </c>
      <c r="F533" s="18"/>
      <c r="G533" s="17"/>
      <c r="H533" s="22"/>
    </row>
    <row r="534" spans="1:8" s="15" customFormat="1" x14ac:dyDescent="0.25">
      <c r="A534" s="4"/>
      <c r="B534" s="124" t="s">
        <v>17</v>
      </c>
      <c r="C534" s="86" t="s">
        <v>370</v>
      </c>
      <c r="D534" s="39"/>
      <c r="E534" s="12"/>
      <c r="F534" s="14"/>
      <c r="G534" s="26"/>
      <c r="H534" s="13"/>
    </row>
    <row r="535" spans="1:8" x14ac:dyDescent="0.25">
      <c r="B535" s="85" t="s">
        <v>15</v>
      </c>
      <c r="C535" s="122" t="s">
        <v>371</v>
      </c>
      <c r="D535" s="38" t="s">
        <v>581</v>
      </c>
      <c r="E535" s="81" t="s">
        <v>9</v>
      </c>
      <c r="F535" s="18"/>
      <c r="G535" s="24"/>
      <c r="H535" s="19" t="str">
        <f>IF(D535="x",H$2,H$1)</f>
        <v>CORRECTO</v>
      </c>
    </row>
    <row r="536" spans="1:8" x14ac:dyDescent="0.25">
      <c r="B536" s="85" t="s">
        <v>15</v>
      </c>
      <c r="C536" s="122" t="s">
        <v>372</v>
      </c>
      <c r="D536" s="38"/>
      <c r="E536" s="81" t="s">
        <v>10</v>
      </c>
      <c r="F536" s="20" t="str">
        <f>IF(H537=1,IF(H535=H$2,H535,""),"")</f>
        <v>CORRECTO</v>
      </c>
      <c r="G536" s="24"/>
      <c r="H536" s="19">
        <f>IF(E$588="comprobar",COUNTIF(D535:D539,"x"),"")</f>
        <v>1</v>
      </c>
    </row>
    <row r="537" spans="1:8" x14ac:dyDescent="0.25">
      <c r="B537" s="85" t="s">
        <v>15</v>
      </c>
      <c r="C537" s="122" t="s">
        <v>373</v>
      </c>
      <c r="D537" s="38"/>
      <c r="E537" s="81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1</v>
      </c>
    </row>
    <row r="538" spans="1:8" x14ac:dyDescent="0.25">
      <c r="B538" s="85" t="s">
        <v>15</v>
      </c>
      <c r="C538" s="122" t="s">
        <v>374</v>
      </c>
      <c r="D538" s="38"/>
      <c r="E538" s="81" t="s">
        <v>12</v>
      </c>
      <c r="F538" s="18"/>
      <c r="G538" s="24"/>
      <c r="H538" s="22"/>
    </row>
    <row r="539" spans="1:8" x14ac:dyDescent="0.25">
      <c r="B539" s="85"/>
      <c r="C539" s="24"/>
      <c r="D539" s="38"/>
      <c r="E539" s="81" t="s">
        <v>13</v>
      </c>
      <c r="F539" s="18"/>
      <c r="G539" s="17"/>
      <c r="H539" s="22"/>
    </row>
    <row r="540" spans="1:8" s="15" customFormat="1" x14ac:dyDescent="0.25">
      <c r="A540" s="4"/>
      <c r="B540" s="124" t="s">
        <v>19</v>
      </c>
      <c r="C540" s="86" t="s">
        <v>375</v>
      </c>
      <c r="D540" s="39"/>
      <c r="E540" s="12"/>
      <c r="F540" s="14"/>
      <c r="G540" s="26"/>
      <c r="H540" s="13"/>
    </row>
    <row r="541" spans="1:8" x14ac:dyDescent="0.25">
      <c r="B541" s="85" t="s">
        <v>15</v>
      </c>
      <c r="C541" s="122" t="s">
        <v>376</v>
      </c>
      <c r="D541" s="38"/>
      <c r="E541" s="81" t="s">
        <v>9</v>
      </c>
      <c r="F541" s="18"/>
      <c r="G541" s="24"/>
      <c r="H541" s="19" t="str">
        <f>IF(D542="x",H$2,H$1)</f>
        <v>CORRECTO</v>
      </c>
    </row>
    <row r="542" spans="1:8" x14ac:dyDescent="0.25">
      <c r="B542" s="85" t="s">
        <v>15</v>
      </c>
      <c r="C542" s="122" t="s">
        <v>377</v>
      </c>
      <c r="D542" s="38" t="s">
        <v>581</v>
      </c>
      <c r="E542" s="81" t="s">
        <v>10</v>
      </c>
      <c r="F542" s="20" t="str">
        <f>IF(H543=1,IF(H541=H$2,H541,""),"")</f>
        <v>CORRECTO</v>
      </c>
      <c r="G542" s="24"/>
      <c r="H542" s="19">
        <f>IF(E$588="comprobar",COUNTIF(D541:D545,"x"),"")</f>
        <v>1</v>
      </c>
    </row>
    <row r="543" spans="1:8" x14ac:dyDescent="0.25">
      <c r="B543" s="85" t="s">
        <v>15</v>
      </c>
      <c r="C543" s="122" t="s">
        <v>378</v>
      </c>
      <c r="D543" s="38"/>
      <c r="E543" s="81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1</v>
      </c>
    </row>
    <row r="544" spans="1:8" x14ac:dyDescent="0.25">
      <c r="B544" s="85" t="s">
        <v>15</v>
      </c>
      <c r="C544" s="122" t="s">
        <v>62</v>
      </c>
      <c r="D544" s="38"/>
      <c r="E544" s="81" t="s">
        <v>12</v>
      </c>
      <c r="F544" s="18"/>
      <c r="G544" s="24"/>
      <c r="H544" s="22"/>
    </row>
    <row r="545" spans="1:8" x14ac:dyDescent="0.25">
      <c r="B545" s="85"/>
      <c r="C545" s="24"/>
      <c r="D545" s="38"/>
      <c r="E545" s="81" t="s">
        <v>13</v>
      </c>
      <c r="F545" s="18"/>
      <c r="G545" s="17"/>
      <c r="H545" s="22"/>
    </row>
    <row r="546" spans="1:8" s="15" customFormat="1" x14ac:dyDescent="0.25">
      <c r="A546" s="4"/>
      <c r="B546" s="124" t="s">
        <v>20</v>
      </c>
      <c r="C546" s="86" t="s">
        <v>379</v>
      </c>
      <c r="D546" s="39"/>
      <c r="E546" s="12"/>
      <c r="F546" s="14"/>
      <c r="G546" s="26"/>
      <c r="H546" s="13"/>
    </row>
    <row r="547" spans="1:8" x14ac:dyDescent="0.25">
      <c r="B547" s="85" t="s">
        <v>15</v>
      </c>
      <c r="C547" s="122" t="s">
        <v>380</v>
      </c>
      <c r="D547" s="38"/>
      <c r="E547" s="81" t="s">
        <v>9</v>
      </c>
      <c r="F547" s="18"/>
      <c r="G547" s="24"/>
      <c r="H547" s="19" t="str">
        <f>IF(D550="x",H$2,H$1)</f>
        <v>CORRECTO</v>
      </c>
    </row>
    <row r="548" spans="1:8" x14ac:dyDescent="0.25">
      <c r="B548" s="85" t="s">
        <v>15</v>
      </c>
      <c r="C548" s="122" t="s">
        <v>381</v>
      </c>
      <c r="D548" s="38"/>
      <c r="E548" s="81" t="s">
        <v>10</v>
      </c>
      <c r="F548" s="20" t="str">
        <f>IF(H549=1,IF(H547=H$2,H547,""),"")</f>
        <v>CORRECTO</v>
      </c>
      <c r="G548" s="24"/>
      <c r="H548" s="19">
        <f>IF(E$588="comprobar",COUNTIF(D547:D551,"x"),"")</f>
        <v>1</v>
      </c>
    </row>
    <row r="549" spans="1:8" x14ac:dyDescent="0.25">
      <c r="B549" s="85" t="s">
        <v>15</v>
      </c>
      <c r="C549" s="122" t="s">
        <v>382</v>
      </c>
      <c r="D549" s="38"/>
      <c r="E549" s="81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1</v>
      </c>
    </row>
    <row r="550" spans="1:8" x14ac:dyDescent="0.25">
      <c r="B550" s="85" t="s">
        <v>15</v>
      </c>
      <c r="C550" s="122" t="s">
        <v>97</v>
      </c>
      <c r="D550" s="38" t="s">
        <v>581</v>
      </c>
      <c r="E550" s="81" t="s">
        <v>12</v>
      </c>
      <c r="F550" s="18"/>
      <c r="G550" s="24"/>
      <c r="H550" s="22"/>
    </row>
    <row r="551" spans="1:8" x14ac:dyDescent="0.25">
      <c r="B551" s="85"/>
      <c r="C551" s="24"/>
      <c r="D551" s="38"/>
      <c r="E551" s="81" t="s">
        <v>13</v>
      </c>
      <c r="F551" s="18"/>
      <c r="G551" s="17"/>
      <c r="H551" s="22"/>
    </row>
    <row r="552" spans="1:8" s="15" customFormat="1" x14ac:dyDescent="0.25">
      <c r="A552" s="4"/>
      <c r="B552" s="124" t="s">
        <v>21</v>
      </c>
      <c r="C552" s="86" t="s">
        <v>383</v>
      </c>
      <c r="D552" s="39"/>
      <c r="E552" s="12"/>
      <c r="F552" s="14"/>
      <c r="G552" s="26"/>
      <c r="H552" s="13"/>
    </row>
    <row r="553" spans="1:8" x14ac:dyDescent="0.25">
      <c r="B553" s="85" t="s">
        <v>15</v>
      </c>
      <c r="C553" s="122" t="s">
        <v>384</v>
      </c>
      <c r="D553" s="38" t="s">
        <v>581</v>
      </c>
      <c r="E553" s="81" t="s">
        <v>9</v>
      </c>
      <c r="F553" s="18"/>
      <c r="G553" s="24"/>
      <c r="H553" s="19" t="str">
        <f>IF(D553="x",H$2,H$1)</f>
        <v>CORRECTO</v>
      </c>
    </row>
    <row r="554" spans="1:8" x14ac:dyDescent="0.25">
      <c r="B554" s="85" t="s">
        <v>15</v>
      </c>
      <c r="C554" s="122" t="s">
        <v>385</v>
      </c>
      <c r="D554" s="38"/>
      <c r="E554" s="81" t="s">
        <v>10</v>
      </c>
      <c r="F554" s="20" t="str">
        <f>IF(H555=1,IF(H553=H$2,H553,""),"")</f>
        <v>CORRECTO</v>
      </c>
      <c r="G554" s="24"/>
      <c r="H554" s="19">
        <f>IF(E$588="comprobar",COUNTIF(D553:D557,"x"),"")</f>
        <v>1</v>
      </c>
    </row>
    <row r="555" spans="1:8" x14ac:dyDescent="0.25">
      <c r="B555" s="85" t="s">
        <v>15</v>
      </c>
      <c r="C555" s="122" t="s">
        <v>386</v>
      </c>
      <c r="D555" s="38"/>
      <c r="E555" s="81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1</v>
      </c>
    </row>
    <row r="556" spans="1:8" x14ac:dyDescent="0.25">
      <c r="B556" s="85" t="s">
        <v>15</v>
      </c>
      <c r="C556" s="122" t="s">
        <v>62</v>
      </c>
      <c r="D556" s="38"/>
      <c r="E556" s="81" t="s">
        <v>12</v>
      </c>
      <c r="F556" s="18"/>
      <c r="G556" s="24"/>
      <c r="H556" s="22"/>
    </row>
    <row r="557" spans="1:8" x14ac:dyDescent="0.25">
      <c r="B557" s="85"/>
      <c r="C557" s="24"/>
      <c r="D557" s="38"/>
      <c r="E557" s="81" t="s">
        <v>13</v>
      </c>
      <c r="F557" s="18"/>
      <c r="G557" s="17"/>
      <c r="H557" s="22"/>
    </row>
    <row r="558" spans="1:8" s="15" customFormat="1" x14ac:dyDescent="0.25">
      <c r="A558" s="4"/>
      <c r="B558" s="124" t="s">
        <v>22</v>
      </c>
      <c r="C558" s="86" t="s">
        <v>387</v>
      </c>
      <c r="D558" s="39"/>
      <c r="E558" s="12"/>
      <c r="F558" s="14"/>
      <c r="G558" s="26"/>
      <c r="H558" s="13"/>
    </row>
    <row r="559" spans="1:8" x14ac:dyDescent="0.25">
      <c r="B559" s="85" t="s">
        <v>15</v>
      </c>
      <c r="C559" s="122" t="s">
        <v>388</v>
      </c>
      <c r="D559" s="38"/>
      <c r="E559" s="81" t="s">
        <v>9</v>
      </c>
      <c r="F559" s="18"/>
      <c r="G559" s="24"/>
      <c r="H559" s="19" t="str">
        <f>IF(D560="x",H$2,H$1)</f>
        <v>CORRECTO</v>
      </c>
    </row>
    <row r="560" spans="1:8" x14ac:dyDescent="0.25">
      <c r="B560" s="85" t="s">
        <v>15</v>
      </c>
      <c r="C560" s="122" t="s">
        <v>389</v>
      </c>
      <c r="D560" s="38" t="s">
        <v>581</v>
      </c>
      <c r="E560" s="81" t="s">
        <v>10</v>
      </c>
      <c r="F560" s="20" t="str">
        <f>IF(H561=1,IF(H559=H$2,H559,""),"")</f>
        <v>CORRECTO</v>
      </c>
      <c r="G560" s="24"/>
      <c r="H560" s="19">
        <f>IF(E$588="comprobar",COUNTIF(D559:D563,"x"),"")</f>
        <v>1</v>
      </c>
    </row>
    <row r="561" spans="1:8" x14ac:dyDescent="0.25">
      <c r="B561" s="85" t="s">
        <v>15</v>
      </c>
      <c r="C561" s="122" t="s">
        <v>390</v>
      </c>
      <c r="D561" s="38"/>
      <c r="E561" s="81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1</v>
      </c>
    </row>
    <row r="562" spans="1:8" x14ac:dyDescent="0.25">
      <c r="B562" s="85" t="s">
        <v>15</v>
      </c>
      <c r="C562" s="122" t="s">
        <v>97</v>
      </c>
      <c r="D562" s="38"/>
      <c r="E562" s="81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1" t="s">
        <v>13</v>
      </c>
      <c r="F563" s="18"/>
      <c r="G563" s="17"/>
      <c r="H563" s="22"/>
    </row>
    <row r="564" spans="1:8" s="15" customFormat="1" x14ac:dyDescent="0.25">
      <c r="A564" s="4"/>
      <c r="B564" s="124" t="s">
        <v>23</v>
      </c>
      <c r="C564" s="86" t="s">
        <v>391</v>
      </c>
      <c r="D564" s="39"/>
      <c r="E564" s="12"/>
      <c r="F564" s="14"/>
      <c r="G564" s="26"/>
      <c r="H564" s="13"/>
    </row>
    <row r="565" spans="1:8" x14ac:dyDescent="0.25">
      <c r="B565" s="85" t="s">
        <v>15</v>
      </c>
      <c r="C565" s="122" t="s">
        <v>392</v>
      </c>
      <c r="D565" s="38"/>
      <c r="E565" s="81" t="s">
        <v>9</v>
      </c>
      <c r="F565" s="18"/>
      <c r="G565" s="24"/>
      <c r="H565" s="19" t="str">
        <f>IF(D566="x",H$2,H$1)</f>
        <v>CORRECTO</v>
      </c>
    </row>
    <row r="566" spans="1:8" x14ac:dyDescent="0.25">
      <c r="B566" s="85" t="s">
        <v>15</v>
      </c>
      <c r="C566" s="122" t="s">
        <v>393</v>
      </c>
      <c r="D566" s="38" t="s">
        <v>581</v>
      </c>
      <c r="E566" s="81" t="s">
        <v>10</v>
      </c>
      <c r="F566" s="20" t="str">
        <f>IF(H567=1,IF(H565=H$2,H565,""),"")</f>
        <v>CORRECTO</v>
      </c>
      <c r="G566" s="24"/>
      <c r="H566" s="19">
        <f>IF(E$588="comprobar",COUNTIF(D565:D569,"x"),"")</f>
        <v>1</v>
      </c>
    </row>
    <row r="567" spans="1:8" x14ac:dyDescent="0.25">
      <c r="B567" s="85" t="s">
        <v>15</v>
      </c>
      <c r="C567" s="122" t="s">
        <v>394</v>
      </c>
      <c r="D567" s="38"/>
      <c r="E567" s="81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1</v>
      </c>
    </row>
    <row r="568" spans="1:8" x14ac:dyDescent="0.25">
      <c r="B568" s="85" t="s">
        <v>15</v>
      </c>
      <c r="C568" s="122" t="s">
        <v>395</v>
      </c>
      <c r="D568" s="38"/>
      <c r="E568" s="81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1" t="s">
        <v>13</v>
      </c>
      <c r="F569" s="18"/>
      <c r="G569" s="17"/>
      <c r="H569" s="22"/>
    </row>
    <row r="570" spans="1:8" s="15" customFormat="1" x14ac:dyDescent="0.25">
      <c r="A570" s="4"/>
      <c r="B570" s="124" t="s">
        <v>24</v>
      </c>
      <c r="C570" s="86" t="s">
        <v>396</v>
      </c>
      <c r="D570" s="39"/>
      <c r="E570" s="12"/>
      <c r="F570" s="14"/>
      <c r="G570" s="26"/>
      <c r="H570" s="13"/>
    </row>
    <row r="571" spans="1:8" x14ac:dyDescent="0.25">
      <c r="B571" s="85" t="s">
        <v>15</v>
      </c>
      <c r="C571" s="122" t="s">
        <v>397</v>
      </c>
      <c r="D571" s="38"/>
      <c r="E571" s="81" t="s">
        <v>9</v>
      </c>
      <c r="F571" s="18"/>
      <c r="G571" s="24"/>
      <c r="H571" s="19" t="str">
        <f>IF(D572="x",H$2,H$1)</f>
        <v>CORRECTO</v>
      </c>
    </row>
    <row r="572" spans="1:8" x14ac:dyDescent="0.25">
      <c r="B572" s="85" t="s">
        <v>15</v>
      </c>
      <c r="C572" s="122" t="s">
        <v>398</v>
      </c>
      <c r="D572" s="38" t="s">
        <v>581</v>
      </c>
      <c r="E572" s="81" t="s">
        <v>10</v>
      </c>
      <c r="F572" s="20" t="str">
        <f>IF(H573=1,IF(H571=H$2,H571,""),"")</f>
        <v>CORRECTO</v>
      </c>
      <c r="G572" s="24"/>
      <c r="H572" s="19">
        <f>IF(E$588="comprobar",COUNTIF(D571:D575,"x"),"")</f>
        <v>1</v>
      </c>
    </row>
    <row r="573" spans="1:8" x14ac:dyDescent="0.25">
      <c r="B573" s="85" t="s">
        <v>15</v>
      </c>
      <c r="C573" s="122" t="s">
        <v>399</v>
      </c>
      <c r="D573" s="38"/>
      <c r="E573" s="81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1</v>
      </c>
    </row>
    <row r="574" spans="1:8" x14ac:dyDescent="0.25">
      <c r="B574" s="85" t="s">
        <v>15</v>
      </c>
      <c r="C574" s="122" t="s">
        <v>62</v>
      </c>
      <c r="D574" s="38"/>
      <c r="E574" s="81" t="s">
        <v>12</v>
      </c>
      <c r="F574" s="18"/>
      <c r="G574" s="24"/>
      <c r="H574" s="22"/>
    </row>
    <row r="575" spans="1:8" x14ac:dyDescent="0.25">
      <c r="B575" s="110"/>
      <c r="C575" s="24"/>
      <c r="D575" s="38"/>
      <c r="E575" s="81" t="s">
        <v>13</v>
      </c>
      <c r="F575" s="18"/>
      <c r="G575" s="17"/>
      <c r="H575" s="22"/>
    </row>
    <row r="576" spans="1:8" x14ac:dyDescent="0.25">
      <c r="B576" s="124" t="s">
        <v>29</v>
      </c>
      <c r="C576" s="86" t="s">
        <v>400</v>
      </c>
      <c r="D576" s="39"/>
      <c r="E576" s="12"/>
      <c r="F576" s="14"/>
      <c r="G576" s="26"/>
      <c r="H576" s="13"/>
    </row>
    <row r="577" spans="2:8" x14ac:dyDescent="0.25">
      <c r="B577" s="85" t="s">
        <v>15</v>
      </c>
      <c r="C577" s="122" t="s">
        <v>401</v>
      </c>
      <c r="D577" s="38" t="s">
        <v>581</v>
      </c>
      <c r="E577" s="123" t="s">
        <v>9</v>
      </c>
      <c r="F577" s="18"/>
      <c r="G577" s="24"/>
      <c r="H577" s="19" t="str">
        <f>IF(D577="x",H$2,H$1)</f>
        <v>CORRECTO</v>
      </c>
    </row>
    <row r="578" spans="2:8" x14ac:dyDescent="0.25">
      <c r="B578" s="85" t="s">
        <v>15</v>
      </c>
      <c r="C578" s="122" t="s">
        <v>402</v>
      </c>
      <c r="D578" s="38"/>
      <c r="E578" s="123" t="s">
        <v>10</v>
      </c>
      <c r="F578" s="20" t="str">
        <f>IF(H579=1,IF(H577=H$2,H577,""),"")</f>
        <v>CORRECTO</v>
      </c>
      <c r="G578" s="24"/>
      <c r="H578" s="19">
        <f>IF(E$588="comprobar",COUNTIF(D577:D581,"x"),"")</f>
        <v>1</v>
      </c>
    </row>
    <row r="579" spans="2:8" x14ac:dyDescent="0.25">
      <c r="B579" s="85" t="s">
        <v>15</v>
      </c>
      <c r="C579" s="122" t="s">
        <v>403</v>
      </c>
      <c r="D579" s="38"/>
      <c r="E579" s="123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1</v>
      </c>
    </row>
    <row r="580" spans="2:8" x14ac:dyDescent="0.25">
      <c r="B580" s="85" t="s">
        <v>15</v>
      </c>
      <c r="C580" s="122" t="s">
        <v>62</v>
      </c>
      <c r="D580" s="38"/>
      <c r="E580" s="123" t="s">
        <v>12</v>
      </c>
      <c r="F580" s="18"/>
      <c r="G580" s="24"/>
      <c r="H580" s="22"/>
    </row>
    <row r="581" spans="2:8" x14ac:dyDescent="0.25">
      <c r="B581" s="110"/>
      <c r="C581" s="24"/>
      <c r="D581" s="38"/>
      <c r="E581" s="123" t="s">
        <v>13</v>
      </c>
      <c r="F581" s="18"/>
      <c r="G581" s="17"/>
      <c r="H581" s="22"/>
    </row>
    <row r="582" spans="2:8" x14ac:dyDescent="0.25">
      <c r="B582" s="124" t="s">
        <v>27</v>
      </c>
      <c r="C582" s="86" t="s">
        <v>404</v>
      </c>
      <c r="D582" s="39"/>
      <c r="E582" s="12"/>
      <c r="F582" s="14"/>
      <c r="G582" s="26"/>
      <c r="H582" s="13"/>
    </row>
    <row r="583" spans="2:8" x14ac:dyDescent="0.25">
      <c r="B583" s="85" t="s">
        <v>15</v>
      </c>
      <c r="C583" s="122" t="s">
        <v>405</v>
      </c>
      <c r="D583" s="38"/>
      <c r="E583" s="123" t="s">
        <v>9</v>
      </c>
      <c r="F583" s="18"/>
      <c r="G583" s="24"/>
      <c r="H583" s="19" t="str">
        <f>IF(D585="x",H$2,H$1)</f>
        <v>CORRECTO</v>
      </c>
    </row>
    <row r="584" spans="2:8" x14ac:dyDescent="0.25">
      <c r="B584" s="85" t="s">
        <v>15</v>
      </c>
      <c r="C584" s="122" t="s">
        <v>406</v>
      </c>
      <c r="D584" s="38"/>
      <c r="E584" s="123" t="s">
        <v>10</v>
      </c>
      <c r="F584" s="20" t="str">
        <f>IF(H585=1,IF(H583=H$2,H583,""),"")</f>
        <v>CORRECTO</v>
      </c>
      <c r="G584" s="24"/>
      <c r="H584" s="19">
        <f>IF(E$588="comprobar",COUNTIF(D583:D587,"x"),"")</f>
        <v>1</v>
      </c>
    </row>
    <row r="585" spans="2:8" x14ac:dyDescent="0.25">
      <c r="B585" s="85" t="s">
        <v>15</v>
      </c>
      <c r="C585" s="122" t="s">
        <v>407</v>
      </c>
      <c r="D585" s="38" t="s">
        <v>581</v>
      </c>
      <c r="E585" s="123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1</v>
      </c>
    </row>
    <row r="586" spans="2:8" x14ac:dyDescent="0.25">
      <c r="B586" s="85" t="s">
        <v>15</v>
      </c>
      <c r="C586" s="122" t="s">
        <v>408</v>
      </c>
      <c r="D586" s="38"/>
      <c r="E586" s="123" t="s">
        <v>12</v>
      </c>
      <c r="F586" s="18"/>
      <c r="G586" s="24"/>
      <c r="H586" s="22"/>
    </row>
    <row r="587" spans="2:8" x14ac:dyDescent="0.25">
      <c r="B587" s="110"/>
      <c r="C587" s="24"/>
      <c r="D587" s="38"/>
      <c r="E587" s="123" t="s">
        <v>13</v>
      </c>
      <c r="F587" s="18"/>
      <c r="G587" s="17"/>
      <c r="H587" s="22"/>
    </row>
    <row r="588" spans="2:8" x14ac:dyDescent="0.25">
      <c r="B588" s="110"/>
      <c r="C588" s="16"/>
      <c r="D588" s="48"/>
      <c r="E588" s="54" t="s">
        <v>580</v>
      </c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2"/>
      <c r="E590" s="132"/>
      <c r="F590" s="29">
        <f>IF(E$588="comprobar",H573+H567+H561+H555+H549+H543+H537+H531+H579+H585,"")</f>
        <v>10</v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6" t="s">
        <v>409</v>
      </c>
      <c r="D592" s="126"/>
      <c r="E592" s="126"/>
      <c r="F592" s="127"/>
    </row>
    <row r="593" spans="2:10" x14ac:dyDescent="0.25">
      <c r="B593" s="121" t="s">
        <v>18</v>
      </c>
      <c r="C593" s="86" t="s">
        <v>413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5" t="s">
        <v>15</v>
      </c>
      <c r="C594" s="122" t="s">
        <v>414</v>
      </c>
      <c r="D594" s="38" t="s">
        <v>581</v>
      </c>
      <c r="E594" s="125"/>
      <c r="F594" s="18"/>
      <c r="G594" s="24"/>
      <c r="H594" s="19" t="str">
        <f>IF(D594="x",H$2,H$1)</f>
        <v>CORRECTO</v>
      </c>
    </row>
    <row r="595" spans="2:10" x14ac:dyDescent="0.25">
      <c r="B595" s="85" t="s">
        <v>15</v>
      </c>
      <c r="C595" s="122" t="s">
        <v>368</v>
      </c>
      <c r="D595" s="38"/>
      <c r="E595" s="125" t="s">
        <v>10</v>
      </c>
      <c r="F595" s="20" t="str">
        <f>IF(H596=1,IF(H594=H$2,H594,""),"")</f>
        <v>CORRECTO</v>
      </c>
      <c r="G595" s="24"/>
      <c r="H595" s="19">
        <f>IF(E$653="comprobar",COUNTIF(D594:D598,"x"),"")</f>
        <v>1</v>
      </c>
    </row>
    <row r="596" spans="2:10" x14ac:dyDescent="0.25">
      <c r="B596" s="85" t="s">
        <v>15</v>
      </c>
      <c r="C596" s="122" t="s">
        <v>415</v>
      </c>
      <c r="D596" s="38"/>
      <c r="E596" s="125" t="s">
        <v>11</v>
      </c>
      <c r="F596" s="21" t="str">
        <f>IF(H596=-0.33,IF(H594=H$1,H594,""),"")</f>
        <v/>
      </c>
      <c r="G596" s="24"/>
      <c r="H596" s="22">
        <f>IF(H595=1,IF(H594=H$2,1,-0.33),0)</f>
        <v>1</v>
      </c>
    </row>
    <row r="597" spans="2:10" x14ac:dyDescent="0.25">
      <c r="B597" s="85" t="s">
        <v>15</v>
      </c>
      <c r="C597" s="122" t="s">
        <v>97</v>
      </c>
      <c r="D597" s="38"/>
      <c r="E597" s="125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5" t="s">
        <v>13</v>
      </c>
      <c r="F598" s="18"/>
      <c r="G598" s="17"/>
      <c r="H598" s="22"/>
    </row>
    <row r="599" spans="2:10" x14ac:dyDescent="0.25">
      <c r="B599" s="124" t="s">
        <v>17</v>
      </c>
      <c r="C599" s="86" t="s">
        <v>416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5" t="s">
        <v>15</v>
      </c>
      <c r="C600" s="122" t="s">
        <v>578</v>
      </c>
      <c r="D600" s="38"/>
      <c r="E600" s="125" t="s">
        <v>9</v>
      </c>
      <c r="F600" s="18"/>
      <c r="G600" s="24"/>
      <c r="H600" s="19" t="str">
        <f>IF(D602="x",H$2,H$1)</f>
        <v>CORRECTO</v>
      </c>
    </row>
    <row r="601" spans="2:10" x14ac:dyDescent="0.25">
      <c r="B601" s="85" t="s">
        <v>15</v>
      </c>
      <c r="C601" s="122" t="s">
        <v>372</v>
      </c>
      <c r="D601" s="38"/>
      <c r="E601" s="125" t="s">
        <v>10</v>
      </c>
      <c r="F601" s="20" t="str">
        <f>IF(H602=1,IF(H600=H$2,H600,""),"")</f>
        <v>CORRECTO</v>
      </c>
      <c r="G601" s="24"/>
      <c r="H601" s="19">
        <f>IF(E$653="comprobar",COUNTIF(D600:D604,"x"),"")</f>
        <v>1</v>
      </c>
    </row>
    <row r="602" spans="2:10" x14ac:dyDescent="0.25">
      <c r="B602" s="85" t="s">
        <v>15</v>
      </c>
      <c r="C602" s="122" t="s">
        <v>579</v>
      </c>
      <c r="D602" s="38" t="s">
        <v>581</v>
      </c>
      <c r="E602" s="125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1</v>
      </c>
    </row>
    <row r="603" spans="2:10" x14ac:dyDescent="0.25">
      <c r="B603" s="85" t="s">
        <v>15</v>
      </c>
      <c r="C603" s="122" t="s">
        <v>62</v>
      </c>
      <c r="D603" s="38"/>
      <c r="E603" s="125" t="s">
        <v>12</v>
      </c>
      <c r="F603" s="18"/>
      <c r="G603" s="24"/>
      <c r="H603" s="22"/>
    </row>
    <row r="604" spans="2:10" x14ac:dyDescent="0.25">
      <c r="B604" s="85"/>
      <c r="C604" s="24"/>
      <c r="D604" s="38"/>
      <c r="E604" s="125" t="s">
        <v>13</v>
      </c>
      <c r="F604" s="18"/>
      <c r="G604" s="17"/>
      <c r="H604" s="22"/>
    </row>
    <row r="605" spans="2:10" x14ac:dyDescent="0.25">
      <c r="B605" s="124" t="s">
        <v>19</v>
      </c>
      <c r="C605" s="86" t="s">
        <v>417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5" t="s">
        <v>15</v>
      </c>
      <c r="C606" s="122" t="s">
        <v>376</v>
      </c>
      <c r="D606" s="38" t="s">
        <v>581</v>
      </c>
      <c r="E606" s="125" t="s">
        <v>9</v>
      </c>
      <c r="F606" s="18"/>
      <c r="G606" s="24"/>
      <c r="H606" s="19" t="str">
        <f>IF(D606="x",H$2,H$1)</f>
        <v>CORRECTO</v>
      </c>
    </row>
    <row r="607" spans="2:10" x14ac:dyDescent="0.25">
      <c r="B607" s="85" t="s">
        <v>15</v>
      </c>
      <c r="C607" s="122" t="s">
        <v>418</v>
      </c>
      <c r="D607" s="38"/>
      <c r="E607" s="125" t="s">
        <v>10</v>
      </c>
      <c r="F607" s="20" t="str">
        <f>IF(H608=1,IF(H606=H$2,H606,""),"")</f>
        <v>CORRECTO</v>
      </c>
      <c r="G607" s="24"/>
      <c r="H607" s="19">
        <f>IF(E$653="comprobar",COUNTIF(D606:D610,"x"),"")</f>
        <v>1</v>
      </c>
    </row>
    <row r="608" spans="2:10" x14ac:dyDescent="0.25">
      <c r="B608" s="85" t="s">
        <v>15</v>
      </c>
      <c r="C608" s="122" t="s">
        <v>378</v>
      </c>
      <c r="D608" s="38"/>
      <c r="E608" s="125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1</v>
      </c>
    </row>
    <row r="609" spans="2:10" x14ac:dyDescent="0.25">
      <c r="B609" s="85" t="s">
        <v>15</v>
      </c>
      <c r="C609" s="122" t="s">
        <v>62</v>
      </c>
      <c r="D609" s="38"/>
      <c r="E609" s="125" t="s">
        <v>12</v>
      </c>
      <c r="F609" s="18"/>
      <c r="G609" s="24"/>
      <c r="H609" s="22"/>
    </row>
    <row r="610" spans="2:10" x14ac:dyDescent="0.25">
      <c r="B610" s="85"/>
      <c r="C610" s="24"/>
      <c r="D610" s="38"/>
      <c r="E610" s="125" t="s">
        <v>13</v>
      </c>
      <c r="F610" s="18"/>
      <c r="G610" s="17"/>
      <c r="H610" s="22"/>
    </row>
    <row r="611" spans="2:10" x14ac:dyDescent="0.25">
      <c r="B611" s="124" t="s">
        <v>20</v>
      </c>
      <c r="C611" s="86" t="s">
        <v>419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5" t="s">
        <v>15</v>
      </c>
      <c r="C612" s="122" t="s">
        <v>420</v>
      </c>
      <c r="D612" s="38"/>
      <c r="E612" s="125" t="s">
        <v>9</v>
      </c>
      <c r="F612" s="18"/>
      <c r="G612" s="24"/>
      <c r="H612" s="19" t="str">
        <f>IF(D613="x",H$2,H$1)</f>
        <v>CORRECTO</v>
      </c>
    </row>
    <row r="613" spans="2:10" x14ac:dyDescent="0.25">
      <c r="B613" s="85" t="s">
        <v>15</v>
      </c>
      <c r="C613" s="122" t="s">
        <v>421</v>
      </c>
      <c r="D613" s="38" t="s">
        <v>581</v>
      </c>
      <c r="E613" s="125" t="s">
        <v>10</v>
      </c>
      <c r="F613" s="20" t="str">
        <f>IF(H614=1,IF(H612=H$2,H612,""),"")</f>
        <v>CORRECTO</v>
      </c>
      <c r="G613" s="24"/>
      <c r="H613" s="19">
        <f>IF(E$653="comprobar",COUNTIF(D612:D616,"x"),"")</f>
        <v>1</v>
      </c>
    </row>
    <row r="614" spans="2:10" x14ac:dyDescent="0.25">
      <c r="B614" s="85" t="s">
        <v>15</v>
      </c>
      <c r="C614" s="122" t="s">
        <v>422</v>
      </c>
      <c r="D614" s="38"/>
      <c r="E614" s="125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1</v>
      </c>
    </row>
    <row r="615" spans="2:10" x14ac:dyDescent="0.25">
      <c r="B615" s="85" t="s">
        <v>15</v>
      </c>
      <c r="C615" s="122" t="s">
        <v>62</v>
      </c>
      <c r="D615" s="38"/>
      <c r="E615" s="125" t="s">
        <v>12</v>
      </c>
      <c r="F615" s="18"/>
      <c r="G615" s="24"/>
      <c r="H615" s="22"/>
    </row>
    <row r="616" spans="2:10" x14ac:dyDescent="0.25">
      <c r="B616" s="85"/>
      <c r="C616" s="24"/>
      <c r="D616" s="38"/>
      <c r="E616" s="125" t="s">
        <v>13</v>
      </c>
      <c r="F616" s="18"/>
      <c r="G616" s="17"/>
      <c r="H616" s="22"/>
    </row>
    <row r="617" spans="2:10" x14ac:dyDescent="0.25">
      <c r="B617" s="124" t="s">
        <v>21</v>
      </c>
      <c r="C617" s="86" t="s">
        <v>423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5" t="s">
        <v>15</v>
      </c>
      <c r="C618" s="122" t="s">
        <v>424</v>
      </c>
      <c r="D618" s="38"/>
      <c r="E618" s="125" t="s">
        <v>9</v>
      </c>
      <c r="F618" s="18"/>
      <c r="G618" s="24"/>
      <c r="H618" s="19" t="str">
        <f>IF(D619="x",H$2,H$1)</f>
        <v>CORRECTO</v>
      </c>
    </row>
    <row r="619" spans="2:10" x14ac:dyDescent="0.25">
      <c r="B619" s="85" t="s">
        <v>15</v>
      </c>
      <c r="C619" s="122" t="s">
        <v>425</v>
      </c>
      <c r="D619" s="38" t="s">
        <v>581</v>
      </c>
      <c r="E619" s="125" t="s">
        <v>10</v>
      </c>
      <c r="F619" s="20" t="str">
        <f>IF(H620=1,IF(H618=H$2,H618,""),"")</f>
        <v>CORRECTO</v>
      </c>
      <c r="G619" s="24"/>
      <c r="H619" s="19">
        <f>IF(E$653="comprobar",COUNTIF(D618:D622,"x"),"")</f>
        <v>1</v>
      </c>
    </row>
    <row r="620" spans="2:10" x14ac:dyDescent="0.25">
      <c r="B620" s="85" t="s">
        <v>15</v>
      </c>
      <c r="C620" s="122" t="s">
        <v>426</v>
      </c>
      <c r="D620" s="38"/>
      <c r="E620" s="125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1</v>
      </c>
    </row>
    <row r="621" spans="2:10" x14ac:dyDescent="0.25">
      <c r="B621" s="85" t="s">
        <v>15</v>
      </c>
      <c r="C621" s="122" t="s">
        <v>427</v>
      </c>
      <c r="D621" s="38"/>
      <c r="E621" s="125" t="s">
        <v>12</v>
      </c>
      <c r="F621" s="18"/>
      <c r="G621" s="24"/>
      <c r="H621" s="22"/>
    </row>
    <row r="622" spans="2:10" x14ac:dyDescent="0.25">
      <c r="B622" s="85"/>
      <c r="C622" s="24"/>
      <c r="D622" s="38"/>
      <c r="E622" s="125" t="s">
        <v>13</v>
      </c>
      <c r="F622" s="18"/>
      <c r="G622" s="17"/>
      <c r="H622" s="22"/>
    </row>
    <row r="623" spans="2:10" x14ac:dyDescent="0.25">
      <c r="B623" s="124" t="s">
        <v>22</v>
      </c>
      <c r="C623" s="86" t="s">
        <v>428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5" t="s">
        <v>15</v>
      </c>
      <c r="C624" s="122" t="s">
        <v>429</v>
      </c>
      <c r="D624" s="38" t="s">
        <v>581</v>
      </c>
      <c r="E624" s="125" t="s">
        <v>9</v>
      </c>
      <c r="F624" s="18"/>
      <c r="G624" s="24"/>
      <c r="H624" s="19" t="str">
        <f>IF(D624="x",H$2,H$1)</f>
        <v>CORRECTO</v>
      </c>
    </row>
    <row r="625" spans="2:10" x14ac:dyDescent="0.25">
      <c r="B625" s="85" t="s">
        <v>15</v>
      </c>
      <c r="C625" s="122" t="s">
        <v>430</v>
      </c>
      <c r="D625" s="38"/>
      <c r="E625" s="125" t="s">
        <v>10</v>
      </c>
      <c r="F625" s="20" t="str">
        <f>IF(H626=1,IF(H624=H$2,H624,""),"")</f>
        <v>CORRECTO</v>
      </c>
      <c r="G625" s="24"/>
      <c r="H625" s="19">
        <f>IF(E$653="comprobar",COUNTIF(D624:D628,"x"),"")</f>
        <v>1</v>
      </c>
    </row>
    <row r="626" spans="2:10" x14ac:dyDescent="0.25">
      <c r="B626" s="85" t="s">
        <v>15</v>
      </c>
      <c r="C626" s="122" t="s">
        <v>431</v>
      </c>
      <c r="D626" s="38"/>
      <c r="E626" s="125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1</v>
      </c>
    </row>
    <row r="627" spans="2:10" x14ac:dyDescent="0.25">
      <c r="B627" s="85" t="s">
        <v>15</v>
      </c>
      <c r="C627" s="122" t="s">
        <v>432</v>
      </c>
      <c r="D627" s="38"/>
      <c r="E627" s="125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5" t="s">
        <v>13</v>
      </c>
      <c r="F628" s="18"/>
      <c r="G628" s="17"/>
      <c r="H628" s="22"/>
    </row>
    <row r="629" spans="2:10" x14ac:dyDescent="0.25">
      <c r="B629" s="124" t="s">
        <v>23</v>
      </c>
      <c r="C629" s="86" t="s">
        <v>433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5" t="s">
        <v>15</v>
      </c>
      <c r="C630" s="122" t="s">
        <v>434</v>
      </c>
      <c r="D630" s="38" t="s">
        <v>581</v>
      </c>
      <c r="E630" s="125" t="s">
        <v>9</v>
      </c>
      <c r="F630" s="18"/>
      <c r="G630" s="24"/>
      <c r="H630" s="19" t="str">
        <f>IF(D630="x",H$2,H$1)</f>
        <v>CORRECTO</v>
      </c>
    </row>
    <row r="631" spans="2:10" x14ac:dyDescent="0.25">
      <c r="B631" s="85" t="s">
        <v>15</v>
      </c>
      <c r="C631" s="122" t="s">
        <v>435</v>
      </c>
      <c r="D631" s="38"/>
      <c r="E631" s="125" t="s">
        <v>10</v>
      </c>
      <c r="F631" s="20" t="str">
        <f>IF(H632=1,IF(H630=H$2,H630,""),"")</f>
        <v>CORRECTO</v>
      </c>
      <c r="G631" s="24"/>
      <c r="H631" s="19">
        <f>IF(E$653="comprobar",COUNTIF(D630:D634,"x"),"")</f>
        <v>1</v>
      </c>
    </row>
    <row r="632" spans="2:10" x14ac:dyDescent="0.25">
      <c r="B632" s="85" t="s">
        <v>15</v>
      </c>
      <c r="C632" s="122" t="s">
        <v>436</v>
      </c>
      <c r="D632" s="38"/>
      <c r="E632" s="125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1</v>
      </c>
    </row>
    <row r="633" spans="2:10" x14ac:dyDescent="0.25">
      <c r="B633" s="85" t="s">
        <v>15</v>
      </c>
      <c r="C633" s="122" t="s">
        <v>437</v>
      </c>
      <c r="D633" s="38"/>
      <c r="E633" s="125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5" t="s">
        <v>13</v>
      </c>
      <c r="F634" s="18"/>
      <c r="G634" s="17"/>
      <c r="H634" s="22"/>
    </row>
    <row r="635" spans="2:10" x14ac:dyDescent="0.25">
      <c r="B635" s="124" t="s">
        <v>24</v>
      </c>
      <c r="C635" s="86" t="s">
        <v>438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5" t="s">
        <v>15</v>
      </c>
      <c r="C636" s="122" t="s">
        <v>439</v>
      </c>
      <c r="D636" s="38"/>
      <c r="E636" s="125" t="s">
        <v>9</v>
      </c>
      <c r="F636" s="18"/>
      <c r="G636" s="24"/>
      <c r="H636" s="19" t="str">
        <f>IF(D638="x",H$2,H$1)</f>
        <v>CORRECTO</v>
      </c>
    </row>
    <row r="637" spans="2:10" x14ac:dyDescent="0.25">
      <c r="B637" s="85" t="s">
        <v>15</v>
      </c>
      <c r="C637" s="122" t="s">
        <v>440</v>
      </c>
      <c r="D637" s="38"/>
      <c r="E637" s="125" t="s">
        <v>10</v>
      </c>
      <c r="F637" s="20" t="str">
        <f>IF(H638=1,IF(H636=H$2,H636,""),"")</f>
        <v>CORRECTO</v>
      </c>
      <c r="G637" s="24"/>
      <c r="H637" s="19">
        <f>IF(E$653="comprobar",COUNTIF(D636:D640,"x"),"")</f>
        <v>1</v>
      </c>
    </row>
    <row r="638" spans="2:10" x14ac:dyDescent="0.25">
      <c r="B638" s="85" t="s">
        <v>15</v>
      </c>
      <c r="C638" s="122" t="s">
        <v>441</v>
      </c>
      <c r="D638" s="38" t="s">
        <v>581</v>
      </c>
      <c r="E638" s="125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1</v>
      </c>
    </row>
    <row r="639" spans="2:10" x14ac:dyDescent="0.25">
      <c r="B639" s="85" t="s">
        <v>15</v>
      </c>
      <c r="C639" s="122" t="s">
        <v>442</v>
      </c>
      <c r="D639" s="38"/>
      <c r="E639" s="125" t="s">
        <v>12</v>
      </c>
      <c r="F639" s="18"/>
      <c r="G639" s="24"/>
      <c r="H639" s="22"/>
    </row>
    <row r="640" spans="2:10" x14ac:dyDescent="0.25">
      <c r="B640" s="110"/>
      <c r="C640" s="24"/>
      <c r="D640" s="38"/>
      <c r="E640" s="125" t="s">
        <v>13</v>
      </c>
      <c r="F640" s="18"/>
      <c r="G640" s="17"/>
      <c r="H640" s="22"/>
    </row>
    <row r="641" spans="2:8" x14ac:dyDescent="0.25">
      <c r="B641" s="124" t="s">
        <v>29</v>
      </c>
      <c r="C641" s="86" t="s">
        <v>443</v>
      </c>
      <c r="D641" s="39"/>
      <c r="E641" s="12"/>
      <c r="F641" s="14"/>
      <c r="G641" s="26"/>
      <c r="H641" s="13"/>
    </row>
    <row r="642" spans="2:8" x14ac:dyDescent="0.25">
      <c r="B642" s="85" t="s">
        <v>15</v>
      </c>
      <c r="C642" s="122" t="s">
        <v>444</v>
      </c>
      <c r="D642" s="38"/>
      <c r="E642" s="125" t="s">
        <v>9</v>
      </c>
      <c r="F642" s="18"/>
      <c r="G642" s="24"/>
      <c r="H642" s="19" t="str">
        <f>IF(D643="x",H$2,H$1)</f>
        <v>CORRECTO</v>
      </c>
    </row>
    <row r="643" spans="2:8" x14ac:dyDescent="0.25">
      <c r="B643" s="85" t="s">
        <v>15</v>
      </c>
      <c r="C643" s="122" t="s">
        <v>445</v>
      </c>
      <c r="D643" s="38" t="s">
        <v>581</v>
      </c>
      <c r="E643" s="125" t="s">
        <v>10</v>
      </c>
      <c r="F643" s="20" t="str">
        <f>IF(H644=1,IF(H642=H$2,H642,""),"")</f>
        <v>CORRECTO</v>
      </c>
      <c r="G643" s="24"/>
      <c r="H643" s="19">
        <f>IF(E$653="comprobar",COUNTIF(D642:D646,"x"),"")</f>
        <v>1</v>
      </c>
    </row>
    <row r="644" spans="2:8" x14ac:dyDescent="0.25">
      <c r="B644" s="85" t="s">
        <v>15</v>
      </c>
      <c r="C644" s="122" t="s">
        <v>446</v>
      </c>
      <c r="D644" s="38"/>
      <c r="E644" s="125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1</v>
      </c>
    </row>
    <row r="645" spans="2:8" x14ac:dyDescent="0.25">
      <c r="B645" s="85" t="s">
        <v>15</v>
      </c>
      <c r="C645" s="122" t="s">
        <v>62</v>
      </c>
      <c r="D645" s="38"/>
      <c r="E645" s="125" t="s">
        <v>12</v>
      </c>
      <c r="F645" s="18"/>
      <c r="G645" s="24"/>
      <c r="H645" s="22"/>
    </row>
    <row r="646" spans="2:8" x14ac:dyDescent="0.25">
      <c r="B646" s="110"/>
      <c r="C646" s="24"/>
      <c r="D646" s="38"/>
      <c r="E646" s="125" t="s">
        <v>13</v>
      </c>
      <c r="F646" s="18"/>
      <c r="G646" s="17"/>
      <c r="H646" s="22"/>
    </row>
    <row r="647" spans="2:8" x14ac:dyDescent="0.25">
      <c r="B647" s="124" t="s">
        <v>27</v>
      </c>
      <c r="C647" s="86" t="s">
        <v>447</v>
      </c>
      <c r="D647" s="39"/>
      <c r="E647" s="12"/>
      <c r="F647" s="14"/>
      <c r="G647" s="26"/>
      <c r="H647" s="13"/>
    </row>
    <row r="648" spans="2:8" x14ac:dyDescent="0.25">
      <c r="B648" s="85" t="s">
        <v>15</v>
      </c>
      <c r="C648" s="122" t="s">
        <v>448</v>
      </c>
      <c r="D648" s="38" t="s">
        <v>581</v>
      </c>
      <c r="E648" s="125" t="s">
        <v>9</v>
      </c>
      <c r="F648" s="18"/>
      <c r="G648" s="24"/>
      <c r="H648" s="19" t="str">
        <f>IF(D648="x",H$2,H$1)</f>
        <v>CORRECTO</v>
      </c>
    </row>
    <row r="649" spans="2:8" x14ac:dyDescent="0.25">
      <c r="B649" s="85" t="s">
        <v>15</v>
      </c>
      <c r="C649" s="122" t="s">
        <v>449</v>
      </c>
      <c r="D649" s="38"/>
      <c r="E649" s="125" t="s">
        <v>10</v>
      </c>
      <c r="F649" s="20" t="str">
        <f>IF(H650=1,IF(H648=H$2,H648,""),"")</f>
        <v>CORRECTO</v>
      </c>
      <c r="G649" s="24"/>
      <c r="H649" s="19">
        <f>IF(E$653="comprobar",COUNTIF(D648:D652,"x"),"")</f>
        <v>1</v>
      </c>
    </row>
    <row r="650" spans="2:8" x14ac:dyDescent="0.25">
      <c r="B650" s="85" t="s">
        <v>15</v>
      </c>
      <c r="C650" s="122" t="s">
        <v>450</v>
      </c>
      <c r="D650" s="38"/>
      <c r="E650" s="125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1</v>
      </c>
    </row>
    <row r="651" spans="2:8" x14ac:dyDescent="0.25">
      <c r="B651" s="85" t="s">
        <v>15</v>
      </c>
      <c r="C651" s="122" t="s">
        <v>451</v>
      </c>
      <c r="D651" s="38"/>
      <c r="E651" s="125" t="s">
        <v>12</v>
      </c>
      <c r="F651" s="18"/>
      <c r="G651" s="24"/>
      <c r="H651" s="22"/>
    </row>
    <row r="652" spans="2:8" x14ac:dyDescent="0.25">
      <c r="B652" s="110"/>
      <c r="C652" s="24"/>
      <c r="D652" s="38"/>
      <c r="E652" s="125" t="s">
        <v>13</v>
      </c>
      <c r="F652" s="18"/>
      <c r="G652" s="17"/>
      <c r="H652" s="22"/>
    </row>
    <row r="653" spans="2:8" x14ac:dyDescent="0.25">
      <c r="B653" s="110"/>
      <c r="C653" s="16"/>
      <c r="D653" s="48"/>
      <c r="E653" s="54" t="s">
        <v>580</v>
      </c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2"/>
      <c r="E655" s="132"/>
      <c r="F655" s="29">
        <f>IF(E$653="comprobar",H638+H632+H626+H620+H614+H608+H602+H596+H644+H650,"")</f>
        <v>10</v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6" t="s">
        <v>410</v>
      </c>
      <c r="D657" s="126"/>
      <c r="E657" s="126"/>
      <c r="F657" s="127"/>
    </row>
    <row r="658" spans="2:10" x14ac:dyDescent="0.25">
      <c r="B658" s="121" t="s">
        <v>18</v>
      </c>
      <c r="C658" s="86" t="s">
        <v>452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5" t="s">
        <v>15</v>
      </c>
      <c r="C659" s="122" t="s">
        <v>453</v>
      </c>
      <c r="D659" s="38"/>
      <c r="E659" s="125"/>
      <c r="F659" s="18"/>
      <c r="G659" s="24"/>
      <c r="H659" s="19" t="str">
        <f>IF(D660="x",H$2,H$1)</f>
        <v>CORRECTO</v>
      </c>
    </row>
    <row r="660" spans="2:10" x14ac:dyDescent="0.25">
      <c r="B660" s="85" t="s">
        <v>15</v>
      </c>
      <c r="C660" s="122" t="s">
        <v>454</v>
      </c>
      <c r="D660" s="38" t="s">
        <v>581</v>
      </c>
      <c r="E660" s="125" t="s">
        <v>10</v>
      </c>
      <c r="F660" s="20" t="str">
        <f>IF(H661=1,IF(H659=H$2,H659,""),"")</f>
        <v>CORRECTO</v>
      </c>
      <c r="G660" s="24"/>
      <c r="H660" s="19">
        <f>IF(E$718="comprobar",COUNTIF(D659:D663,"x"),"")</f>
        <v>1</v>
      </c>
    </row>
    <row r="661" spans="2:10" x14ac:dyDescent="0.25">
      <c r="B661" s="85" t="s">
        <v>15</v>
      </c>
      <c r="C661" s="122" t="s">
        <v>455</v>
      </c>
      <c r="D661" s="38"/>
      <c r="E661" s="125" t="s">
        <v>11</v>
      </c>
      <c r="F661" s="21" t="str">
        <f>IF(H661=-0.33,IF(H659=H$1,H659,""),"")</f>
        <v/>
      </c>
      <c r="G661" s="24"/>
      <c r="H661" s="22">
        <f>IF(H660=1,IF(H659=H$2,1,-0.33),0)</f>
        <v>1</v>
      </c>
    </row>
    <row r="662" spans="2:10" x14ac:dyDescent="0.25">
      <c r="B662" s="85" t="s">
        <v>15</v>
      </c>
      <c r="C662" s="122" t="s">
        <v>97</v>
      </c>
      <c r="D662" s="38"/>
      <c r="E662" s="125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5" t="s">
        <v>13</v>
      </c>
      <c r="F663" s="18"/>
      <c r="G663" s="17"/>
      <c r="H663" s="22"/>
    </row>
    <row r="664" spans="2:10" x14ac:dyDescent="0.25">
      <c r="B664" s="124" t="s">
        <v>17</v>
      </c>
      <c r="C664" s="86" t="s">
        <v>456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5" t="s">
        <v>15</v>
      </c>
      <c r="C665" s="122" t="s">
        <v>457</v>
      </c>
      <c r="D665" s="38"/>
      <c r="E665" s="125" t="s">
        <v>9</v>
      </c>
      <c r="F665" s="18"/>
      <c r="G665" s="24"/>
      <c r="H665" s="19" t="str">
        <f>IF(D666="x",H$2,H$1)</f>
        <v>CORRECTO</v>
      </c>
    </row>
    <row r="666" spans="2:10" x14ac:dyDescent="0.25">
      <c r="B666" s="85" t="s">
        <v>15</v>
      </c>
      <c r="C666" s="122" t="s">
        <v>458</v>
      </c>
      <c r="D666" s="38" t="s">
        <v>581</v>
      </c>
      <c r="E666" s="125" t="s">
        <v>10</v>
      </c>
      <c r="F666" s="20" t="str">
        <f>IF(H667=1,IF(H665=H$2,H665,""),"")</f>
        <v>CORRECTO</v>
      </c>
      <c r="G666" s="24"/>
      <c r="H666" s="19">
        <f>IF(E$718="comprobar",COUNTIF(D665:D669,"x"),"")</f>
        <v>1</v>
      </c>
    </row>
    <row r="667" spans="2:10" x14ac:dyDescent="0.25">
      <c r="B667" s="85" t="s">
        <v>15</v>
      </c>
      <c r="C667" s="122" t="s">
        <v>459</v>
      </c>
      <c r="D667" s="38"/>
      <c r="E667" s="125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1</v>
      </c>
    </row>
    <row r="668" spans="2:10" x14ac:dyDescent="0.25">
      <c r="B668" s="85" t="s">
        <v>15</v>
      </c>
      <c r="C668" s="122" t="s">
        <v>62</v>
      </c>
      <c r="D668" s="38"/>
      <c r="E668" s="125" t="s">
        <v>12</v>
      </c>
      <c r="F668" s="18"/>
      <c r="G668" s="24"/>
      <c r="H668" s="22"/>
    </row>
    <row r="669" spans="2:10" x14ac:dyDescent="0.25">
      <c r="B669" s="85"/>
      <c r="C669" s="24"/>
      <c r="D669" s="38"/>
      <c r="E669" s="125" t="s">
        <v>13</v>
      </c>
      <c r="F669" s="18"/>
      <c r="G669" s="17"/>
      <c r="H669" s="22"/>
    </row>
    <row r="670" spans="2:10" x14ac:dyDescent="0.25">
      <c r="B670" s="124" t="s">
        <v>19</v>
      </c>
      <c r="C670" s="86" t="s">
        <v>460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5" t="s">
        <v>15</v>
      </c>
      <c r="C671" s="122" t="s">
        <v>461</v>
      </c>
      <c r="D671" s="38"/>
      <c r="E671" s="125" t="s">
        <v>9</v>
      </c>
      <c r="F671" s="18"/>
      <c r="G671" s="24"/>
      <c r="H671" s="19" t="str">
        <f>IF(D674="x",H$2,H$1)</f>
        <v>CORRECTO</v>
      </c>
    </row>
    <row r="672" spans="2:10" x14ac:dyDescent="0.25">
      <c r="B672" s="85" t="s">
        <v>15</v>
      </c>
      <c r="C672" s="122" t="s">
        <v>462</v>
      </c>
      <c r="D672" s="38"/>
      <c r="E672" s="125" t="s">
        <v>10</v>
      </c>
      <c r="F672" s="20" t="str">
        <f>IF(H673=1,IF(H671=H$2,H671,""),"")</f>
        <v>CORRECTO</v>
      </c>
      <c r="G672" s="24"/>
      <c r="H672" s="19">
        <f>IF(E$718="comprobar",COUNTIF(D671:D675,"x"),"")</f>
        <v>1</v>
      </c>
    </row>
    <row r="673" spans="2:10" x14ac:dyDescent="0.25">
      <c r="B673" s="85" t="s">
        <v>15</v>
      </c>
      <c r="C673" s="122" t="s">
        <v>463</v>
      </c>
      <c r="D673" s="38"/>
      <c r="E673" s="125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1</v>
      </c>
    </row>
    <row r="674" spans="2:10" x14ac:dyDescent="0.25">
      <c r="B674" s="85" t="s">
        <v>15</v>
      </c>
      <c r="C674" s="122" t="s">
        <v>62</v>
      </c>
      <c r="D674" s="38" t="s">
        <v>581</v>
      </c>
      <c r="E674" s="125" t="s">
        <v>12</v>
      </c>
      <c r="F674" s="18"/>
      <c r="G674" s="24"/>
      <c r="H674" s="22"/>
    </row>
    <row r="675" spans="2:10" x14ac:dyDescent="0.25">
      <c r="B675" s="85"/>
      <c r="C675" s="24"/>
      <c r="D675" s="38"/>
      <c r="E675" s="125" t="s">
        <v>13</v>
      </c>
      <c r="F675" s="18"/>
      <c r="G675" s="17"/>
      <c r="H675" s="22"/>
    </row>
    <row r="676" spans="2:10" x14ac:dyDescent="0.25">
      <c r="B676" s="124" t="s">
        <v>20</v>
      </c>
      <c r="C676" s="86" t="s">
        <v>379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5" t="s">
        <v>15</v>
      </c>
      <c r="C677" s="122" t="s">
        <v>380</v>
      </c>
      <c r="D677" s="38"/>
      <c r="E677" s="125" t="s">
        <v>9</v>
      </c>
      <c r="F677" s="18"/>
      <c r="G677" s="24"/>
      <c r="H677" s="19" t="str">
        <f>IF(D680="x",H$2,H$1)</f>
        <v>CORRECTO</v>
      </c>
    </row>
    <row r="678" spans="2:10" x14ac:dyDescent="0.25">
      <c r="B678" s="85" t="s">
        <v>15</v>
      </c>
      <c r="C678" s="122" t="s">
        <v>381</v>
      </c>
      <c r="D678" s="38"/>
      <c r="E678" s="125" t="s">
        <v>10</v>
      </c>
      <c r="F678" s="20" t="str">
        <f>IF(H679=1,IF(H677=H$2,H677,""),"")</f>
        <v>CORRECTO</v>
      </c>
      <c r="G678" s="24"/>
      <c r="H678" s="19">
        <f>IF(E$718="comprobar",COUNTIF(D677:D681,"x"),"")</f>
        <v>1</v>
      </c>
    </row>
    <row r="679" spans="2:10" x14ac:dyDescent="0.25">
      <c r="B679" s="85" t="s">
        <v>15</v>
      </c>
      <c r="C679" s="122" t="s">
        <v>382</v>
      </c>
      <c r="D679" s="38"/>
      <c r="E679" s="125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1</v>
      </c>
    </row>
    <row r="680" spans="2:10" x14ac:dyDescent="0.25">
      <c r="B680" s="85" t="s">
        <v>15</v>
      </c>
      <c r="C680" s="122" t="s">
        <v>97</v>
      </c>
      <c r="D680" s="38" t="s">
        <v>581</v>
      </c>
      <c r="E680" s="125" t="s">
        <v>12</v>
      </c>
      <c r="F680" s="18"/>
      <c r="G680" s="24"/>
      <c r="H680" s="22"/>
    </row>
    <row r="681" spans="2:10" x14ac:dyDescent="0.25">
      <c r="B681" s="85"/>
      <c r="C681" s="24"/>
      <c r="D681" s="38"/>
      <c r="E681" s="125" t="s">
        <v>13</v>
      </c>
      <c r="F681" s="18"/>
      <c r="G681" s="17"/>
      <c r="H681" s="22"/>
    </row>
    <row r="682" spans="2:10" x14ac:dyDescent="0.25">
      <c r="B682" s="124" t="s">
        <v>21</v>
      </c>
      <c r="C682" s="86" t="s">
        <v>465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5" t="s">
        <v>15</v>
      </c>
      <c r="C683" s="122" t="s">
        <v>466</v>
      </c>
      <c r="D683" s="38"/>
      <c r="E683" s="125" t="s">
        <v>9</v>
      </c>
      <c r="F683" s="18"/>
      <c r="G683" s="24"/>
      <c r="H683" s="19" t="str">
        <f>IF(D684="x",H$2,H$1)</f>
        <v>CORRECTO</v>
      </c>
    </row>
    <row r="684" spans="2:10" x14ac:dyDescent="0.25">
      <c r="B684" s="85" t="s">
        <v>15</v>
      </c>
      <c r="C684" s="122" t="s">
        <v>467</v>
      </c>
      <c r="D684" s="38" t="s">
        <v>581</v>
      </c>
      <c r="E684" s="125" t="s">
        <v>10</v>
      </c>
      <c r="F684" s="20" t="str">
        <f>IF(H685=1,IF(H683=H$2,H683,""),"")</f>
        <v>CORRECTO</v>
      </c>
      <c r="G684" s="24"/>
      <c r="H684" s="19">
        <f>IF(E$718="comprobar",COUNTIF(D683:D687,"x"),"")</f>
        <v>1</v>
      </c>
    </row>
    <row r="685" spans="2:10" x14ac:dyDescent="0.25">
      <c r="B685" s="85" t="s">
        <v>15</v>
      </c>
      <c r="C685" s="122" t="s">
        <v>468</v>
      </c>
      <c r="D685" s="38"/>
      <c r="E685" s="125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1</v>
      </c>
    </row>
    <row r="686" spans="2:10" x14ac:dyDescent="0.25">
      <c r="B686" s="85" t="s">
        <v>15</v>
      </c>
      <c r="C686" s="122" t="s">
        <v>469</v>
      </c>
      <c r="D686" s="38"/>
      <c r="E686" s="125" t="s">
        <v>12</v>
      </c>
      <c r="F686" s="18"/>
      <c r="G686" s="24"/>
      <c r="H686" s="22"/>
    </row>
    <row r="687" spans="2:10" x14ac:dyDescent="0.25">
      <c r="B687" s="85"/>
      <c r="C687" s="24"/>
      <c r="D687" s="38"/>
      <c r="E687" s="125" t="s">
        <v>13</v>
      </c>
      <c r="F687" s="18"/>
      <c r="G687" s="17"/>
      <c r="H687" s="22"/>
    </row>
    <row r="688" spans="2:10" x14ac:dyDescent="0.25">
      <c r="B688" s="124" t="s">
        <v>22</v>
      </c>
      <c r="C688" s="86" t="s">
        <v>470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5" t="s">
        <v>15</v>
      </c>
      <c r="C689" s="122" t="s">
        <v>471</v>
      </c>
      <c r="D689" s="38"/>
      <c r="E689" s="125" t="s">
        <v>9</v>
      </c>
      <c r="F689" s="18"/>
      <c r="G689" s="24"/>
      <c r="H689" s="19" t="str">
        <f>IF(D692="x",H$2,H$1)</f>
        <v>CORRECTO</v>
      </c>
    </row>
    <row r="690" spans="2:10" x14ac:dyDescent="0.25">
      <c r="B690" s="85" t="s">
        <v>15</v>
      </c>
      <c r="C690" s="122" t="s">
        <v>472</v>
      </c>
      <c r="D690" s="38"/>
      <c r="E690" s="125" t="s">
        <v>10</v>
      </c>
      <c r="F690" s="20" t="str">
        <f>IF(H691=1,IF(H689=H$2,H689,""),"")</f>
        <v>CORRECTO</v>
      </c>
      <c r="G690" s="24"/>
      <c r="H690" s="19">
        <f>IF(E$718="comprobar",COUNTIF(D689:D693,"x"),"")</f>
        <v>1</v>
      </c>
    </row>
    <row r="691" spans="2:10" x14ac:dyDescent="0.25">
      <c r="B691" s="85" t="s">
        <v>15</v>
      </c>
      <c r="C691" s="122" t="s">
        <v>473</v>
      </c>
      <c r="D691" s="38"/>
      <c r="E691" s="125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1</v>
      </c>
    </row>
    <row r="692" spans="2:10" x14ac:dyDescent="0.25">
      <c r="B692" s="85" t="s">
        <v>15</v>
      </c>
      <c r="C692" s="122" t="s">
        <v>62</v>
      </c>
      <c r="D692" s="38" t="s">
        <v>581</v>
      </c>
      <c r="E692" s="125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5" t="s">
        <v>13</v>
      </c>
      <c r="F693" s="18"/>
      <c r="G693" s="17"/>
      <c r="H693" s="22"/>
    </row>
    <row r="694" spans="2:10" x14ac:dyDescent="0.25">
      <c r="B694" s="124" t="s">
        <v>23</v>
      </c>
      <c r="C694" s="86" t="s">
        <v>474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5" t="s">
        <v>15</v>
      </c>
      <c r="C695" s="122" t="s">
        <v>475</v>
      </c>
      <c r="D695" s="38" t="s">
        <v>581</v>
      </c>
      <c r="E695" s="125" t="s">
        <v>9</v>
      </c>
      <c r="F695" s="18"/>
      <c r="G695" s="24"/>
      <c r="H695" s="19" t="str">
        <f>IF(D695="x",H$2,H$1)</f>
        <v>CORRECTO</v>
      </c>
    </row>
    <row r="696" spans="2:10" x14ac:dyDescent="0.25">
      <c r="B696" s="85" t="s">
        <v>15</v>
      </c>
      <c r="C696" s="122" t="s">
        <v>476</v>
      </c>
      <c r="D696" s="38"/>
      <c r="E696" s="125" t="s">
        <v>10</v>
      </c>
      <c r="F696" s="20" t="str">
        <f>IF(H697=1,IF(H695=H$2,H695,""),"")</f>
        <v>CORRECTO</v>
      </c>
      <c r="G696" s="24"/>
      <c r="H696" s="19">
        <f>IF(E$718="comprobar",COUNTIF(D695:D699,"x"),"")</f>
        <v>1</v>
      </c>
    </row>
    <row r="697" spans="2:10" x14ac:dyDescent="0.25">
      <c r="B697" s="85" t="s">
        <v>15</v>
      </c>
      <c r="C697" s="122" t="s">
        <v>477</v>
      </c>
      <c r="D697" s="38"/>
      <c r="E697" s="125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1</v>
      </c>
    </row>
    <row r="698" spans="2:10" x14ac:dyDescent="0.25">
      <c r="B698" s="85" t="s">
        <v>15</v>
      </c>
      <c r="C698" s="122" t="s">
        <v>62</v>
      </c>
      <c r="D698" s="38"/>
      <c r="E698" s="125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5" t="s">
        <v>13</v>
      </c>
      <c r="F699" s="18"/>
      <c r="G699" s="17"/>
      <c r="H699" s="22"/>
    </row>
    <row r="700" spans="2:10" x14ac:dyDescent="0.25">
      <c r="B700" s="124" t="s">
        <v>24</v>
      </c>
      <c r="C700" s="86" t="s">
        <v>478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5" t="s">
        <v>15</v>
      </c>
      <c r="C701" s="122" t="s">
        <v>479</v>
      </c>
      <c r="D701" s="38"/>
      <c r="E701" s="125" t="s">
        <v>9</v>
      </c>
      <c r="F701" s="18"/>
      <c r="G701" s="24"/>
      <c r="H701" s="19" t="str">
        <f>IF(D702="x",H$2,H$1)</f>
        <v>CORRECTO</v>
      </c>
    </row>
    <row r="702" spans="2:10" x14ac:dyDescent="0.25">
      <c r="B702" s="85" t="s">
        <v>15</v>
      </c>
      <c r="C702" s="122" t="s">
        <v>480</v>
      </c>
      <c r="D702" s="38" t="s">
        <v>581</v>
      </c>
      <c r="E702" s="125" t="s">
        <v>10</v>
      </c>
      <c r="F702" s="20" t="str">
        <f>IF(H703=1,IF(H701=H$2,H701,""),"")</f>
        <v>CORRECTO</v>
      </c>
      <c r="G702" s="24"/>
      <c r="H702" s="19">
        <f>IF(E$718="comprobar",COUNTIF(D701:D705,"x"),"")</f>
        <v>1</v>
      </c>
    </row>
    <row r="703" spans="2:10" x14ac:dyDescent="0.25">
      <c r="B703" s="85" t="s">
        <v>15</v>
      </c>
      <c r="C703" s="122" t="s">
        <v>481</v>
      </c>
      <c r="D703" s="38"/>
      <c r="E703" s="125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1</v>
      </c>
    </row>
    <row r="704" spans="2:10" x14ac:dyDescent="0.25">
      <c r="B704" s="85" t="s">
        <v>15</v>
      </c>
      <c r="C704" s="122" t="s">
        <v>62</v>
      </c>
      <c r="D704" s="38"/>
      <c r="E704" s="125" t="s">
        <v>12</v>
      </c>
      <c r="F704" s="18"/>
      <c r="G704" s="24"/>
      <c r="H704" s="22"/>
    </row>
    <row r="705" spans="2:8" x14ac:dyDescent="0.25">
      <c r="B705" s="110"/>
      <c r="C705" s="24"/>
      <c r="D705" s="38"/>
      <c r="E705" s="125" t="s">
        <v>13</v>
      </c>
      <c r="F705" s="18"/>
      <c r="G705" s="17"/>
      <c r="H705" s="22"/>
    </row>
    <row r="706" spans="2:8" x14ac:dyDescent="0.25">
      <c r="B706" s="124" t="s">
        <v>29</v>
      </c>
      <c r="C706" s="86" t="s">
        <v>482</v>
      </c>
      <c r="D706" s="39"/>
      <c r="E706" s="12"/>
      <c r="F706" s="14"/>
      <c r="G706" s="26"/>
      <c r="H706" s="13"/>
    </row>
    <row r="707" spans="2:8" x14ac:dyDescent="0.25">
      <c r="B707" s="85" t="s">
        <v>15</v>
      </c>
      <c r="C707" s="122" t="s">
        <v>483</v>
      </c>
      <c r="D707" s="38" t="s">
        <v>581</v>
      </c>
      <c r="E707" s="125" t="s">
        <v>9</v>
      </c>
      <c r="F707" s="18"/>
      <c r="G707" s="24"/>
      <c r="H707" s="19" t="str">
        <f>IF(D707="x",H$2,H$1)</f>
        <v>CORRECTO</v>
      </c>
    </row>
    <row r="708" spans="2:8" x14ac:dyDescent="0.25">
      <c r="B708" s="85" t="s">
        <v>15</v>
      </c>
      <c r="C708" s="122" t="s">
        <v>484</v>
      </c>
      <c r="D708" s="38"/>
      <c r="E708" s="125" t="s">
        <v>10</v>
      </c>
      <c r="F708" s="20" t="str">
        <f>IF(H709=1,IF(H707=H$2,H707,""),"")</f>
        <v>CORRECTO</v>
      </c>
      <c r="G708" s="24"/>
      <c r="H708" s="19">
        <f>IF(E$718="comprobar",COUNTIF(D707:D711,"x"),"")</f>
        <v>1</v>
      </c>
    </row>
    <row r="709" spans="2:8" x14ac:dyDescent="0.25">
      <c r="B709" s="85" t="s">
        <v>15</v>
      </c>
      <c r="C709" s="122" t="s">
        <v>485</v>
      </c>
      <c r="D709" s="38"/>
      <c r="E709" s="125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1</v>
      </c>
    </row>
    <row r="710" spans="2:8" x14ac:dyDescent="0.25">
      <c r="B710" s="85" t="s">
        <v>15</v>
      </c>
      <c r="C710" s="122" t="s">
        <v>486</v>
      </c>
      <c r="D710" s="38"/>
      <c r="E710" s="125" t="s">
        <v>12</v>
      </c>
      <c r="F710" s="18"/>
      <c r="G710" s="24"/>
      <c r="H710" s="22"/>
    </row>
    <row r="711" spans="2:8" x14ac:dyDescent="0.25">
      <c r="B711" s="110"/>
      <c r="C711" s="24"/>
      <c r="D711" s="38"/>
      <c r="E711" s="125" t="s">
        <v>13</v>
      </c>
      <c r="F711" s="18"/>
      <c r="G711" s="17"/>
      <c r="H711" s="22"/>
    </row>
    <row r="712" spans="2:8" x14ac:dyDescent="0.25">
      <c r="B712" s="124" t="s">
        <v>27</v>
      </c>
      <c r="C712" s="86" t="s">
        <v>487</v>
      </c>
      <c r="D712" s="39"/>
      <c r="E712" s="12"/>
      <c r="F712" s="14"/>
      <c r="G712" s="26"/>
      <c r="H712" s="13"/>
    </row>
    <row r="713" spans="2:8" x14ac:dyDescent="0.25">
      <c r="B713" s="85" t="s">
        <v>15</v>
      </c>
      <c r="C713" s="122" t="s">
        <v>488</v>
      </c>
      <c r="D713" s="38" t="s">
        <v>581</v>
      </c>
      <c r="E713" s="125" t="s">
        <v>9</v>
      </c>
      <c r="F713" s="18"/>
      <c r="G713" s="24"/>
      <c r="H713" s="19" t="str">
        <f>IF(D713="x",H$2,H$1)</f>
        <v>CORRECTO</v>
      </c>
    </row>
    <row r="714" spans="2:8" x14ac:dyDescent="0.25">
      <c r="B714" s="85" t="s">
        <v>15</v>
      </c>
      <c r="C714" s="122" t="s">
        <v>489</v>
      </c>
      <c r="D714" s="38"/>
      <c r="E714" s="125" t="s">
        <v>10</v>
      </c>
      <c r="F714" s="20" t="str">
        <f>IF(H715=1,IF(H713=H$2,H713,""),"")</f>
        <v>CORRECTO</v>
      </c>
      <c r="G714" s="24"/>
      <c r="H714" s="19">
        <f>IF(E$718="comprobar",COUNTIF(D713:D717,"x"),"")</f>
        <v>1</v>
      </c>
    </row>
    <row r="715" spans="2:8" x14ac:dyDescent="0.25">
      <c r="B715" s="85" t="s">
        <v>15</v>
      </c>
      <c r="C715" s="122" t="s">
        <v>490</v>
      </c>
      <c r="D715" s="38"/>
      <c r="E715" s="125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1</v>
      </c>
    </row>
    <row r="716" spans="2:8" x14ac:dyDescent="0.25">
      <c r="B716" s="85" t="s">
        <v>15</v>
      </c>
      <c r="C716" s="122" t="s">
        <v>491</v>
      </c>
      <c r="D716" s="38"/>
      <c r="E716" s="125" t="s">
        <v>12</v>
      </c>
      <c r="F716" s="18"/>
      <c r="G716" s="24"/>
      <c r="H716" s="22"/>
    </row>
    <row r="717" spans="2:8" x14ac:dyDescent="0.25">
      <c r="B717" s="110"/>
      <c r="C717" s="24"/>
      <c r="D717" s="38"/>
      <c r="E717" s="125" t="s">
        <v>13</v>
      </c>
      <c r="F717" s="18"/>
      <c r="G717" s="17"/>
      <c r="H717" s="22"/>
    </row>
    <row r="718" spans="2:8" x14ac:dyDescent="0.25">
      <c r="B718" s="110"/>
      <c r="C718" s="16"/>
      <c r="D718" s="48"/>
      <c r="E718" s="54" t="s">
        <v>580</v>
      </c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2"/>
      <c r="E720" s="132"/>
      <c r="F720" s="29">
        <f>IF(E$718="comprobar",H703+H697+H691+H685+H679+H673+H667+H661+H709+H715,"")</f>
        <v>10</v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6" t="s">
        <v>411</v>
      </c>
      <c r="D722" s="126"/>
      <c r="E722" s="126"/>
      <c r="F722" s="127"/>
    </row>
    <row r="723" spans="2:10" x14ac:dyDescent="0.25">
      <c r="B723" s="121" t="s">
        <v>18</v>
      </c>
      <c r="C723" s="86" t="s">
        <v>492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5" t="s">
        <v>15</v>
      </c>
      <c r="C724" s="122" t="s">
        <v>493</v>
      </c>
      <c r="D724" s="38" t="s">
        <v>581</v>
      </c>
      <c r="E724" s="125"/>
      <c r="F724" s="18"/>
      <c r="G724" s="24"/>
      <c r="H724" s="19" t="str">
        <f>IF(D724="x",H$2,H$1)</f>
        <v>CORRECTO</v>
      </c>
    </row>
    <row r="725" spans="2:10" x14ac:dyDescent="0.25">
      <c r="B725" s="85" t="s">
        <v>15</v>
      </c>
      <c r="C725" s="122" t="s">
        <v>494</v>
      </c>
      <c r="D725" s="38"/>
      <c r="E725" s="125" t="s">
        <v>10</v>
      </c>
      <c r="F725" s="20" t="str">
        <f>IF(H726=1,IF(H724=H$2,H724,""),"")</f>
        <v>CORRECTO</v>
      </c>
      <c r="G725" s="24"/>
      <c r="H725" s="19">
        <f>IF(E$783="comprobar",COUNTIF(D724:D728,"x"),"")</f>
        <v>1</v>
      </c>
    </row>
    <row r="726" spans="2:10" x14ac:dyDescent="0.25">
      <c r="B726" s="85" t="s">
        <v>15</v>
      </c>
      <c r="C726" s="122" t="s">
        <v>495</v>
      </c>
      <c r="D726" s="38"/>
      <c r="E726" s="125" t="s">
        <v>11</v>
      </c>
      <c r="F726" s="21" t="str">
        <f>IF(H726=-0.33,IF(H724=H$1,H724,""),"")</f>
        <v/>
      </c>
      <c r="G726" s="24"/>
      <c r="H726" s="22">
        <f>IF(H725=1,IF(H724=H$2,1,-0.33),0)</f>
        <v>1</v>
      </c>
    </row>
    <row r="727" spans="2:10" x14ac:dyDescent="0.25">
      <c r="B727" s="85" t="s">
        <v>15</v>
      </c>
      <c r="C727" s="122" t="s">
        <v>496</v>
      </c>
      <c r="D727" s="38"/>
      <c r="E727" s="125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5" t="s">
        <v>13</v>
      </c>
      <c r="F728" s="18"/>
      <c r="G728" s="17"/>
      <c r="H728" s="22"/>
    </row>
    <row r="729" spans="2:10" x14ac:dyDescent="0.25">
      <c r="B729" s="124" t="s">
        <v>17</v>
      </c>
      <c r="C729" s="86" t="s">
        <v>497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5" t="s">
        <v>15</v>
      </c>
      <c r="C730" s="122" t="s">
        <v>498</v>
      </c>
      <c r="D730" s="38"/>
      <c r="E730" s="125" t="s">
        <v>9</v>
      </c>
      <c r="F730" s="18"/>
      <c r="G730" s="24"/>
      <c r="H730" s="19" t="str">
        <f>IF(D731="x",H$2,H$1)</f>
        <v>CORRECTO</v>
      </c>
    </row>
    <row r="731" spans="2:10" x14ac:dyDescent="0.25">
      <c r="B731" s="85" t="s">
        <v>15</v>
      </c>
      <c r="C731" s="122" t="s">
        <v>499</v>
      </c>
      <c r="D731" s="38" t="s">
        <v>581</v>
      </c>
      <c r="E731" s="125" t="s">
        <v>10</v>
      </c>
      <c r="F731" s="20" t="str">
        <f>IF(H732=1,IF(H730=H$2,H730,""),"")</f>
        <v>CORRECTO</v>
      </c>
      <c r="G731" s="24"/>
      <c r="H731" s="19">
        <f>IF(E$783="comprobar",COUNTIF(D730:D734,"x"),"")</f>
        <v>1</v>
      </c>
    </row>
    <row r="732" spans="2:10" x14ac:dyDescent="0.25">
      <c r="B732" s="85" t="s">
        <v>15</v>
      </c>
      <c r="C732" s="122" t="s">
        <v>500</v>
      </c>
      <c r="D732" s="38"/>
      <c r="E732" s="125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1</v>
      </c>
    </row>
    <row r="733" spans="2:10" x14ac:dyDescent="0.25">
      <c r="B733" s="85" t="s">
        <v>15</v>
      </c>
      <c r="C733" s="122" t="s">
        <v>501</v>
      </c>
      <c r="D733" s="38"/>
      <c r="E733" s="125" t="s">
        <v>12</v>
      </c>
      <c r="F733" s="18"/>
      <c r="G733" s="24"/>
      <c r="H733" s="22"/>
    </row>
    <row r="734" spans="2:10" x14ac:dyDescent="0.25">
      <c r="B734" s="85"/>
      <c r="C734" s="24"/>
      <c r="D734" s="38"/>
      <c r="E734" s="125" t="s">
        <v>13</v>
      </c>
      <c r="F734" s="18"/>
      <c r="G734" s="17"/>
      <c r="H734" s="22"/>
    </row>
    <row r="735" spans="2:10" x14ac:dyDescent="0.25">
      <c r="B735" s="124" t="s">
        <v>19</v>
      </c>
      <c r="C735" s="86" t="s">
        <v>502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5" t="s">
        <v>15</v>
      </c>
      <c r="C736" s="122" t="s">
        <v>503</v>
      </c>
      <c r="D736" s="38"/>
      <c r="E736" s="125" t="s">
        <v>9</v>
      </c>
      <c r="F736" s="18"/>
      <c r="G736" s="24"/>
      <c r="H736" s="19" t="str">
        <f>IF(D739="x",H$2,H$1)</f>
        <v>CORRECTO</v>
      </c>
    </row>
    <row r="737" spans="2:10" x14ac:dyDescent="0.25">
      <c r="B737" s="85" t="s">
        <v>15</v>
      </c>
      <c r="C737" s="122" t="s">
        <v>504</v>
      </c>
      <c r="D737" s="38"/>
      <c r="E737" s="125" t="s">
        <v>10</v>
      </c>
      <c r="F737" s="20" t="str">
        <f>IF(H738=1,IF(H736=H$2,H736,""),"")</f>
        <v>CORRECTO</v>
      </c>
      <c r="G737" s="24"/>
      <c r="H737" s="19">
        <f>IF(E$783="comprobar",COUNTIF(D736:D740,"x"),"")</f>
        <v>1</v>
      </c>
    </row>
    <row r="738" spans="2:10" x14ac:dyDescent="0.25">
      <c r="B738" s="85" t="s">
        <v>15</v>
      </c>
      <c r="C738" s="122" t="s">
        <v>505</v>
      </c>
      <c r="D738" s="38"/>
      <c r="E738" s="125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1</v>
      </c>
    </row>
    <row r="739" spans="2:10" x14ac:dyDescent="0.25">
      <c r="B739" s="85" t="s">
        <v>15</v>
      </c>
      <c r="C739" s="122" t="s">
        <v>38</v>
      </c>
      <c r="D739" s="38" t="s">
        <v>581</v>
      </c>
      <c r="E739" s="125" t="s">
        <v>12</v>
      </c>
      <c r="F739" s="18"/>
      <c r="G739" s="24"/>
      <c r="H739" s="22"/>
    </row>
    <row r="740" spans="2:10" x14ac:dyDescent="0.25">
      <c r="B740" s="85"/>
      <c r="C740" s="24"/>
      <c r="D740" s="38"/>
      <c r="E740" s="125" t="s">
        <v>13</v>
      </c>
      <c r="F740" s="18"/>
      <c r="G740" s="17"/>
      <c r="H740" s="22"/>
    </row>
    <row r="741" spans="2:10" x14ac:dyDescent="0.25">
      <c r="B741" s="124" t="s">
        <v>20</v>
      </c>
      <c r="C741" s="86" t="s">
        <v>506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5" t="s">
        <v>15</v>
      </c>
      <c r="C742" s="122" t="s">
        <v>507</v>
      </c>
      <c r="D742" s="38" t="s">
        <v>581</v>
      </c>
      <c r="E742" s="125" t="s">
        <v>9</v>
      </c>
      <c r="F742" s="18"/>
      <c r="G742" s="24"/>
      <c r="H742" s="19" t="str">
        <f>IF(D742="x",H$2,H$1)</f>
        <v>CORRECTO</v>
      </c>
    </row>
    <row r="743" spans="2:10" x14ac:dyDescent="0.25">
      <c r="B743" s="85" t="s">
        <v>15</v>
      </c>
      <c r="C743" s="122" t="s">
        <v>508</v>
      </c>
      <c r="D743" s="38"/>
      <c r="E743" s="125" t="s">
        <v>10</v>
      </c>
      <c r="F743" s="20" t="str">
        <f>IF(H744=1,IF(H742=H$2,H742,""),"")</f>
        <v>CORRECTO</v>
      </c>
      <c r="G743" s="24"/>
      <c r="H743" s="19">
        <f>IF(E$783="comprobar",COUNTIF(D742:D746,"x"),"")</f>
        <v>1</v>
      </c>
    </row>
    <row r="744" spans="2:10" x14ac:dyDescent="0.25">
      <c r="B744" s="85" t="s">
        <v>15</v>
      </c>
      <c r="C744" s="122" t="s">
        <v>509</v>
      </c>
      <c r="D744" s="38"/>
      <c r="E744" s="125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1</v>
      </c>
    </row>
    <row r="745" spans="2:10" x14ac:dyDescent="0.25">
      <c r="B745" s="85" t="s">
        <v>15</v>
      </c>
      <c r="C745" s="122" t="s">
        <v>510</v>
      </c>
      <c r="D745" s="38"/>
      <c r="E745" s="125" t="s">
        <v>12</v>
      </c>
      <c r="F745" s="18"/>
      <c r="G745" s="24"/>
      <c r="H745" s="22"/>
    </row>
    <row r="746" spans="2:10" x14ac:dyDescent="0.25">
      <c r="B746" s="85"/>
      <c r="C746" s="24"/>
      <c r="D746" s="38"/>
      <c r="E746" s="125" t="s">
        <v>13</v>
      </c>
      <c r="F746" s="18"/>
      <c r="G746" s="17"/>
      <c r="H746" s="22"/>
    </row>
    <row r="747" spans="2:10" x14ac:dyDescent="0.25">
      <c r="B747" s="124" t="s">
        <v>21</v>
      </c>
      <c r="C747" s="86" t="s">
        <v>511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5" t="s">
        <v>15</v>
      </c>
      <c r="C748" s="122" t="s">
        <v>512</v>
      </c>
      <c r="D748" s="38"/>
      <c r="E748" s="125" t="s">
        <v>9</v>
      </c>
      <c r="F748" s="18"/>
      <c r="G748" s="24"/>
      <c r="H748" s="19" t="str">
        <f>IF(D751="x",H$2,H$1)</f>
        <v>CORRECTO</v>
      </c>
    </row>
    <row r="749" spans="2:10" x14ac:dyDescent="0.25">
      <c r="B749" s="85" t="s">
        <v>15</v>
      </c>
      <c r="C749" s="122" t="s">
        <v>513</v>
      </c>
      <c r="D749" s="38"/>
      <c r="E749" s="125" t="s">
        <v>10</v>
      </c>
      <c r="F749" s="20" t="str">
        <f>IF(H750=1,IF(H748=H$2,H748,""),"")</f>
        <v>CORRECTO</v>
      </c>
      <c r="G749" s="24"/>
      <c r="H749" s="19">
        <f>IF(E$783="comprobar",COUNTIF(D748:D752,"x"),"")</f>
        <v>1</v>
      </c>
    </row>
    <row r="750" spans="2:10" x14ac:dyDescent="0.25">
      <c r="B750" s="85" t="s">
        <v>15</v>
      </c>
      <c r="C750" s="122" t="s">
        <v>514</v>
      </c>
      <c r="D750" s="38"/>
      <c r="E750" s="125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1</v>
      </c>
    </row>
    <row r="751" spans="2:10" x14ac:dyDescent="0.25">
      <c r="B751" s="85" t="s">
        <v>15</v>
      </c>
      <c r="C751" s="122" t="s">
        <v>515</v>
      </c>
      <c r="D751" s="38" t="s">
        <v>581</v>
      </c>
      <c r="E751" s="125" t="s">
        <v>12</v>
      </c>
      <c r="F751" s="18"/>
      <c r="G751" s="24"/>
      <c r="H751" s="22"/>
    </row>
    <row r="752" spans="2:10" x14ac:dyDescent="0.25">
      <c r="B752" s="85"/>
      <c r="C752" s="24"/>
      <c r="D752" s="38"/>
      <c r="E752" s="125" t="s">
        <v>13</v>
      </c>
      <c r="F752" s="18"/>
      <c r="G752" s="17"/>
      <c r="H752" s="22"/>
    </row>
    <row r="753" spans="2:10" x14ac:dyDescent="0.25">
      <c r="B753" s="124" t="s">
        <v>22</v>
      </c>
      <c r="C753" s="86" t="s">
        <v>516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5" t="s">
        <v>15</v>
      </c>
      <c r="C754" s="122" t="s">
        <v>517</v>
      </c>
      <c r="D754" s="38"/>
      <c r="E754" s="125" t="s">
        <v>9</v>
      </c>
      <c r="F754" s="18"/>
      <c r="G754" s="24"/>
      <c r="H754" s="19" t="str">
        <f>IF(D756="x",H$2,H$1)</f>
        <v>CORRECTO</v>
      </c>
    </row>
    <row r="755" spans="2:10" x14ac:dyDescent="0.25">
      <c r="B755" s="85" t="s">
        <v>15</v>
      </c>
      <c r="C755" s="122" t="s">
        <v>518</v>
      </c>
      <c r="D755" s="38"/>
      <c r="E755" s="125" t="s">
        <v>10</v>
      </c>
      <c r="F755" s="20" t="str">
        <f>IF(H756=1,IF(H754=H$2,H754,""),"")</f>
        <v>CORRECTO</v>
      </c>
      <c r="G755" s="24"/>
      <c r="H755" s="19">
        <f>IF(E$783="comprobar",COUNTIF(D754:D758,"x"),"")</f>
        <v>1</v>
      </c>
    </row>
    <row r="756" spans="2:10" x14ac:dyDescent="0.25">
      <c r="B756" s="85" t="s">
        <v>15</v>
      </c>
      <c r="C756" s="122" t="s">
        <v>519</v>
      </c>
      <c r="D756" s="38" t="s">
        <v>581</v>
      </c>
      <c r="E756" s="125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1</v>
      </c>
    </row>
    <row r="757" spans="2:10" x14ac:dyDescent="0.25">
      <c r="B757" s="85" t="s">
        <v>15</v>
      </c>
      <c r="C757" s="122" t="s">
        <v>62</v>
      </c>
      <c r="D757" s="38"/>
      <c r="E757" s="125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5" t="s">
        <v>13</v>
      </c>
      <c r="F758" s="18"/>
      <c r="G758" s="17"/>
      <c r="H758" s="22"/>
    </row>
    <row r="759" spans="2:10" x14ac:dyDescent="0.25">
      <c r="B759" s="124" t="s">
        <v>23</v>
      </c>
      <c r="C759" s="86" t="s">
        <v>520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5" t="s">
        <v>15</v>
      </c>
      <c r="C760" s="122" t="s">
        <v>521</v>
      </c>
      <c r="D760" s="38"/>
      <c r="E760" s="125" t="s">
        <v>9</v>
      </c>
      <c r="F760" s="18"/>
      <c r="G760" s="24"/>
      <c r="H760" s="19" t="str">
        <f>IF(D762="x",H$2,H$1)</f>
        <v>CORRECTO</v>
      </c>
    </row>
    <row r="761" spans="2:10" x14ac:dyDescent="0.25">
      <c r="B761" s="85" t="s">
        <v>15</v>
      </c>
      <c r="C761" s="122" t="s">
        <v>522</v>
      </c>
      <c r="D761" s="38"/>
      <c r="E761" s="125" t="s">
        <v>10</v>
      </c>
      <c r="F761" s="20" t="str">
        <f>IF(H762=1,IF(H760=H$2,H760,""),"")</f>
        <v>CORRECTO</v>
      </c>
      <c r="G761" s="24"/>
      <c r="H761" s="19">
        <f>IF(E$783="comprobar",COUNTIF(D760:D764,"x"),"")</f>
        <v>1</v>
      </c>
    </row>
    <row r="762" spans="2:10" x14ac:dyDescent="0.25">
      <c r="B762" s="85" t="s">
        <v>15</v>
      </c>
      <c r="C762" s="122" t="s">
        <v>523</v>
      </c>
      <c r="D762" s="38" t="s">
        <v>581</v>
      </c>
      <c r="E762" s="125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1</v>
      </c>
    </row>
    <row r="763" spans="2:10" x14ac:dyDescent="0.25">
      <c r="B763" s="85" t="s">
        <v>15</v>
      </c>
      <c r="C763" s="122" t="s">
        <v>333</v>
      </c>
      <c r="D763" s="38"/>
      <c r="E763" s="125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5" t="s">
        <v>13</v>
      </c>
      <c r="F764" s="18"/>
      <c r="G764" s="17"/>
      <c r="H764" s="22"/>
    </row>
    <row r="765" spans="2:10" x14ac:dyDescent="0.25">
      <c r="B765" s="124" t="s">
        <v>24</v>
      </c>
      <c r="C765" s="86" t="s">
        <v>524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5" t="s">
        <v>15</v>
      </c>
      <c r="C766" s="122" t="s">
        <v>525</v>
      </c>
      <c r="D766" s="38"/>
      <c r="E766" s="125" t="s">
        <v>9</v>
      </c>
      <c r="F766" s="18"/>
      <c r="G766" s="24"/>
      <c r="H766" s="19" t="str">
        <f>IF(D767="x",H$2,H$1)</f>
        <v>CORRECTO</v>
      </c>
    </row>
    <row r="767" spans="2:10" x14ac:dyDescent="0.25">
      <c r="B767" s="85" t="s">
        <v>15</v>
      </c>
      <c r="C767" s="122" t="s">
        <v>526</v>
      </c>
      <c r="D767" s="38" t="s">
        <v>581</v>
      </c>
      <c r="E767" s="125" t="s">
        <v>10</v>
      </c>
      <c r="F767" s="20" t="str">
        <f>IF(H768=1,IF(H766=H$2,H766,""),"")</f>
        <v>CORRECTO</v>
      </c>
      <c r="G767" s="24"/>
      <c r="H767" s="19">
        <f>IF(E$783="comprobar",COUNTIF(D766:D770,"x"),"")</f>
        <v>1</v>
      </c>
    </row>
    <row r="768" spans="2:10" x14ac:dyDescent="0.25">
      <c r="B768" s="85" t="s">
        <v>15</v>
      </c>
      <c r="C768" s="122" t="s">
        <v>517</v>
      </c>
      <c r="D768" s="38"/>
      <c r="E768" s="125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1</v>
      </c>
    </row>
    <row r="769" spans="2:8" x14ac:dyDescent="0.25">
      <c r="B769" s="85" t="s">
        <v>15</v>
      </c>
      <c r="C769" s="122" t="s">
        <v>518</v>
      </c>
      <c r="D769" s="38"/>
      <c r="E769" s="125" t="s">
        <v>12</v>
      </c>
      <c r="F769" s="18"/>
      <c r="G769" s="24"/>
      <c r="H769" s="22"/>
    </row>
    <row r="770" spans="2:8" x14ac:dyDescent="0.25">
      <c r="B770" s="110"/>
      <c r="C770" s="24"/>
      <c r="D770" s="38"/>
      <c r="E770" s="125" t="s">
        <v>13</v>
      </c>
      <c r="F770" s="18"/>
      <c r="G770" s="17"/>
      <c r="H770" s="22"/>
    </row>
    <row r="771" spans="2:8" x14ac:dyDescent="0.25">
      <c r="B771" s="124" t="s">
        <v>29</v>
      </c>
      <c r="C771" s="86" t="s">
        <v>527</v>
      </c>
      <c r="D771" s="39"/>
      <c r="E771" s="12"/>
      <c r="F771" s="14"/>
      <c r="G771" s="26"/>
      <c r="H771" s="13"/>
    </row>
    <row r="772" spans="2:8" x14ac:dyDescent="0.25">
      <c r="B772" s="85" t="s">
        <v>15</v>
      </c>
      <c r="C772" s="122" t="s">
        <v>528</v>
      </c>
      <c r="D772" s="38"/>
      <c r="E772" s="125" t="s">
        <v>9</v>
      </c>
      <c r="F772" s="18"/>
      <c r="G772" s="24"/>
      <c r="H772" s="19" t="str">
        <f>IF(D773="x",H$2,H$1)</f>
        <v>CORRECTO</v>
      </c>
    </row>
    <row r="773" spans="2:8" x14ac:dyDescent="0.25">
      <c r="B773" s="85" t="s">
        <v>15</v>
      </c>
      <c r="C773" s="122" t="s">
        <v>529</v>
      </c>
      <c r="D773" s="38" t="s">
        <v>581</v>
      </c>
      <c r="E773" s="125" t="s">
        <v>10</v>
      </c>
      <c r="F773" s="20" t="str">
        <f>IF(H774=1,IF(H772=H$2,H772,""),"")</f>
        <v>CORRECTO</v>
      </c>
      <c r="G773" s="24"/>
      <c r="H773" s="19">
        <f>IF(E$783="comprobar",COUNTIF(D772:D776,"x"),"")</f>
        <v>1</v>
      </c>
    </row>
    <row r="774" spans="2:8" x14ac:dyDescent="0.25">
      <c r="B774" s="85" t="s">
        <v>15</v>
      </c>
      <c r="C774" s="122" t="s">
        <v>530</v>
      </c>
      <c r="D774" s="38"/>
      <c r="E774" s="125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1</v>
      </c>
    </row>
    <row r="775" spans="2:8" x14ac:dyDescent="0.25">
      <c r="B775" s="85" t="s">
        <v>15</v>
      </c>
      <c r="C775" s="122" t="s">
        <v>62</v>
      </c>
      <c r="D775" s="38"/>
      <c r="E775" s="125" t="s">
        <v>12</v>
      </c>
      <c r="F775" s="18"/>
      <c r="G775" s="24"/>
      <c r="H775" s="22"/>
    </row>
    <row r="776" spans="2:8" x14ac:dyDescent="0.25">
      <c r="B776" s="110"/>
      <c r="C776" s="24"/>
      <c r="D776" s="38"/>
      <c r="E776" s="125" t="s">
        <v>13</v>
      </c>
      <c r="F776" s="18"/>
      <c r="G776" s="17"/>
      <c r="H776" s="22"/>
    </row>
    <row r="777" spans="2:8" x14ac:dyDescent="0.25">
      <c r="B777" s="124" t="s">
        <v>27</v>
      </c>
      <c r="C777" s="86" t="s">
        <v>531</v>
      </c>
      <c r="D777" s="39"/>
      <c r="E777" s="12"/>
      <c r="F777" s="14"/>
      <c r="G777" s="26"/>
      <c r="H777" s="13"/>
    </row>
    <row r="778" spans="2:8" x14ac:dyDescent="0.25">
      <c r="B778" s="85" t="s">
        <v>15</v>
      </c>
      <c r="C778" s="122" t="s">
        <v>532</v>
      </c>
      <c r="D778" s="38"/>
      <c r="E778" s="125" t="s">
        <v>9</v>
      </c>
      <c r="F778" s="18"/>
      <c r="G778" s="24"/>
      <c r="H778" s="19" t="str">
        <f>IF(D779="x",H$2,H$1)</f>
        <v>CORRECTO</v>
      </c>
    </row>
    <row r="779" spans="2:8" x14ac:dyDescent="0.25">
      <c r="B779" s="85" t="s">
        <v>15</v>
      </c>
      <c r="C779" s="122" t="s">
        <v>490</v>
      </c>
      <c r="D779" s="38" t="s">
        <v>581</v>
      </c>
      <c r="E779" s="125" t="s">
        <v>10</v>
      </c>
      <c r="F779" s="20" t="str">
        <f>IF(H780=1,IF(H778=H$2,H778,""),"")</f>
        <v>CORRECTO</v>
      </c>
      <c r="G779" s="24"/>
      <c r="H779" s="19">
        <f>IF(E$783="comprobar",COUNTIF(D778:D782,"x"),"")</f>
        <v>1</v>
      </c>
    </row>
    <row r="780" spans="2:8" x14ac:dyDescent="0.25">
      <c r="B780" s="85" t="s">
        <v>15</v>
      </c>
      <c r="C780" s="122" t="s">
        <v>533</v>
      </c>
      <c r="D780" s="38"/>
      <c r="E780" s="125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1</v>
      </c>
    </row>
    <row r="781" spans="2:8" x14ac:dyDescent="0.25">
      <c r="B781" s="85" t="s">
        <v>15</v>
      </c>
      <c r="C781" s="122" t="s">
        <v>534</v>
      </c>
      <c r="D781" s="38"/>
      <c r="E781" s="125" t="s">
        <v>12</v>
      </c>
      <c r="F781" s="18"/>
      <c r="G781" s="24"/>
      <c r="H781" s="22"/>
    </row>
    <row r="782" spans="2:8" x14ac:dyDescent="0.25">
      <c r="B782" s="110"/>
      <c r="C782" s="24"/>
      <c r="D782" s="38"/>
      <c r="E782" s="125" t="s">
        <v>13</v>
      </c>
      <c r="F782" s="18"/>
      <c r="G782" s="17"/>
      <c r="H782" s="22"/>
    </row>
    <row r="783" spans="2:8" x14ac:dyDescent="0.25">
      <c r="B783" s="110"/>
      <c r="C783" s="16"/>
      <c r="D783" s="48"/>
      <c r="E783" s="54" t="s">
        <v>580</v>
      </c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2"/>
      <c r="E785" s="132"/>
      <c r="F785" s="29">
        <f>IF(E$783="comprobar",H768+H762+H756+H750+H744+H738+H732+H726+H774+H780,"")</f>
        <v>10</v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6" t="s">
        <v>412</v>
      </c>
      <c r="D787" s="126"/>
      <c r="E787" s="126"/>
      <c r="F787" s="127"/>
    </row>
    <row r="788" spans="2:10" x14ac:dyDescent="0.25">
      <c r="B788" s="121" t="s">
        <v>18</v>
      </c>
      <c r="C788" s="86" t="s">
        <v>535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5" t="s">
        <v>15</v>
      </c>
      <c r="C789" s="122" t="s">
        <v>536</v>
      </c>
      <c r="D789" s="38"/>
      <c r="E789" s="125"/>
      <c r="F789" s="18"/>
      <c r="G789" s="24"/>
      <c r="H789" s="19" t="str">
        <f>IF(D791="x",H$2,H$1)</f>
        <v>CORRECTO</v>
      </c>
    </row>
    <row r="790" spans="2:10" x14ac:dyDescent="0.25">
      <c r="B790" s="85" t="s">
        <v>15</v>
      </c>
      <c r="C790" s="122" t="s">
        <v>537</v>
      </c>
      <c r="D790" s="38"/>
      <c r="E790" s="125" t="s">
        <v>10</v>
      </c>
      <c r="F790" s="20" t="str">
        <f>IF(H791=1,IF(H789=H$2,H789,""),"")</f>
        <v>CORRECTO</v>
      </c>
      <c r="G790" s="24"/>
      <c r="H790" s="19">
        <f>IF(E$588="comprobar",COUNTIF(D789:D793,"x"),"")</f>
        <v>1</v>
      </c>
    </row>
    <row r="791" spans="2:10" x14ac:dyDescent="0.25">
      <c r="B791" s="85" t="s">
        <v>15</v>
      </c>
      <c r="C791" s="122" t="s">
        <v>538</v>
      </c>
      <c r="D791" s="38" t="s">
        <v>581</v>
      </c>
      <c r="E791" s="125" t="s">
        <v>11</v>
      </c>
      <c r="F791" s="21" t="str">
        <f>IF(H791=-0.33,IF(H789=H$1,H789,""),"")</f>
        <v/>
      </c>
      <c r="G791" s="24"/>
      <c r="H791" s="22">
        <f>IF(H790=1,IF(H789=H$2,1,-0.33),0)</f>
        <v>1</v>
      </c>
    </row>
    <row r="792" spans="2:10" x14ac:dyDescent="0.25">
      <c r="B792" s="85" t="s">
        <v>15</v>
      </c>
      <c r="C792" s="122" t="s">
        <v>62</v>
      </c>
      <c r="D792" s="38"/>
      <c r="E792" s="125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5" t="s">
        <v>13</v>
      </c>
      <c r="F793" s="18"/>
      <c r="G793" s="17"/>
      <c r="H793" s="22"/>
    </row>
    <row r="794" spans="2:10" x14ac:dyDescent="0.25">
      <c r="B794" s="124" t="s">
        <v>17</v>
      </c>
      <c r="C794" s="86" t="s">
        <v>539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5" t="s">
        <v>15</v>
      </c>
      <c r="C795" s="122" t="s">
        <v>540</v>
      </c>
      <c r="D795" s="38"/>
      <c r="E795" s="125" t="s">
        <v>9</v>
      </c>
      <c r="F795" s="18"/>
      <c r="G795" s="24"/>
      <c r="H795" s="19" t="str">
        <f>IF(D797="x",H$2,H$1)</f>
        <v>CORRECTO</v>
      </c>
    </row>
    <row r="796" spans="2:10" x14ac:dyDescent="0.25">
      <c r="B796" s="85" t="s">
        <v>15</v>
      </c>
      <c r="C796" s="122" t="s">
        <v>541</v>
      </c>
      <c r="D796" s="38"/>
      <c r="E796" s="125" t="s">
        <v>10</v>
      </c>
      <c r="F796" s="20" t="str">
        <f>IF(H797=1,IF(H795=H$2,H795,""),"")</f>
        <v>CORRECTO</v>
      </c>
      <c r="G796" s="24"/>
      <c r="H796" s="19">
        <f>IF(E$588="comprobar",COUNTIF(D795:D799,"x"),"")</f>
        <v>1</v>
      </c>
    </row>
    <row r="797" spans="2:10" x14ac:dyDescent="0.25">
      <c r="B797" s="85" t="s">
        <v>15</v>
      </c>
      <c r="C797" s="122" t="s">
        <v>542</v>
      </c>
      <c r="D797" s="38" t="s">
        <v>581</v>
      </c>
      <c r="E797" s="125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1</v>
      </c>
    </row>
    <row r="798" spans="2:10" x14ac:dyDescent="0.25">
      <c r="B798" s="85" t="s">
        <v>15</v>
      </c>
      <c r="C798" s="122" t="s">
        <v>543</v>
      </c>
      <c r="D798" s="38"/>
      <c r="E798" s="125" t="s">
        <v>12</v>
      </c>
      <c r="F798" s="18"/>
      <c r="G798" s="24"/>
      <c r="H798" s="22"/>
    </row>
    <row r="799" spans="2:10" x14ac:dyDescent="0.25">
      <c r="B799" s="85"/>
      <c r="C799" s="24"/>
      <c r="D799" s="38"/>
      <c r="E799" s="125" t="s">
        <v>13</v>
      </c>
      <c r="F799" s="18"/>
      <c r="G799" s="17"/>
      <c r="H799" s="22"/>
    </row>
    <row r="800" spans="2:10" x14ac:dyDescent="0.25">
      <c r="B800" s="124" t="s">
        <v>19</v>
      </c>
      <c r="C800" s="86" t="s">
        <v>544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5" t="s">
        <v>15</v>
      </c>
      <c r="C801" s="122" t="s">
        <v>545</v>
      </c>
      <c r="D801" s="38" t="s">
        <v>581</v>
      </c>
      <c r="E801" s="125" t="s">
        <v>9</v>
      </c>
      <c r="F801" s="18"/>
      <c r="G801" s="24"/>
      <c r="H801" s="19" t="str">
        <f>IF(D801="x",H$2,H$1)</f>
        <v>CORRECTO</v>
      </c>
    </row>
    <row r="802" spans="2:10" x14ac:dyDescent="0.25">
      <c r="B802" s="85" t="s">
        <v>15</v>
      </c>
      <c r="C802" s="122" t="s">
        <v>546</v>
      </c>
      <c r="D802" s="38"/>
      <c r="E802" s="125" t="s">
        <v>10</v>
      </c>
      <c r="F802" s="20" t="str">
        <f>IF(H803=1,IF(H801=H$2,H801,""),"")</f>
        <v>CORRECTO</v>
      </c>
      <c r="G802" s="24"/>
      <c r="H802" s="19">
        <f>IF(E$588="comprobar",COUNTIF(D801:D805,"x"),"")</f>
        <v>1</v>
      </c>
    </row>
    <row r="803" spans="2:10" x14ac:dyDescent="0.25">
      <c r="B803" s="85" t="s">
        <v>15</v>
      </c>
      <c r="C803" s="122" t="s">
        <v>547</v>
      </c>
      <c r="D803" s="38"/>
      <c r="E803" s="125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1</v>
      </c>
    </row>
    <row r="804" spans="2:10" x14ac:dyDescent="0.25">
      <c r="B804" s="85" t="s">
        <v>15</v>
      </c>
      <c r="C804" s="122" t="s">
        <v>97</v>
      </c>
      <c r="D804" s="38"/>
      <c r="E804" s="125" t="s">
        <v>12</v>
      </c>
      <c r="F804" s="18"/>
      <c r="G804" s="24"/>
      <c r="H804" s="22"/>
    </row>
    <row r="805" spans="2:10" x14ac:dyDescent="0.25">
      <c r="B805" s="85"/>
      <c r="C805" s="24"/>
      <c r="D805" s="38"/>
      <c r="E805" s="125" t="s">
        <v>13</v>
      </c>
      <c r="F805" s="18"/>
      <c r="G805" s="17"/>
      <c r="H805" s="22"/>
    </row>
    <row r="806" spans="2:10" x14ac:dyDescent="0.25">
      <c r="B806" s="124" t="s">
        <v>20</v>
      </c>
      <c r="C806" s="86" t="s">
        <v>548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5" t="s">
        <v>15</v>
      </c>
      <c r="C807" s="122" t="s">
        <v>549</v>
      </c>
      <c r="D807" s="38"/>
      <c r="E807" s="125" t="s">
        <v>9</v>
      </c>
      <c r="F807" s="18"/>
      <c r="G807" s="24"/>
      <c r="H807" s="19" t="str">
        <f>IF(D810="x",H$2,H$1)</f>
        <v>CORRECTO</v>
      </c>
    </row>
    <row r="808" spans="2:10" x14ac:dyDescent="0.25">
      <c r="B808" s="85" t="s">
        <v>15</v>
      </c>
      <c r="C808" s="122" t="s">
        <v>550</v>
      </c>
      <c r="D808" s="38"/>
      <c r="E808" s="125" t="s">
        <v>10</v>
      </c>
      <c r="F808" s="20" t="str">
        <f>IF(H809=1,IF(H807=H$2,H807,""),"")</f>
        <v>CORRECTO</v>
      </c>
      <c r="G808" s="24"/>
      <c r="H808" s="19">
        <f>IF(E$588="comprobar",COUNTIF(D807:D811,"x"),"")</f>
        <v>1</v>
      </c>
    </row>
    <row r="809" spans="2:10" x14ac:dyDescent="0.25">
      <c r="B809" s="85" t="s">
        <v>15</v>
      </c>
      <c r="C809" s="122" t="s">
        <v>551</v>
      </c>
      <c r="D809" s="38"/>
      <c r="E809" s="125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1</v>
      </c>
    </row>
    <row r="810" spans="2:10" x14ac:dyDescent="0.25">
      <c r="B810" s="85" t="s">
        <v>15</v>
      </c>
      <c r="C810" s="122" t="s">
        <v>552</v>
      </c>
      <c r="D810" s="38" t="s">
        <v>581</v>
      </c>
      <c r="E810" s="125" t="s">
        <v>12</v>
      </c>
      <c r="F810" s="18"/>
      <c r="G810" s="24"/>
      <c r="H810" s="22"/>
    </row>
    <row r="811" spans="2:10" x14ac:dyDescent="0.25">
      <c r="B811" s="85"/>
      <c r="C811" s="24"/>
      <c r="D811" s="38"/>
      <c r="E811" s="125" t="s">
        <v>13</v>
      </c>
      <c r="F811" s="18"/>
      <c r="G811" s="17"/>
      <c r="H811" s="22"/>
    </row>
    <row r="812" spans="2:10" x14ac:dyDescent="0.25">
      <c r="B812" s="124" t="s">
        <v>21</v>
      </c>
      <c r="C812" s="86" t="s">
        <v>553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5" t="s">
        <v>15</v>
      </c>
      <c r="C813" s="122" t="s">
        <v>554</v>
      </c>
      <c r="D813" s="38"/>
      <c r="E813" s="125" t="s">
        <v>9</v>
      </c>
      <c r="F813" s="18"/>
      <c r="G813" s="24"/>
      <c r="H813" s="19" t="str">
        <f>IF(D815="x",H$2,H$1)</f>
        <v>CORRECTO</v>
      </c>
    </row>
    <row r="814" spans="2:10" x14ac:dyDescent="0.25">
      <c r="B814" s="85" t="s">
        <v>15</v>
      </c>
      <c r="C814" s="122" t="s">
        <v>555</v>
      </c>
      <c r="D814" s="38"/>
      <c r="E814" s="125" t="s">
        <v>10</v>
      </c>
      <c r="F814" s="20" t="str">
        <f>IF(H815=1,IF(H813=H$2,H813,""),"")</f>
        <v>CORRECTO</v>
      </c>
      <c r="G814" s="24"/>
      <c r="H814" s="19">
        <f>IF(E$588="comprobar",COUNTIF(D813:D817,"x"),"")</f>
        <v>1</v>
      </c>
    </row>
    <row r="815" spans="2:10" x14ac:dyDescent="0.25">
      <c r="B815" s="85" t="s">
        <v>15</v>
      </c>
      <c r="C815" s="122" t="s">
        <v>556</v>
      </c>
      <c r="D815" s="38" t="s">
        <v>581</v>
      </c>
      <c r="E815" s="125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1</v>
      </c>
    </row>
    <row r="816" spans="2:10" x14ac:dyDescent="0.25">
      <c r="B816" s="85" t="s">
        <v>15</v>
      </c>
      <c r="C816" s="122" t="s">
        <v>515</v>
      </c>
      <c r="D816" s="38"/>
      <c r="E816" s="125" t="s">
        <v>12</v>
      </c>
      <c r="F816" s="18"/>
      <c r="G816" s="24"/>
      <c r="H816" s="22"/>
    </row>
    <row r="817" spans="2:10" x14ac:dyDescent="0.25">
      <c r="B817" s="85"/>
      <c r="C817" s="24"/>
      <c r="D817" s="38"/>
      <c r="E817" s="125" t="s">
        <v>13</v>
      </c>
      <c r="F817" s="18"/>
      <c r="G817" s="17"/>
      <c r="H817" s="22"/>
    </row>
    <row r="818" spans="2:10" x14ac:dyDescent="0.25">
      <c r="B818" s="124" t="s">
        <v>22</v>
      </c>
      <c r="C818" s="86" t="s">
        <v>557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5" t="s">
        <v>15</v>
      </c>
      <c r="C819" s="122" t="s">
        <v>558</v>
      </c>
      <c r="D819" s="38"/>
      <c r="E819" s="125" t="s">
        <v>9</v>
      </c>
      <c r="F819" s="18"/>
      <c r="G819" s="24"/>
      <c r="H819" s="19" t="str">
        <f>IF(D820="x",H$2,H$1)</f>
        <v>CORRECTO</v>
      </c>
    </row>
    <row r="820" spans="2:10" x14ac:dyDescent="0.25">
      <c r="B820" s="85" t="s">
        <v>15</v>
      </c>
      <c r="C820" s="122" t="s">
        <v>559</v>
      </c>
      <c r="D820" s="38" t="s">
        <v>581</v>
      </c>
      <c r="E820" s="125" t="s">
        <v>10</v>
      </c>
      <c r="F820" s="20" t="str">
        <f>IF(H821=1,IF(H819=H$2,H819,""),"")</f>
        <v>CORRECTO</v>
      </c>
      <c r="G820" s="24"/>
      <c r="H820" s="19">
        <f>IF(E$588="comprobar",COUNTIF(D819:D823,"x"),"")</f>
        <v>1</v>
      </c>
    </row>
    <row r="821" spans="2:10" x14ac:dyDescent="0.25">
      <c r="B821" s="85" t="s">
        <v>15</v>
      </c>
      <c r="C821" s="122" t="s">
        <v>560</v>
      </c>
      <c r="D821" s="38"/>
      <c r="E821" s="125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1</v>
      </c>
    </row>
    <row r="822" spans="2:10" x14ac:dyDescent="0.25">
      <c r="B822" s="85" t="s">
        <v>15</v>
      </c>
      <c r="C822" s="122" t="s">
        <v>62</v>
      </c>
      <c r="D822" s="38"/>
      <c r="E822" s="125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5" t="s">
        <v>13</v>
      </c>
      <c r="F823" s="18"/>
      <c r="G823" s="17"/>
      <c r="H823" s="22"/>
    </row>
    <row r="824" spans="2:10" x14ac:dyDescent="0.25">
      <c r="B824" s="124" t="s">
        <v>23</v>
      </c>
      <c r="C824" s="86" t="s">
        <v>561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5" t="s">
        <v>15</v>
      </c>
      <c r="C825" s="122" t="s">
        <v>562</v>
      </c>
      <c r="D825" s="38" t="s">
        <v>581</v>
      </c>
      <c r="E825" s="125" t="s">
        <v>9</v>
      </c>
      <c r="F825" s="18"/>
      <c r="G825" s="24"/>
      <c r="H825" s="19" t="str">
        <f>IF(D825="x",H$2,H$1)</f>
        <v>CORRECTO</v>
      </c>
    </row>
    <row r="826" spans="2:10" x14ac:dyDescent="0.25">
      <c r="B826" s="85" t="s">
        <v>15</v>
      </c>
      <c r="C826" s="122" t="s">
        <v>563</v>
      </c>
      <c r="D826" s="38"/>
      <c r="E826" s="125" t="s">
        <v>10</v>
      </c>
      <c r="F826" s="20" t="str">
        <f>IF(H827=1,IF(H825=H$2,H825,""),"")</f>
        <v>CORRECTO</v>
      </c>
      <c r="G826" s="24"/>
      <c r="H826" s="19">
        <f>IF(E$588="comprobar",COUNTIF(D825:D829,"x"),"")</f>
        <v>1</v>
      </c>
    </row>
    <row r="827" spans="2:10" x14ac:dyDescent="0.25">
      <c r="B827" s="85" t="s">
        <v>15</v>
      </c>
      <c r="C827" s="122" t="s">
        <v>564</v>
      </c>
      <c r="D827" s="38"/>
      <c r="E827" s="125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1</v>
      </c>
    </row>
    <row r="828" spans="2:10" x14ac:dyDescent="0.25">
      <c r="B828" s="85" t="s">
        <v>15</v>
      </c>
      <c r="C828" s="122" t="s">
        <v>97</v>
      </c>
      <c r="D828" s="38"/>
      <c r="E828" s="125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5" t="s">
        <v>13</v>
      </c>
      <c r="F829" s="18"/>
      <c r="G829" s="17"/>
      <c r="H829" s="22"/>
    </row>
    <row r="830" spans="2:10" x14ac:dyDescent="0.25">
      <c r="B830" s="124" t="s">
        <v>24</v>
      </c>
      <c r="C830" s="86" t="s">
        <v>565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5" t="s">
        <v>15</v>
      </c>
      <c r="C831" s="122" t="s">
        <v>566</v>
      </c>
      <c r="D831" s="38"/>
      <c r="E831" s="125" t="s">
        <v>9</v>
      </c>
      <c r="F831" s="18"/>
      <c r="G831" s="24"/>
      <c r="H831" s="19" t="str">
        <f>IF(D834="x",H$2,H$1)</f>
        <v>CORRECTO</v>
      </c>
    </row>
    <row r="832" spans="2:10" x14ac:dyDescent="0.25">
      <c r="B832" s="85" t="s">
        <v>15</v>
      </c>
      <c r="C832" s="122" t="s">
        <v>567</v>
      </c>
      <c r="D832" s="38"/>
      <c r="E832" s="125" t="s">
        <v>10</v>
      </c>
      <c r="F832" s="20" t="str">
        <f>IF(H833=1,IF(H831=H$2,H831,""),"")</f>
        <v>CORRECTO</v>
      </c>
      <c r="G832" s="24"/>
      <c r="H832" s="19">
        <f>IF(E$588="comprobar",COUNTIF(D831:D835,"x"),"")</f>
        <v>1</v>
      </c>
    </row>
    <row r="833" spans="2:8" x14ac:dyDescent="0.25">
      <c r="B833" s="85" t="s">
        <v>15</v>
      </c>
      <c r="C833" s="122" t="s">
        <v>568</v>
      </c>
      <c r="D833" s="38"/>
      <c r="E833" s="125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1</v>
      </c>
    </row>
    <row r="834" spans="2:8" x14ac:dyDescent="0.25">
      <c r="B834" s="85" t="s">
        <v>15</v>
      </c>
      <c r="C834" s="122" t="s">
        <v>464</v>
      </c>
      <c r="D834" s="38" t="s">
        <v>581</v>
      </c>
      <c r="E834" s="125" t="s">
        <v>12</v>
      </c>
      <c r="F834" s="18"/>
      <c r="G834" s="24"/>
      <c r="H834" s="22"/>
    </row>
    <row r="835" spans="2:8" x14ac:dyDescent="0.25">
      <c r="B835" s="110"/>
      <c r="C835" s="24"/>
      <c r="D835" s="38"/>
      <c r="E835" s="125" t="s">
        <v>13</v>
      </c>
      <c r="F835" s="18"/>
      <c r="G835" s="17"/>
      <c r="H835" s="22"/>
    </row>
    <row r="836" spans="2:8" x14ac:dyDescent="0.25">
      <c r="B836" s="124" t="s">
        <v>29</v>
      </c>
      <c r="C836" s="86" t="s">
        <v>569</v>
      </c>
      <c r="D836" s="39"/>
      <c r="E836" s="12"/>
      <c r="F836" s="14"/>
      <c r="G836" s="26"/>
      <c r="H836" s="13"/>
    </row>
    <row r="837" spans="2:8" x14ac:dyDescent="0.25">
      <c r="B837" s="85" t="s">
        <v>15</v>
      </c>
      <c r="C837" s="122" t="s">
        <v>570</v>
      </c>
      <c r="D837" s="38" t="s">
        <v>581</v>
      </c>
      <c r="E837" s="125" t="s">
        <v>9</v>
      </c>
      <c r="F837" s="18"/>
      <c r="G837" s="24"/>
      <c r="H837" s="19" t="str">
        <f>IF(D837="x",H$2,H$1)</f>
        <v>CORRECTO</v>
      </c>
    </row>
    <row r="838" spans="2:8" x14ac:dyDescent="0.25">
      <c r="B838" s="85" t="s">
        <v>15</v>
      </c>
      <c r="C838" s="122" t="s">
        <v>571</v>
      </c>
      <c r="D838" s="38"/>
      <c r="E838" s="125" t="s">
        <v>10</v>
      </c>
      <c r="F838" s="20" t="str">
        <f>IF(H839=1,IF(H837=H$2,H837,""),"")</f>
        <v>CORRECTO</v>
      </c>
      <c r="G838" s="24"/>
      <c r="H838" s="19">
        <f>IF(E$588="comprobar",COUNTIF(D837:D841,"x"),"")</f>
        <v>1</v>
      </c>
    </row>
    <row r="839" spans="2:8" x14ac:dyDescent="0.25">
      <c r="B839" s="85" t="s">
        <v>15</v>
      </c>
      <c r="C839" s="122" t="s">
        <v>572</v>
      </c>
      <c r="D839" s="38"/>
      <c r="E839" s="125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1</v>
      </c>
    </row>
    <row r="840" spans="2:8" x14ac:dyDescent="0.25">
      <c r="B840" s="85" t="s">
        <v>15</v>
      </c>
      <c r="C840" s="122" t="s">
        <v>573</v>
      </c>
      <c r="D840" s="38"/>
      <c r="E840" s="125" t="s">
        <v>12</v>
      </c>
      <c r="F840" s="18"/>
      <c r="G840" s="24"/>
      <c r="H840" s="22"/>
    </row>
    <row r="841" spans="2:8" x14ac:dyDescent="0.25">
      <c r="B841" s="110"/>
      <c r="C841" s="24"/>
      <c r="D841" s="38"/>
      <c r="E841" s="125" t="s">
        <v>13</v>
      </c>
      <c r="F841" s="18"/>
      <c r="G841" s="17"/>
      <c r="H841" s="22"/>
    </row>
    <row r="842" spans="2:8" x14ac:dyDescent="0.25">
      <c r="B842" s="124" t="s">
        <v>27</v>
      </c>
      <c r="C842" s="86" t="s">
        <v>574</v>
      </c>
      <c r="D842" s="39"/>
      <c r="E842" s="12"/>
      <c r="F842" s="14"/>
      <c r="G842" s="26"/>
      <c r="H842" s="13"/>
    </row>
    <row r="843" spans="2:8" x14ac:dyDescent="0.25">
      <c r="B843" s="85" t="s">
        <v>15</v>
      </c>
      <c r="C843" s="122" t="s">
        <v>575</v>
      </c>
      <c r="D843" s="38"/>
      <c r="E843" s="125" t="s">
        <v>9</v>
      </c>
      <c r="F843" s="18"/>
      <c r="G843" s="24"/>
      <c r="H843" s="19" t="str">
        <f>IF(D846="x",H$2,H$1)</f>
        <v>CORRECTO</v>
      </c>
    </row>
    <row r="844" spans="2:8" x14ac:dyDescent="0.25">
      <c r="B844" s="85" t="s">
        <v>15</v>
      </c>
      <c r="C844" s="122" t="s">
        <v>576</v>
      </c>
      <c r="D844" s="38"/>
      <c r="E844" s="125" t="s">
        <v>10</v>
      </c>
      <c r="F844" s="20" t="str">
        <f>IF(H845=1,IF(H843=H$2,H843,""),"")</f>
        <v>CORRECTO</v>
      </c>
      <c r="G844" s="24"/>
      <c r="H844" s="19">
        <f>IF(E$588="comprobar",COUNTIF(D843:D847,"x"),"")</f>
        <v>1</v>
      </c>
    </row>
    <row r="845" spans="2:8" x14ac:dyDescent="0.25">
      <c r="B845" s="85" t="s">
        <v>15</v>
      </c>
      <c r="C845" s="122" t="s">
        <v>577</v>
      </c>
      <c r="D845" s="38"/>
      <c r="E845" s="125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1</v>
      </c>
    </row>
    <row r="846" spans="2:8" x14ac:dyDescent="0.25">
      <c r="B846" s="85" t="s">
        <v>15</v>
      </c>
      <c r="C846" s="122" t="s">
        <v>97</v>
      </c>
      <c r="D846" s="38" t="s">
        <v>581</v>
      </c>
      <c r="E846" s="125" t="s">
        <v>12</v>
      </c>
      <c r="F846" s="18"/>
      <c r="G846" s="24"/>
      <c r="H846" s="22"/>
    </row>
    <row r="847" spans="2:8" x14ac:dyDescent="0.25">
      <c r="B847" s="110"/>
      <c r="C847" s="24"/>
      <c r="D847" s="38"/>
      <c r="E847" s="125" t="s">
        <v>13</v>
      </c>
      <c r="F847" s="18"/>
      <c r="G847" s="17"/>
      <c r="H847" s="22"/>
    </row>
    <row r="848" spans="2:8" x14ac:dyDescent="0.25">
      <c r="B848" s="110"/>
      <c r="C848" s="16"/>
      <c r="D848" s="48"/>
      <c r="E848" s="54" t="s">
        <v>580</v>
      </c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2"/>
      <c r="E850" s="132"/>
      <c r="F850" s="29">
        <f>IF(E848="comprobar",H833+H827+H821+H815+H809+H803+H797+H791+H839+H845,"")</f>
        <v>10</v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2018-05-18T17:37:04Z</dcterms:modified>
  <cp:category/>
  <cp:contentStatus/>
</cp:coreProperties>
</file>