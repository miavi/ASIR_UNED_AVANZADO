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BC06A728-AD53-4B75-ADC5-7102F20A48AD}" xr6:coauthVersionLast="31" xr6:coauthVersionMax="31" xr10:uidLastSave="{00000000-0000-0000-0000-000000000000}"/>
  <bookViews>
    <workbookView xWindow="0" yWindow="0" windowWidth="28800" windowHeight="10110" tabRatio="500" xr2:uid="{00000000-000D-0000-FFFF-FFFF00000000}"/>
  </bookViews>
  <sheets>
    <sheet name="redes" sheetId="6" r:id="rId1"/>
  </sheets>
  <definedNames>
    <definedName name="_xlnm.Print_Area" localSheetId="0">redes!$B$1:$H$70</definedName>
    <definedName name="OLE_LINK2" localSheetId="0">redes!$B$72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90" i="6" l="1"/>
  <c r="H796" i="6"/>
  <c r="H802" i="6"/>
  <c r="H808" i="6"/>
  <c r="H814" i="6"/>
  <c r="H820" i="6"/>
  <c r="H826" i="6"/>
  <c r="H832" i="6"/>
  <c r="H838" i="6"/>
  <c r="H844" i="6"/>
  <c r="H843" i="6"/>
  <c r="H845" i="6"/>
  <c r="H837" i="6"/>
  <c r="H839" i="6"/>
  <c r="H831" i="6"/>
  <c r="H833" i="6"/>
  <c r="H827" i="6"/>
  <c r="H819" i="6"/>
  <c r="H821" i="6"/>
  <c r="H813" i="6"/>
  <c r="H815" i="6"/>
  <c r="H807" i="6"/>
  <c r="H809" i="6"/>
  <c r="H801" i="6"/>
  <c r="H803" i="6"/>
  <c r="H795" i="6"/>
  <c r="H797" i="6"/>
  <c r="H789" i="6"/>
  <c r="H791" i="6"/>
  <c r="F850" i="6"/>
  <c r="H85" i="6"/>
  <c r="H825" i="6"/>
  <c r="H778" i="6"/>
  <c r="H772" i="6"/>
  <c r="H766" i="6"/>
  <c r="H754" i="6"/>
  <c r="H748" i="6"/>
  <c r="H736" i="6"/>
  <c r="H730" i="6"/>
  <c r="H724" i="6"/>
  <c r="H779" i="6"/>
  <c r="H773" i="6"/>
  <c r="H767" i="6"/>
  <c r="H761" i="6"/>
  <c r="H755" i="6"/>
  <c r="H749" i="6"/>
  <c r="H743" i="6"/>
  <c r="H737" i="6"/>
  <c r="H731" i="6"/>
  <c r="H725" i="6"/>
  <c r="H768" i="6"/>
  <c r="H760" i="6"/>
  <c r="H762" i="6"/>
  <c r="H756" i="6"/>
  <c r="H750" i="6"/>
  <c r="H742" i="6"/>
  <c r="H744" i="6"/>
  <c r="H738" i="6"/>
  <c r="H732" i="6"/>
  <c r="H726" i="6"/>
  <c r="H774" i="6"/>
  <c r="H780" i="6"/>
  <c r="F785" i="6"/>
  <c r="H713" i="6"/>
  <c r="H701" i="6"/>
  <c r="H695" i="6"/>
  <c r="H689" i="6"/>
  <c r="H683" i="6"/>
  <c r="H677" i="6"/>
  <c r="H671" i="6"/>
  <c r="H665" i="6"/>
  <c r="H659" i="6"/>
  <c r="H714" i="6"/>
  <c r="H708" i="6"/>
  <c r="H702" i="6"/>
  <c r="H696" i="6"/>
  <c r="H690" i="6"/>
  <c r="H684" i="6"/>
  <c r="H678" i="6"/>
  <c r="H672" i="6"/>
  <c r="H666" i="6"/>
  <c r="H660" i="6"/>
  <c r="H703" i="6"/>
  <c r="H697" i="6"/>
  <c r="H691" i="6"/>
  <c r="H685" i="6"/>
  <c r="H679" i="6"/>
  <c r="H673" i="6"/>
  <c r="H667" i="6"/>
  <c r="H661" i="6"/>
  <c r="H707" i="6"/>
  <c r="H709" i="6"/>
  <c r="H715" i="6"/>
  <c r="F720" i="6"/>
  <c r="H648" i="6"/>
  <c r="H642" i="6"/>
  <c r="H630" i="6"/>
  <c r="H618" i="6"/>
  <c r="H612" i="6"/>
  <c r="H606" i="6"/>
  <c r="H600" i="6"/>
  <c r="H594" i="6"/>
  <c r="H649" i="6"/>
  <c r="H643" i="6"/>
  <c r="H637" i="6"/>
  <c r="H631" i="6"/>
  <c r="H625" i="6"/>
  <c r="H619" i="6"/>
  <c r="H613" i="6"/>
  <c r="H607" i="6"/>
  <c r="H601" i="6"/>
  <c r="H595" i="6"/>
  <c r="H644" i="6"/>
  <c r="H636" i="6"/>
  <c r="H638" i="6"/>
  <c r="H632" i="6"/>
  <c r="H624" i="6"/>
  <c r="H626" i="6"/>
  <c r="H620" i="6"/>
  <c r="H614" i="6"/>
  <c r="H608" i="6"/>
  <c r="H602" i="6"/>
  <c r="H596" i="6"/>
  <c r="H650" i="6"/>
  <c r="F655" i="6"/>
  <c r="H571" i="6"/>
  <c r="H565" i="6"/>
  <c r="H559" i="6"/>
  <c r="H553" i="6"/>
  <c r="H547" i="6"/>
  <c r="H541" i="6"/>
  <c r="H529" i="6"/>
  <c r="H518" i="6"/>
  <c r="H512" i="6"/>
  <c r="H506" i="6"/>
  <c r="H494" i="6"/>
  <c r="H488" i="6"/>
  <c r="H476" i="6"/>
  <c r="H470" i="6"/>
  <c r="H464" i="6"/>
  <c r="H453" i="6"/>
  <c r="H447" i="6"/>
  <c r="H441" i="6"/>
  <c r="H411" i="6"/>
  <c r="H399" i="6"/>
  <c r="H405" i="6"/>
  <c r="G393" i="6"/>
  <c r="H380" i="6"/>
  <c r="H368" i="6"/>
  <c r="H362" i="6"/>
  <c r="H356" i="6"/>
  <c r="H350" i="6"/>
  <c r="H332" i="6"/>
  <c r="H326" i="6"/>
  <c r="H320" i="6"/>
  <c r="H314" i="6"/>
  <c r="H296" i="6"/>
  <c r="H290" i="6"/>
  <c r="H327" i="6"/>
  <c r="H328" i="6"/>
  <c r="H321" i="6"/>
  <c r="H322" i="6"/>
  <c r="H315" i="6"/>
  <c r="H316" i="6"/>
  <c r="H309" i="6"/>
  <c r="H308" i="6"/>
  <c r="H310" i="6"/>
  <c r="H303" i="6"/>
  <c r="H302" i="6"/>
  <c r="H304" i="6"/>
  <c r="H297" i="6"/>
  <c r="H298" i="6"/>
  <c r="H291" i="6"/>
  <c r="H292" i="6"/>
  <c r="H285" i="6"/>
  <c r="H284" i="6"/>
  <c r="H286" i="6"/>
  <c r="H279" i="6"/>
  <c r="H278" i="6"/>
  <c r="H280" i="6"/>
  <c r="H272" i="6"/>
  <c r="H271" i="6"/>
  <c r="H273" i="6"/>
  <c r="H333" i="6"/>
  <c r="H334" i="6"/>
  <c r="H339" i="6"/>
  <c r="H338" i="6"/>
  <c r="H340" i="6"/>
  <c r="H345" i="6"/>
  <c r="H344" i="6"/>
  <c r="H346" i="6"/>
  <c r="H351" i="6"/>
  <c r="H352" i="6"/>
  <c r="H357" i="6"/>
  <c r="H358" i="6"/>
  <c r="H363" i="6"/>
  <c r="H364" i="6"/>
  <c r="H369" i="6"/>
  <c r="H370" i="6"/>
  <c r="H375" i="6"/>
  <c r="H374" i="6"/>
  <c r="H376" i="6"/>
  <c r="H381" i="6"/>
  <c r="H382" i="6"/>
  <c r="H387" i="6"/>
  <c r="H386" i="6"/>
  <c r="H388" i="6"/>
  <c r="F393" i="6"/>
  <c r="H245" i="6"/>
  <c r="H239" i="6"/>
  <c r="H233" i="6"/>
  <c r="H227" i="6"/>
  <c r="H221" i="6"/>
  <c r="H215" i="6"/>
  <c r="H192" i="6"/>
  <c r="H180" i="6"/>
  <c r="H162" i="6"/>
  <c r="H156" i="6"/>
  <c r="H138" i="6"/>
  <c r="H127" i="6"/>
  <c r="H121" i="6"/>
  <c r="H109" i="6"/>
  <c r="H103" i="6"/>
  <c r="H97" i="6"/>
  <c r="H91" i="6"/>
  <c r="H73" i="6"/>
  <c r="H56" i="6"/>
  <c r="H50" i="6"/>
  <c r="H44" i="6"/>
  <c r="H38" i="6"/>
  <c r="H32" i="6"/>
  <c r="H26" i="6"/>
  <c r="H14" i="6"/>
  <c r="H8" i="6"/>
  <c r="G850" i="6"/>
  <c r="F851" i="6"/>
  <c r="F845" i="6"/>
  <c r="F844" i="6"/>
  <c r="F839" i="6"/>
  <c r="F838" i="6"/>
  <c r="F833" i="6"/>
  <c r="F832" i="6"/>
  <c r="F827" i="6"/>
  <c r="F826" i="6"/>
  <c r="F821" i="6"/>
  <c r="F820" i="6"/>
  <c r="F815" i="6"/>
  <c r="F814" i="6"/>
  <c r="F809" i="6"/>
  <c r="F808" i="6"/>
  <c r="F803" i="6"/>
  <c r="F802" i="6"/>
  <c r="F797" i="6"/>
  <c r="F796" i="6"/>
  <c r="F791" i="6"/>
  <c r="F790" i="6"/>
  <c r="G785" i="6"/>
  <c r="F786" i="6"/>
  <c r="F780" i="6"/>
  <c r="F779" i="6"/>
  <c r="F774" i="6"/>
  <c r="F773" i="6"/>
  <c r="F768" i="6"/>
  <c r="F767" i="6"/>
  <c r="F762" i="6"/>
  <c r="F761" i="6"/>
  <c r="F756" i="6"/>
  <c r="F755" i="6"/>
  <c r="F750" i="6"/>
  <c r="F749" i="6"/>
  <c r="F744" i="6"/>
  <c r="F743" i="6"/>
  <c r="F738" i="6"/>
  <c r="F737" i="6"/>
  <c r="F732" i="6"/>
  <c r="F731" i="6"/>
  <c r="F726" i="6"/>
  <c r="F725" i="6"/>
  <c r="G720" i="6"/>
  <c r="F721" i="6"/>
  <c r="F715" i="6"/>
  <c r="F714" i="6"/>
  <c r="F709" i="6"/>
  <c r="F708" i="6"/>
  <c r="F703" i="6"/>
  <c r="F702" i="6"/>
  <c r="F697" i="6"/>
  <c r="F696" i="6"/>
  <c r="F691" i="6"/>
  <c r="F690" i="6"/>
  <c r="F685" i="6"/>
  <c r="F684" i="6"/>
  <c r="F679" i="6"/>
  <c r="F678" i="6"/>
  <c r="F673" i="6"/>
  <c r="F672" i="6"/>
  <c r="F667" i="6"/>
  <c r="F666" i="6"/>
  <c r="F661" i="6"/>
  <c r="F660" i="6"/>
  <c r="G655" i="6"/>
  <c r="F656" i="6"/>
  <c r="F650" i="6"/>
  <c r="F649" i="6"/>
  <c r="F644" i="6"/>
  <c r="F643" i="6"/>
  <c r="F638" i="6"/>
  <c r="F637" i="6"/>
  <c r="F632" i="6"/>
  <c r="F631" i="6"/>
  <c r="F626" i="6"/>
  <c r="F625" i="6"/>
  <c r="F620" i="6"/>
  <c r="F619" i="6"/>
  <c r="F614" i="6"/>
  <c r="F613" i="6"/>
  <c r="F608" i="6"/>
  <c r="F607" i="6"/>
  <c r="F602" i="6"/>
  <c r="F601" i="6"/>
  <c r="F596" i="6"/>
  <c r="F595" i="6"/>
  <c r="F388" i="6"/>
  <c r="F387" i="6"/>
  <c r="F382" i="6"/>
  <c r="F381" i="6"/>
  <c r="F376" i="6"/>
  <c r="F375" i="6"/>
  <c r="F370" i="6"/>
  <c r="F369" i="6"/>
  <c r="F364" i="6"/>
  <c r="F363" i="6"/>
  <c r="F358" i="6"/>
  <c r="F357" i="6"/>
  <c r="F352" i="6"/>
  <c r="F351" i="6"/>
  <c r="F346" i="6"/>
  <c r="F345" i="6"/>
  <c r="F340" i="6"/>
  <c r="F339" i="6"/>
  <c r="F334" i="6"/>
  <c r="F333" i="6"/>
  <c r="H465" i="6"/>
  <c r="H466" i="6"/>
  <c r="H471" i="6"/>
  <c r="H472" i="6"/>
  <c r="H477" i="6"/>
  <c r="H478" i="6"/>
  <c r="H483" i="6"/>
  <c r="H482" i="6"/>
  <c r="H484" i="6"/>
  <c r="H489" i="6"/>
  <c r="H490" i="6"/>
  <c r="H495" i="6"/>
  <c r="H496" i="6"/>
  <c r="H501" i="6"/>
  <c r="H500" i="6"/>
  <c r="H502" i="6"/>
  <c r="H507" i="6"/>
  <c r="H508" i="6"/>
  <c r="H513" i="6"/>
  <c r="H514" i="6"/>
  <c r="H519" i="6"/>
  <c r="H520" i="6"/>
  <c r="F525" i="6"/>
  <c r="H454" i="6"/>
  <c r="H455" i="6"/>
  <c r="H448" i="6"/>
  <c r="H449" i="6"/>
  <c r="H442" i="6"/>
  <c r="H443" i="6"/>
  <c r="H436" i="6"/>
  <c r="H435" i="6"/>
  <c r="H437" i="6"/>
  <c r="H430" i="6"/>
  <c r="H429" i="6"/>
  <c r="H431" i="6"/>
  <c r="H424" i="6"/>
  <c r="H423" i="6"/>
  <c r="H425" i="6"/>
  <c r="H418" i="6"/>
  <c r="H417" i="6"/>
  <c r="H419" i="6"/>
  <c r="H412" i="6"/>
  <c r="H413" i="6"/>
  <c r="H406" i="6"/>
  <c r="H407" i="6"/>
  <c r="H400" i="6"/>
  <c r="H401" i="6"/>
  <c r="F460" i="6"/>
  <c r="H572" i="6"/>
  <c r="H573" i="6"/>
  <c r="H566" i="6"/>
  <c r="H567" i="6"/>
  <c r="H560" i="6"/>
  <c r="H561" i="6"/>
  <c r="H554" i="6"/>
  <c r="H555" i="6"/>
  <c r="H548" i="6"/>
  <c r="H549" i="6"/>
  <c r="H542" i="6"/>
  <c r="H543" i="6"/>
  <c r="H536" i="6"/>
  <c r="H535" i="6"/>
  <c r="H537" i="6"/>
  <c r="H530" i="6"/>
  <c r="H531" i="6"/>
  <c r="H578" i="6"/>
  <c r="H577" i="6"/>
  <c r="H579" i="6"/>
  <c r="H584" i="6"/>
  <c r="H583" i="6"/>
  <c r="H585" i="6"/>
  <c r="F590" i="6"/>
  <c r="H258" i="6"/>
  <c r="H257" i="6"/>
  <c r="H259" i="6"/>
  <c r="H252" i="6"/>
  <c r="H251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09" i="6"/>
  <c r="H211" i="6"/>
  <c r="H204" i="6"/>
  <c r="H203" i="6"/>
  <c r="H205" i="6"/>
  <c r="F264" i="6"/>
  <c r="G590" i="6"/>
  <c r="F591" i="6"/>
  <c r="F585" i="6"/>
  <c r="F584" i="6"/>
  <c r="F579" i="6"/>
  <c r="F578" i="6"/>
  <c r="G525" i="6"/>
  <c r="F520" i="6"/>
  <c r="F519" i="6"/>
  <c r="F514" i="6"/>
  <c r="F513" i="6"/>
  <c r="F508" i="6"/>
  <c r="F507" i="6"/>
  <c r="F502" i="6"/>
  <c r="F501" i="6"/>
  <c r="F496" i="6"/>
  <c r="F495" i="6"/>
  <c r="F526" i="6"/>
  <c r="F322" i="6"/>
  <c r="F321" i="6"/>
  <c r="H186" i="6"/>
  <c r="H174" i="6"/>
  <c r="H168" i="6"/>
  <c r="H150" i="6"/>
  <c r="H144" i="6"/>
  <c r="H115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2" i="6"/>
  <c r="H64" i="6"/>
  <c r="H21" i="6"/>
  <c r="H20" i="6"/>
  <c r="H22" i="6"/>
  <c r="H15" i="6"/>
  <c r="H16" i="6"/>
  <c r="H9" i="6"/>
  <c r="H10" i="6"/>
  <c r="F69" i="6"/>
  <c r="G69" i="6"/>
  <c r="F70" i="6"/>
  <c r="F9" i="6"/>
  <c r="H145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60" i="6"/>
  <c r="G264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6" i="6"/>
  <c r="H139" i="6"/>
  <c r="H140" i="6"/>
  <c r="F199" i="6"/>
  <c r="F490" i="6"/>
  <c r="F489" i="6"/>
  <c r="F484" i="6"/>
  <c r="F483" i="6"/>
  <c r="F478" i="6"/>
  <c r="F477" i="6"/>
  <c r="F472" i="6"/>
  <c r="F471" i="6"/>
  <c r="F466" i="6"/>
  <c r="F465" i="6"/>
  <c r="F461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4" i="6"/>
  <c r="F273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6" i="6"/>
  <c r="F145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61" i="6"/>
  <c r="F560" i="6"/>
  <c r="F573" i="6"/>
  <c r="F572" i="6"/>
  <c r="F567" i="6"/>
  <c r="F566" i="6"/>
  <c r="F555" i="6"/>
  <c r="F554" i="6"/>
  <c r="F549" i="6"/>
  <c r="F548" i="6"/>
  <c r="F543" i="6"/>
  <c r="F542" i="6"/>
  <c r="F537" i="6"/>
  <c r="F536" i="6"/>
  <c r="F531" i="6"/>
  <c r="F530" i="6"/>
</calcChain>
</file>

<file path=xl/sharedStrings.xml><?xml version="1.0" encoding="utf-8"?>
<sst xmlns="http://schemas.openxmlformats.org/spreadsheetml/2006/main" count="2003" uniqueCount="609">
  <si>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</si>
  <si>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</si>
  <si>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</si>
  <si>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</si>
  <si>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</si>
  <si>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</si>
  <si>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</si>
  <si>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</si>
  <si>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</si>
  <si>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</si>
  <si>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</si>
  <si>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</si>
  <si>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</si>
  <si>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</si>
  <si>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</si>
  <si>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</si>
  <si>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</si>
  <si>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</si>
  <si>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</si>
  <si>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</si>
  <si>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</si>
  <si>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</si>
  <si>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</si>
  <si>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</si>
  <si>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</si>
  <si>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</si>
  <si>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</si>
  <si>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</si>
  <si>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</si>
  <si>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</si>
  <si>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</si>
  <si>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</si>
  <si>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</si>
  <si>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</si>
  <si>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El sistema de conmutación de una red:</t>
  </si>
  <si>
    <t>Controla la conmutación entre el origen y el destino</t>
  </si>
  <si>
    <t>Establece la ruta que va a seguir la información por la red</t>
  </si>
  <si>
    <t>Realiza el transporte de la información hasta el destino</t>
  </si>
  <si>
    <t>Ninguna de las anteriores</t>
  </si>
  <si>
    <t>Un protocolo de comunicación es:</t>
  </si>
  <si>
    <t>Los enlaces a establecer en una comunicación.</t>
  </si>
  <si>
    <t>La función que realiza la red.</t>
  </si>
  <si>
    <t>Las normas internacionales.</t>
  </si>
  <si>
    <t>Ninguna de las anteriores.</t>
  </si>
  <si>
    <t>Una red con topología en malla:</t>
  </si>
  <si>
    <t>Es siempre una red dedicada</t>
  </si>
  <si>
    <t>Es siempre una red de difusión</t>
  </si>
  <si>
    <t>Es más eficiente que una red con topología en bus</t>
  </si>
  <si>
    <t>Es más eficiente que una red con topología irregular</t>
  </si>
  <si>
    <t>En el método de conmutación de circuitos</t>
  </si>
  <si>
    <t>Toda la información de cualquier comunicación viaja siempre por el mismo canal.</t>
  </si>
  <si>
    <t>Puede haber riesgos de pérdida de todo el mensaje en caso de fallo de la red</t>
  </si>
  <si>
    <t>Se decide sobre la marcha la ruta que va a seguir</t>
  </si>
  <si>
    <t>El método de transmisión que permite una mayor eficiencia en una red de comunicación es:</t>
  </si>
  <si>
    <t>Conmutación de circuito</t>
  </si>
  <si>
    <t>Conmutación de paquetes</t>
  </si>
  <si>
    <t>Conmutación de mensajes</t>
  </si>
  <si>
    <t>Difusión</t>
  </si>
  <si>
    <t>En una red de comunicación;</t>
  </si>
  <si>
    <t>Deben existir protocolos para controlar errores</t>
  </si>
  <si>
    <t>No es necesario establecer mecanismos de control de errores porque éstos nunca se producirán</t>
  </si>
  <si>
    <t>Sólo hay que controlar los errores que se producen en una red de difusión.</t>
  </si>
  <si>
    <t>Ninguna es cierta</t>
  </si>
  <si>
    <t>Es propiedad de una empresa,</t>
  </si>
  <si>
    <t>Ha sido creado por un organismo de normalizació</t>
  </si>
  <si>
    <t>Es una norma que todos los fabricantes deben utilizar obligatoriamente</t>
  </si>
  <si>
    <t>La organización W3C se dedica a:</t>
  </si>
  <si>
    <t>La organización ICANN se dedica a:</t>
  </si>
  <si>
    <t>Definir los protocolos de internet</t>
  </si>
  <si>
    <t>Definir los protocolos de asignación de números y nombres en internet</t>
  </si>
  <si>
    <t>Publicar documentos RFC</t>
  </si>
  <si>
    <t>Un sistema de numeración posicional</t>
  </si>
  <si>
    <t>No da importancia al lugar que ocupa cada dígito.</t>
  </si>
  <si>
    <t>Establece un valor distinto a un mismo dígito si ocupa un lugar diferente.</t>
  </si>
  <si>
    <t>Está basado en la base 10</t>
  </si>
  <si>
    <t>Un servicio de un determinado nivel de la arquitectura de red:</t>
  </si>
  <si>
    <t>Es una jerarquía de protocolos</t>
  </si>
  <si>
    <t>Puede utilizar cualquier protocolo de la arquitectura</t>
  </si>
  <si>
    <t>Se puede comunicar con cualquier otro servicio de la arquitectura</t>
  </si>
  <si>
    <t>Son protocolos de la parte superior del nivel de enlace de datos</t>
  </si>
  <si>
    <t>IEEE 802.1.</t>
  </si>
  <si>
    <t>IEEE 802.2.</t>
  </si>
  <si>
    <t>IEEE 802.3.</t>
  </si>
  <si>
    <t>Todas son ciertas.</t>
  </si>
  <si>
    <t>El método de acceso a la red</t>
  </si>
  <si>
    <t>Establece cómo se deben conectar los ordenadores</t>
  </si>
  <si>
    <t>Especifica privilegios para los usuarios</t>
  </si>
  <si>
    <t>El direccionamiento se usa para:</t>
  </si>
  <si>
    <t>Controlar el acceso al medio de los equipos.</t>
  </si>
  <si>
    <t>Identificar a unos equipos de otros.</t>
  </si>
  <si>
    <t>Seleccionar la mejor ruta al destino.</t>
  </si>
  <si>
    <t>Evitar que un emisor rápido sature a uno lento.</t>
  </si>
  <si>
    <t>El nivel de subred de TCP/IP </t>
  </si>
  <si>
    <t>No tiene definidos los protocolos</t>
  </si>
  <si>
    <t>Se incluyen en él los protocolos de la red concreta</t>
  </si>
  <si>
    <t>Incluye funciones de nivel físico y enlace de datos</t>
  </si>
  <si>
    <t>Todas son ciertas</t>
  </si>
  <si>
    <t>Una entidad par es:</t>
  </si>
  <si>
    <t>Las capas del mismo nivel de dos equipos que se comunican</t>
  </si>
  <si>
    <t>Dos ordenadores que se comunican</t>
  </si>
  <si>
    <r>
      <t xml:space="preserve">Protocolo de nivel </t>
    </r>
    <r>
      <rPr>
        <i/>
        <sz val="11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que realiza una función específica</t>
    </r>
  </si>
  <si>
    <t>Información de control que llevan los mensajes</t>
  </si>
  <si>
    <t>NetBT es:</t>
  </si>
  <si>
    <t>Un protocolo de red de la arquitectura de Microsoft</t>
  </si>
  <si>
    <t>Es la pila formada por NetBIOS sobre NetBEUI</t>
  </si>
  <si>
    <t>Es la pila formada por NetBIOS sobre IPX/SPX</t>
  </si>
  <si>
    <t>IEEE 802.11:</t>
  </si>
  <si>
    <t>Es un estándar para las redes locales cableadas</t>
  </si>
  <si>
    <t>Es un estándar para las redes locales inalámbricas</t>
  </si>
  <si>
    <t>Es un protocolo de red de Ethernet</t>
  </si>
  <si>
    <t>La arquitectura de red ATM:</t>
  </si>
  <si>
    <t>Permite cierta visibilidad entre capas por cuestion de eficiencia</t>
  </si>
  <si>
    <t>Utiliza información de control en todas sus capas</t>
  </si>
  <si>
    <t>Realiza un fuerte control de errores en las comunicaciones</t>
  </si>
  <si>
    <t>TEMA 3</t>
  </si>
  <si>
    <t>TEMA 2</t>
  </si>
  <si>
    <t>La modulación se utiliza para:</t>
  </si>
  <si>
    <t>Permitir la transmisión a través de una red analógica</t>
  </si>
  <si>
    <t>Conseguir una mayor velocidad de transmisión</t>
  </si>
  <si>
    <t>Corregir los errores de la comunicación</t>
  </si>
  <si>
    <t>Todas las anteriores son correctas</t>
  </si>
  <si>
    <t>El cable coaxial</t>
  </si>
  <si>
    <t>Tiene una velocidad de transmisión inferior al par trenzado</t>
  </si>
  <si>
    <t>Tiene una velocidad de transmisión mayor que las microondas</t>
  </si>
  <si>
    <t>Tiene más inmunidad a ruidos en interferencias que la fibra óptica</t>
  </si>
  <si>
    <t>El ancho de banda de un medio</t>
  </si>
  <si>
    <t>Limita su velocidad máxima de transmisión</t>
  </si>
  <si>
    <t>Es una característica del medio que no se puede cambiar</t>
  </si>
  <si>
    <t>Especifica la capacidad de transporte de información que tiene un medio</t>
  </si>
  <si>
    <t>La señal portado</t>
  </si>
  <si>
    <t>Especifica la información a enviar.</t>
  </si>
  <si>
    <t>Establece las características de la señal que se envía por un medio.</t>
  </si>
  <si>
    <t>Es la señal que se envía por el medio.</t>
  </si>
  <si>
    <t>El cable FTP:</t>
  </si>
  <si>
    <t>Tiene una pantalla global para todos los pares</t>
  </si>
  <si>
    <t>Tiene una pantalla para cada par</t>
  </si>
  <si>
    <t>Tiene una pantalla global y otra para cada par</t>
  </si>
  <si>
    <t>Tiene una pantalla global no conductora</t>
  </si>
  <si>
    <t>El cable de fibra holgado:</t>
  </si>
  <si>
    <t>Las microondas</t>
  </si>
  <si>
    <t>Tienen mayor capacidad de transmisión que los medios guiados</t>
  </si>
  <si>
    <t>Son más inmunes al ruido que la fibra óptica</t>
  </si>
  <si>
    <t>Viajan a mayores distancias que las ondas infrarrojas</t>
  </si>
  <si>
    <t>La fibra óptica</t>
  </si>
  <si>
    <t>Es muy fácil de instalar en comparación con otros medios</t>
  </si>
  <si>
    <t>No es inmune a interferencias electromagnéticas</t>
  </si>
  <si>
    <t>Tiene una atenuación muy baja con respecto a los cables de cobre</t>
  </si>
  <si>
    <t>La modulación analógica con portadora digital</t>
  </si>
  <si>
    <t>Se usa para enviar una señal digital por un medio analógico</t>
  </si>
  <si>
    <t>Se usa para enviar una señal digital por un medio digital</t>
  </si>
  <si>
    <t>Se usa para enviar una señal analógica por un medio digital</t>
  </si>
  <si>
    <t>La capacidad de transmisión que se calcula con la fórmula de Shannon.</t>
  </si>
  <si>
    <t>No tiene en cuenta los valores de ruido.</t>
  </si>
  <si>
    <t>Especifica la capacidad máxima de transmisión real de un medio.</t>
  </si>
  <si>
    <t>Especifica la capacidad máxima de transmisión en condiciones ideales.</t>
  </si>
  <si>
    <t>Ninguna es cierta.</t>
  </si>
  <si>
    <t>TEMA 4</t>
  </si>
  <si>
    <t>Un módem se utiliza para:</t>
  </si>
  <si>
    <t>Conectar un ordenador con una red local</t>
  </si>
  <si>
    <t>Conectar varios ordenadores a una red de cable</t>
  </si>
  <si>
    <t>Conectar un ordenador con cualquier red de área extensa</t>
  </si>
  <si>
    <t>Una tarjeta de red se diferencia de un módem en:</t>
  </si>
  <si>
    <t>Una tarjeta de red conecta con cualquier red y un módem no</t>
  </si>
  <si>
    <t>Un módem solamente conecta un equipo a la red</t>
  </si>
  <si>
    <t>Un módem se comunica con el ordenador a través de señales analógicas</t>
  </si>
  <si>
    <t>Cuando conectamos dos redes distintas debemos utilizar:</t>
  </si>
  <si>
    <t>Un conmutador si las redes utilizan distinto cableado pero los mismos protocolos.</t>
  </si>
  <si>
    <t>Un puente si las redes utilizan diferentes protocolos e nivel físico y enlace.</t>
  </si>
  <si>
    <t>Un encaminador si las redes utilizan distinto cableado y distintos protocolos</t>
  </si>
  <si>
    <t>Todas las anteriores son ciertas</t>
  </si>
  <si>
    <t>La ruta por defecto que establece un encaminador se usa para:</t>
  </si>
  <si>
    <t>Enviar los mensajes cuando el destinatario no contesta.</t>
  </si>
  <si>
    <t>Enviar los mensajes cuando el destino está en una red no conocida</t>
  </si>
  <si>
    <t>Enviar los mensajes como ruta alternativa cuando hay congestión en la red</t>
  </si>
  <si>
    <t>Es recomendable usar un conmutador para:</t>
  </si>
  <si>
    <t>Un dominio de colisión es:</t>
  </si>
  <si>
    <t>El conjunto de equipos que comparten el mismo medio de transmisión</t>
  </si>
  <si>
    <t>El conjunto de equipos conectados a la misma red</t>
  </si>
  <si>
    <t>Los equipos que transmiten a la misma vez</t>
  </si>
  <si>
    <t>Una pasarela:</t>
  </si>
  <si>
    <t>Conecta dos redes con distintos protocolos de alto nivel.</t>
  </si>
  <si>
    <t>Realiza la conversión de los diferentes formatos de mensajes.</t>
  </si>
  <si>
    <t>Realiza tareas de encaminamiento.</t>
  </si>
  <si>
    <r>
      <t xml:space="preserve">La memoria </t>
    </r>
    <r>
      <rPr>
        <i/>
        <sz val="11"/>
        <color theme="1"/>
        <rFont val="Calibri"/>
        <family val="2"/>
        <scheme val="minor"/>
      </rPr>
      <t>flash</t>
    </r>
    <r>
      <rPr>
        <sz val="12"/>
        <color theme="1"/>
        <rFont val="Calibri"/>
        <family val="2"/>
        <scheme val="minor"/>
      </rPr>
      <t xml:space="preserve"> de un encaminador contiene</t>
    </r>
  </si>
  <si>
    <t>La configuración del dispositivo</t>
  </si>
  <si>
    <t>Las tablas de encaminamiento y ARP</t>
  </si>
  <si>
    <t>El sistema operativo</t>
  </si>
  <si>
    <t>La conexión por puerto serie en un encaminador se usa para</t>
  </si>
  <si>
    <t>El acceso a una red de área extensa</t>
  </si>
  <si>
    <t>La conexión de consola para su configuración</t>
  </si>
  <si>
    <t>Simular la conexión de dos encaminadores a una red de área extensa</t>
  </si>
  <si>
    <t>Un punto de acceso inalámbrico que funciona en el canal 6</t>
  </si>
  <si>
    <t>No se ve afectado por puntos cercanos que funcionen en el canal 2</t>
  </si>
  <si>
    <t>No se ve afectado por puntos cercanos que funcionen en el canal 3</t>
  </si>
  <si>
    <t>No se ve afectado por puntos cercanos que funcionen en el canal 4</t>
  </si>
  <si>
    <t>No se ve afectado por puntos cercanos que funcionen en el canal 5</t>
  </si>
  <si>
    <t>TEMA 5</t>
  </si>
  <si>
    <t>La división de una dirección IP en número de red y numero de estación, se usa para:</t>
  </si>
  <si>
    <t>Enviar los mensajes a los equipos de la misma red.</t>
  </si>
  <si>
    <t>Realizar un encaminamiento más sencillo</t>
  </si>
  <si>
    <t>Calcular la máscara de una forma más rápida</t>
  </si>
  <si>
    <t>Se dice que un puerto de comunicaciones está “abierto” cuando:</t>
  </si>
  <si>
    <t>Un puerto bien conocido se diferencia de uno dinámico en:</t>
  </si>
  <si>
    <t>La máscara de red se usa para:</t>
  </si>
  <si>
    <t>Identificar a los equipos que están conectados en la misma red.</t>
  </si>
  <si>
    <t>Obtener la parte de la dirección que se usa para numerar redes y para numerar equipos</t>
  </si>
  <si>
    <t>Realizar un cálculo rápido para obtener la dirección de la red del equipo</t>
  </si>
  <si>
    <t>La dirección de bucle local IPv6 que se refiere al propio equipo es:</t>
  </si>
  <si>
    <t>127.0.0.1</t>
  </si>
  <si>
    <t>::1/128</t>
  </si>
  <si>
    <t>fec0::1/128</t>
  </si>
  <si>
    <t>fe80::1/10</t>
  </si>
  <si>
    <t>Un dominio de colisión es un grupo de ordenadores que:</t>
  </si>
  <si>
    <t>Están conectados a la misma red</t>
  </si>
  <si>
    <t>Han intentado enviar un mensaje al mismo tiempo</t>
  </si>
  <si>
    <t>Comparten el mismo medio de transmisión</t>
  </si>
  <si>
    <t>Están conectados al mismo conmutador</t>
  </si>
  <si>
    <t>La dirección FF:FF:FF:FF:FF:FF se usa para</t>
  </si>
  <si>
    <t>Enviar el mismo mensaje a todos los equipos en todas las redes</t>
  </si>
  <si>
    <t>Enviar el mismo mensaje a todos los equipos con el mismo número de red</t>
  </si>
  <si>
    <t>Enviar el mismo mensaje a todos los equipos que están en el mismo dominio de colisión</t>
  </si>
  <si>
    <t>El protocolo ARP:</t>
  </si>
  <si>
    <t>Devuelve la dirección MAC de un equipo a partir de su dirección IP</t>
  </si>
  <si>
    <t>Requiere del uso de tablas de correspondencias en todos los equipos</t>
  </si>
  <si>
    <t>Envía mensajes de consulta por la red para las direcciones que no se conocen</t>
  </si>
  <si>
    <t>Un nombre totalmente cualificado es:</t>
  </si>
  <si>
    <t>Un identificador de dirección de red en un equipo</t>
  </si>
  <si>
    <t>Una dirección completa de un dominio</t>
  </si>
  <si>
    <t>La dirección formada por IP y número de puerto</t>
  </si>
  <si>
    <t>Una dirección de difusión</t>
  </si>
  <si>
    <t>El mecanismo de pila dual consiste en:</t>
  </si>
  <si>
    <t>Usar los protocolos IPv4 y IPv6 a la vez</t>
  </si>
  <si>
    <t>Transformar las direcciones IPv4 en IPv4 y al revés</t>
  </si>
  <si>
    <t>Enviar los mensajes IPv6 dentro de paquetes IPv4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</si>
  <si>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</si>
  <si>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</si>
  <si>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</si>
  <si>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</si>
  <si>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</si>
  <si>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</si>
  <si>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</si>
  <si>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</si>
  <si>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</si>
  <si>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</si>
  <si>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TEMA 6</t>
  </si>
  <si>
    <t>En la subred 192.168.50.25/26, la dirección de broadcast es:</t>
  </si>
  <si>
    <t>192.168.50.0</t>
  </si>
  <si>
    <t>192.168.50.63</t>
  </si>
  <si>
    <t>192.168.50.25</t>
  </si>
  <si>
    <t>La dirección IP 123.35.2.15/16</t>
  </si>
  <si>
    <t>Es una red de clase A con máscara 255.255.255.0</t>
  </si>
  <si>
    <t>Es una red de clase A con máscara 255.255.0.0</t>
  </si>
  <si>
    <t>Es una red de clase A con máscara 255.0.0.0</t>
  </si>
  <si>
    <t>Es una red de clase B con máscara 255.255.0.0</t>
  </si>
  <si>
    <t>255.254.0.0</t>
  </si>
  <si>
    <t>255.255.254.1</t>
  </si>
  <si>
    <t>255.0.0.0</t>
  </si>
  <si>
    <t>255.192.0.0</t>
  </si>
  <si>
    <t>La dirección del primer equipo de la subred 2 de la siguiente dirección 20.0.0.0/12 cuál será:</t>
  </si>
  <si>
    <t>20.0.2.1</t>
  </si>
  <si>
    <t>20.2.0.1</t>
  </si>
  <si>
    <t>20.32.0.1</t>
  </si>
  <si>
    <t>20.1.0.32</t>
  </si>
  <si>
    <t>En la máscara 255.255.0.0 cuando incluimos 6 bits para crear subredes, tendremos:</t>
  </si>
  <si>
    <t>255.255.255.0</t>
  </si>
  <si>
    <t>255.225.0.0</t>
  </si>
  <si>
    <t>255.255.252.0</t>
  </si>
  <si>
    <t>Sobre la dirección de red 53.68.19.55/25 podemos decir:</t>
  </si>
  <si>
    <t>Su máscara de subred es 255.255.255.0</t>
  </si>
  <si>
    <t>Es una red de clase B</t>
  </si>
  <si>
    <t>Se puede direccionar 27 equipos (menos 2)</t>
  </si>
  <si>
    <t>Es una dirección incorrecta</t>
  </si>
  <si>
    <t>El equipo 172.16.195.66/18 se encuentra en la subred</t>
  </si>
  <si>
    <t>172.16.128.0</t>
  </si>
  <si>
    <t>172.16.192.0</t>
  </si>
  <si>
    <t>172.16.195.0</t>
  </si>
  <si>
    <t>172.16.127.0</t>
  </si>
  <si>
    <t>El equipo 172.16.195.66/18 tiene como dirección de broadcast</t>
  </si>
  <si>
    <t>172.16.128.255</t>
  </si>
  <si>
    <t>172.16.192.255</t>
  </si>
  <si>
    <t>172.16.195.255</t>
  </si>
  <si>
    <t>172.16.255.255</t>
  </si>
  <si>
    <t>El equipo 200.159.36.200/27 es el equipo:</t>
  </si>
  <si>
    <t>El equipo 200 de la subred 6</t>
  </si>
  <si>
    <t>El equipo 8 de la subred 6</t>
  </si>
  <si>
    <t>El equipo 18 de la subred 4</t>
  </si>
  <si>
    <t>El equipo 21 de la subred 2</t>
  </si>
  <si>
    <t>En una red entre iguales:</t>
  </si>
  <si>
    <t>No hay ningún equipo que se encargue de compartir recursos</t>
  </si>
  <si>
    <t>Todos los equipos tienen la misma configuración</t>
  </si>
  <si>
    <t>Hay más de un servidor</t>
  </si>
  <si>
    <t>Los parámetros a configurar en una tarjeta Ethernet cableada son:</t>
  </si>
  <si>
    <t>Control de flujo y detección de errores</t>
  </si>
  <si>
    <t>Velocidad de transmisión u modo</t>
  </si>
  <si>
    <t>Canal de comunicación.</t>
  </si>
  <si>
    <t>Se crea una red Bluetooth en Windows.</t>
  </si>
  <si>
    <t>Accediendo a las conexiones de red e instalando el adaptador</t>
  </si>
  <si>
    <t>Estableciendo el identificador SSID</t>
  </si>
  <si>
    <t>Activando el servicio Bluetooth PAN del adaptador</t>
  </si>
  <si>
    <t>Para activar una interfaz en Linux se usa la orden:</t>
  </si>
  <si>
    <t>ifdown</t>
  </si>
  <si>
    <t>ifup</t>
  </si>
  <si>
    <t>/etc/interfaces</t>
  </si>
  <si>
    <t>route add.</t>
  </si>
  <si>
    <t>Una configuración de red a alto nivel en Linux</t>
  </si>
  <si>
    <r>
      <t xml:space="preserve">No se puede cambiar con </t>
    </r>
    <r>
      <rPr>
        <i/>
        <sz val="11"/>
        <color theme="1"/>
        <rFont val="Calibri"/>
        <family val="2"/>
        <scheme val="minor"/>
      </rPr>
      <t>ifconfig</t>
    </r>
  </si>
  <si>
    <r>
      <t xml:space="preserve">Requiere la creación de las rutas con </t>
    </r>
    <r>
      <rPr>
        <i/>
        <sz val="11"/>
        <color theme="1"/>
        <rFont val="Calibri"/>
        <family val="2"/>
        <scheme val="minor"/>
      </rPr>
      <t>route add</t>
    </r>
  </si>
  <si>
    <t>Tiene que activarse a bajo nivel</t>
  </si>
  <si>
    <t>Un módulo cargable del núcleo:</t>
  </si>
  <si>
    <t>Es un programa que controla uno o varios dispositivos del equipo</t>
  </si>
  <si>
    <t>Es un paquete de instalación de programas.</t>
  </si>
  <si>
    <t>Es un adaptador configurado a bajo nivel</t>
  </si>
  <si>
    <t>La configuración alternativa en Windows se usa:</t>
  </si>
  <si>
    <t>Cuando no se ha podido establecer la configuración del adaptador</t>
  </si>
  <si>
    <t>Cuando no existen rutas hacia el destino</t>
  </si>
  <si>
    <t>Cuando la configuración de red es incorrecta</t>
  </si>
  <si>
    <t>La configuración a alto nivel de un adaptador inalámbrico en Linux:</t>
  </si>
  <si>
    <r>
      <t xml:space="preserve">Requiere de la orden </t>
    </r>
    <r>
      <rPr>
        <i/>
        <sz val="11"/>
        <color theme="1"/>
        <rFont val="Calibri"/>
        <family val="2"/>
        <scheme val="minor"/>
      </rPr>
      <t xml:space="preserve">iwconfig </t>
    </r>
    <r>
      <rPr>
        <sz val="12"/>
        <color theme="1"/>
        <rFont val="Calibri"/>
        <family val="2"/>
        <scheme val="minor"/>
      </rPr>
      <t>para indicar el SSIP</t>
    </r>
  </si>
  <si>
    <r>
      <t xml:space="preserve">Se realizar usando la orden </t>
    </r>
    <r>
      <rPr>
        <i/>
        <sz val="11"/>
        <color theme="1"/>
        <rFont val="Calibri"/>
        <family val="2"/>
        <scheme val="minor"/>
      </rPr>
      <t>ip addr.</t>
    </r>
  </si>
  <si>
    <r>
      <t xml:space="preserve">Se realiza con la orden </t>
    </r>
    <r>
      <rPr>
        <i/>
        <sz val="11"/>
        <color theme="1"/>
        <rFont val="Calibri"/>
        <family val="2"/>
        <scheme val="minor"/>
      </rPr>
      <t>ip route add</t>
    </r>
  </si>
  <si>
    <t>Para comprobar si un adaptador Bluetooth está activo en Linux se usa la orden:</t>
  </si>
  <si>
    <t>hciconfig</t>
  </si>
  <si>
    <t>hcitool dev</t>
  </si>
  <si>
    <t>hcitool inq</t>
  </si>
  <si>
    <t>Un interfaz lógico</t>
  </si>
  <si>
    <t>Es un controlador de dispositivo de un adaptador de red</t>
  </si>
  <si>
    <r>
      <t xml:space="preserve">Es el nombre del dispositivo de comunicación, como </t>
    </r>
    <r>
      <rPr>
        <i/>
        <sz val="11"/>
        <color theme="1"/>
        <rFont val="Calibri"/>
        <family val="2"/>
        <scheme val="minor"/>
      </rPr>
      <t>eth0</t>
    </r>
  </si>
  <si>
    <t>Guarda la configuración DNS</t>
  </si>
  <si>
    <t xml:space="preserve">TEMA  7 </t>
  </si>
  <si>
    <t>El diseño de un red en Boson NetSim se usa para:</t>
  </si>
  <si>
    <t>Para consultar qué puertas están conectados en un diseño de Packet Tracer tenemos que:</t>
  </si>
  <si>
    <t>Colocarnos con el ratón encima de la conexión.</t>
  </si>
  <si>
    <t>Colocarnos con el ratón encima del equipo</t>
  </si>
  <si>
    <t>Hacer doble clic sobre el equipo y pulsar en la pestaña “conexiones”</t>
  </si>
  <si>
    <t>No se pueden consultar los puertos conectados en los equipos</t>
  </si>
  <si>
    <t>Para conocer los puertos activos en un diseño de Packet Tracer tenemos que:</t>
  </si>
  <si>
    <t>Para consultar qué puertos están conectados en un diseño de Kiva NS tenemos que:</t>
  </si>
  <si>
    <t>Para saber cuáles son los puertos disponibles en un encaminador dentro del entorno GNS3 tenemos que:</t>
  </si>
  <si>
    <t>Pulsar con el botón derecho del ratón y seleccionar “Puertos”</t>
  </si>
  <si>
    <t>Colocar el ratón encima del equipo</t>
  </si>
  <si>
    <t>Seleccionar “Vista || Puertos” del menú principal</t>
  </si>
  <si>
    <t>La ventana “Config” de un dispositivo en Packet Tracer se usa para:</t>
  </si>
  <si>
    <t>Especificar los módulos de expansión que tiene el equipo</t>
  </si>
  <si>
    <t> Configurar el dispositivo a través de los comandos Cisco IOS</t>
  </si>
  <si>
    <t>Establecer los puertos que están conectados con otros equipos</t>
  </si>
  <si>
    <t>Para guardar la configuración actual de un dispositivo en Boson NetSim se usa la opción:</t>
  </si>
  <si>
    <t>Load single device config (merge)</t>
  </si>
  <si>
    <t>Load single device config (overwrite)</t>
  </si>
  <si>
    <t>Save single device config</t>
  </si>
  <si>
    <t>La memora nvram de un encaminador guarda:</t>
  </si>
  <si>
    <t>El sistema operativo Cisco IOS</t>
  </si>
  <si>
    <t>Las tablas de encaminamiento.</t>
  </si>
  <si>
    <t>Las tablas de resolución ARP y RAPR</t>
  </si>
  <si>
    <t>Un archivo de imagen Cisco IOS debe ser cargado en GNS3 para:</t>
  </si>
  <si>
    <t>Emular los encaminadores que se van a conectar a la red</t>
  </si>
  <si>
    <t>Cargar la configuración de los encaminadores</t>
  </si>
  <si>
    <t>Emular los ordenadores que se van a conectar a la red</t>
  </si>
  <si>
    <t>Un slot de un encaminador es:</t>
  </si>
  <si>
    <t>El archivo de configuración</t>
  </si>
  <si>
    <t>El archivo que almacena la imagen del sistema operativo</t>
  </si>
  <si>
    <t>Una ranura donde se conectan módulos de expansión</t>
  </si>
  <si>
    <t>Una conexión  de consola se usa para.</t>
  </si>
  <si>
    <t>Configurar los parámetros de red de un ordenador</t>
  </si>
  <si>
    <t>Simular una conexión de área extensa con otro equipo</t>
  </si>
  <si>
    <t>Enviar información de encaminamiento</t>
  </si>
  <si>
    <t>El modo usuario en el acceso a un dispositivo se usa para:</t>
  </si>
  <si>
    <t>Consultar información sobre su funcionamiento</t>
  </si>
  <si>
    <t>Realizar cambios en la configuración</t>
  </si>
  <si>
    <t>Volver a la configuración de fábrica</t>
  </si>
  <si>
    <t>Establecer los usuarios que tienen acceso.</t>
  </si>
  <si>
    <t>El modo de configuración en línea (line) se usa para:</t>
  </si>
  <si>
    <t>Establecer la configuración de los puertos</t>
  </si>
  <si>
    <t>Establecer la configuración de las conexiones de consola</t>
  </si>
  <si>
    <t>Consultar la configuración de las líneas de conexión del equipo</t>
  </si>
  <si>
    <t>Un punto de acceso inalámbrico</t>
  </si>
  <si>
    <r>
      <t xml:space="preserve">Puede configurarse en modo </t>
    </r>
    <r>
      <rPr>
        <i/>
        <sz val="11"/>
        <color theme="1"/>
        <rFont val="Calibri"/>
        <family val="2"/>
        <scheme val="minor"/>
      </rPr>
      <t>ad-hoc</t>
    </r>
  </si>
  <si>
    <t>Puede configurarse en modo infraestructura</t>
  </si>
  <si>
    <t>Puede utilizar un cifrado WEP o WPA</t>
  </si>
  <si>
    <t>La lista de equipos autorizados en un punto de acceso inalámbrico se usa para:</t>
  </si>
  <si>
    <t>Indicar los equipos que se pueden conectar a la red.</t>
  </si>
  <si>
    <t>Especificar desde qué equipos se puede cambiar su configuración</t>
  </si>
  <si>
    <t>Establecer la configuración de cifrado</t>
  </si>
  <si>
    <t>Dentro del ámbito de una red local virtual:</t>
  </si>
  <si>
    <t>Los mensajes de difusión se envían a todos los equipos y a otras redes virtuales</t>
  </si>
  <si>
    <t>Los mensajes se envían sólo a los equipos destinatarios</t>
  </si>
  <si>
    <t>Los equipos de distintas redes virtuales se pueden comunicar a nivel de red de la arquitectura</t>
  </si>
  <si>
    <t>Para crear una nueva red local virtual en un conmutador Cisco se usa el comando:</t>
  </si>
  <si>
    <r>
      <t>switchport access vlan</t>
    </r>
    <r>
      <rPr>
        <sz val="12"/>
        <color theme="1"/>
        <rFont val="Calibri"/>
        <family val="2"/>
        <scheme val="minor"/>
      </rPr>
      <t xml:space="preserve"> seguido del número de red</t>
    </r>
  </si>
  <si>
    <t>vlan seguido del número de red</t>
  </si>
  <si>
    <r>
      <t>vlan-membership</t>
    </r>
    <r>
      <rPr>
        <sz val="12"/>
        <color theme="1"/>
        <rFont val="Calibri"/>
        <family val="2"/>
        <scheme val="minor"/>
      </rPr>
      <t xml:space="preserve"> seguido del número de red</t>
    </r>
  </si>
  <si>
    <t>show vlan</t>
  </si>
  <si>
    <t>El protocolo de árbol de extensión se usa para:</t>
  </si>
  <si>
    <t>Permitir la comunicación entre diferentes equipos de una misma VLAN</t>
  </si>
  <si>
    <t>Evitar que se produzcan bucles en el envío de los mensajes</t>
  </si>
  <si>
    <t>Seleccionar la mejor ruta hasta el destino</t>
  </si>
  <si>
    <r>
      <t xml:space="preserve">El comando </t>
    </r>
    <r>
      <rPr>
        <i/>
        <sz val="11"/>
        <color theme="1"/>
        <rFont val="Calibri"/>
        <family val="2"/>
        <scheme val="minor"/>
      </rPr>
      <t>clear mac-address-table</t>
    </r>
    <r>
      <rPr>
        <sz val="12"/>
        <color theme="1"/>
        <rFont val="Calibri"/>
        <family val="2"/>
        <scheme val="minor"/>
      </rPr>
      <t xml:space="preserve"> se usa para:</t>
    </r>
  </si>
  <si>
    <t>Eliminar las direcciones MAC de la tabla de resolución ARP</t>
  </si>
  <si>
    <t>Limpiar la configuración del conmutador</t>
  </si>
  <si>
    <t>Eliminar las direcciones MAC autorizadas para conectar con un punto de acceso inalámbrico</t>
  </si>
  <si>
    <t>Un conmutador raíz es:</t>
  </si>
  <si>
    <t>El que controla el tráfico de toda la red</t>
  </si>
  <si>
    <t>Un equipo con uno de sus puertos marcados para reenviar mensajes</t>
  </si>
  <si>
    <t>Un equipo con todos sus puertos marcados para reenviar mensajes</t>
  </si>
  <si>
    <t>Un equipo que tiene configurado un enlace troncal.</t>
  </si>
  <si>
    <t>TEMA 9</t>
  </si>
  <si>
    <t>TEMA 10</t>
  </si>
  <si>
    <t>TEMA 11</t>
  </si>
  <si>
    <t>TEMA 12</t>
  </si>
  <si>
    <t>Una conexión serie se usa para:</t>
  </si>
  <si>
    <t>Conectar con otro encaminador o módem</t>
  </si>
  <si>
    <t>Conectar con un DCE de acceso a otra red</t>
  </si>
  <si>
    <t>El modo privilegiado en el acceso a un dispositivo se usa para:</t>
  </si>
  <si>
    <t>El modo de configuración de interfaz se usa para:</t>
  </si>
  <si>
    <t>Establecer la configuración de los encaminadores</t>
  </si>
  <si>
    <t>La configuración up de un puerto de un encaminador se realiza con el comando cisco:</t>
  </si>
  <si>
    <r>
      <t xml:space="preserve">interface </t>
    </r>
    <r>
      <rPr>
        <sz val="12"/>
        <color theme="1"/>
        <rFont val="Calibri"/>
        <family val="2"/>
        <scheme val="minor"/>
      </rPr>
      <t>seguido del nombre del puerto y su dirección ip</t>
    </r>
  </si>
  <si>
    <t>ip address seguido de la dirección IP y de la máscara de red</t>
  </si>
  <si>
    <r>
      <t>no shutdown</t>
    </r>
    <r>
      <rPr>
        <sz val="12"/>
        <color theme="1"/>
        <rFont val="Calibri"/>
        <family val="2"/>
        <scheme val="minor"/>
      </rPr>
      <t xml:space="preserve"> seguido del nombre del puerto</t>
    </r>
  </si>
  <si>
    <t>Para especificar la velocidad de transmisión de una conexión serie en los encaminadores cisco, hay que: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</si>
  <si>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clock</t>
    </r>
    <r>
      <rPr>
        <sz val="12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rate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</si>
  <si>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t>Ejecutar el comando clock rate seguido de la velocidad en el puerto DCE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</si>
  <si>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</si>
  <si>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DCE</t>
    </r>
  </si>
  <si>
    <t>Para establecer una ruta estática en un encaminador cisco, hay que ejecutar el siguiente comando:</t>
  </si>
  <si>
    <t>ip route seguido de los parámetros de la ruta</t>
  </si>
  <si>
    <r>
      <t>router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</si>
  <si>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show ip route </t>
    </r>
    <r>
      <rPr>
        <sz val="12"/>
        <color theme="1"/>
        <rFont val="Calibri"/>
        <family val="2"/>
        <scheme val="minor"/>
      </rPr>
      <t>seguido de los parámetros de la ruta</t>
    </r>
  </si>
  <si>
    <r>
      <t>network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</si>
  <si>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La entrada “S 10.0.0.0/8 [1/0] via 192.168.1.1” mostrada por </t>
    </r>
    <r>
      <rPr>
        <i/>
        <sz val="11"/>
        <color theme="1"/>
        <rFont val="Calibri"/>
        <family val="2"/>
        <scheme val="minor"/>
      </rPr>
      <t>show ip route</t>
    </r>
    <r>
      <rPr>
        <sz val="12"/>
        <color theme="1"/>
        <rFont val="Calibri"/>
        <family val="2"/>
        <scheme val="minor"/>
      </rPr>
      <t xml:space="preserve"> significa:</t>
    </r>
  </si>
  <si>
    <t>Ruta estática a la red 10.0.0.0</t>
  </si>
  <si>
    <t>Ruta a la red 10.0.0.0 que está directamente conectada</t>
  </si>
  <si>
    <t>Ruta dinámica a la red 10.0.0.0</t>
  </si>
  <si>
    <t>Ruta estática que va a ser eliminada de la tabla de encaminamiento</t>
  </si>
  <si>
    <t>Para establecer el tipo de comunicación en una interfaz RDSI, hay que ejecutar este comando en el encaminador:</t>
  </si>
  <si>
    <t>dialer-group 1</t>
  </si>
  <si>
    <t>isdn spid 1 32177820010100</t>
  </si>
  <si>
    <t>isdn switch-type basic-ni</t>
  </si>
  <si>
    <t>dialer-list protocol is permit</t>
  </si>
  <si>
    <t>Una lista de control de acceso proporciona:</t>
  </si>
  <si>
    <t>Un mecanismo de control de permisos para los usuarios que se conectan al encaminador</t>
  </si>
  <si>
    <t>Filtrado de los mensajes que entran o salen del encaminador</t>
  </si>
  <si>
    <t>Seguridad para el protocolo de encaminamiento estático</t>
  </si>
  <si>
    <r>
      <t>El comando “</t>
    </r>
    <r>
      <rPr>
        <i/>
        <sz val="11"/>
        <color theme="1"/>
        <rFont val="Calibri"/>
        <family val="2"/>
        <scheme val="minor"/>
      </rPr>
      <t xml:space="preserve">Access-list 2 permit 181.16.0.0 0.0.3.255” </t>
    </r>
    <r>
      <rPr>
        <sz val="12"/>
        <color theme="1"/>
        <rFont val="Calibri"/>
        <family val="2"/>
        <scheme val="minor"/>
      </rPr>
      <t>se usa para:</t>
    </r>
  </si>
  <si>
    <t>Permitir que los equipos de la red 181.16.0.0/10 puedan enviar mensajes a través del encaminador</t>
  </si>
  <si>
    <t>Permitir que los equipos de la red 181.16.0.0/8 puedan enviar mensajes a través del encaminador</t>
  </si>
  <si>
    <t>Denegar a los equipos de la red 182.16.0.0/10 el envío de mensajes a través del encaminador</t>
  </si>
  <si>
    <t>Denegar a los equipos de la red 182.16.0.0/8 el envío de mensajes a través del encaminador</t>
  </si>
  <si>
    <t>Para que un encaminador cree entradas dinámicas en sus tablas de encaminamiento necesita:</t>
  </si>
  <si>
    <t>Establecer las rutas estáticas a las redes directamente conectadas</t>
  </si>
  <si>
    <t>Tener activado un protocolo de encaminamiento</t>
  </si>
  <si>
    <t>Activar todos los puertos de los que disponga el equipo</t>
  </si>
  <si>
    <t>La métrica de un protocolo de encaminamiento es:</t>
  </si>
  <si>
    <t>La velocidad de transmisión de los enlaces</t>
  </si>
  <si>
    <t>La medida que indica cuál es la mejor ruta</t>
  </si>
  <si>
    <t>La congestión de los encales</t>
  </si>
  <si>
    <t>El equilibrio de carga de un protocolo de encaminamiento se utilza para</t>
  </si>
  <si>
    <t>Reducir el envío de mensajes cuando la red está congrestionada</t>
  </si>
  <si>
    <t>Evitar que se produzcan bucles de encaminamiento</t>
  </si>
  <si>
    <t>Establecer una métrica basada en la carga de los enlaces</t>
  </si>
  <si>
    <t>Todas las anteriores</t>
  </si>
  <si>
    <t>La distancia administrativa se usa para:</t>
  </si>
  <si>
    <t>Calcular la mejor ruta para un protocolo de encaminamiento​</t>
  </si>
  <si>
    <t>Calcular la mejor ruta para varios protocolos de encaminamiento</t>
  </si>
  <si>
    <t>Establecer la métrica utilizada por el protocolo de encaminamiento</t>
  </si>
  <si>
    <t>Evitar bucles en el protocolo de encaminamiento</t>
  </si>
  <si>
    <t>El protocolo de encaminamiento RIP es:</t>
  </si>
  <si>
    <t>Encaminable o enrutable</t>
  </si>
  <si>
    <t>Exterior​</t>
  </si>
  <si>
    <t>Basado en el estado de los enlaces</t>
  </si>
  <si>
    <t>El agregado de ruta CIDR se usa para</t>
  </si>
  <si>
    <t>Reducir las entradas en las tablas de encaminamiento​</t>
  </si>
  <si>
    <t>Añadir entradas de rutas alternativas</t>
  </si>
  <si>
    <t>Desperdiciar menos direcciones disponibles</t>
  </si>
  <si>
    <t>La ruta con una métrica menor</t>
  </si>
  <si>
    <t>Aquella que aplica el prefijo más largo</t>
  </si>
  <si>
    <t>La que alcanza la subred más lejana en un esquema VLSM</t>
  </si>
  <si>
    <r>
      <t xml:space="preserve">El comando </t>
    </r>
    <r>
      <rPr>
        <i/>
        <sz val="11"/>
        <color theme="1"/>
        <rFont val="Calibri"/>
        <family val="2"/>
        <scheme val="minor"/>
      </rPr>
      <t>network</t>
    </r>
    <r>
      <rPr>
        <sz val="12"/>
        <color theme="1"/>
        <rFont val="Calibri"/>
        <family val="2"/>
        <scheme val="minor"/>
      </rPr>
      <t xml:space="preserve"> de cisco IOS se usa para:</t>
    </r>
  </si>
  <si>
    <t>Especificar las redes directamente conectadas</t>
  </si>
  <si>
    <t>Indicar las redes de destino existentes</t>
  </si>
  <si>
    <t>Especificar el protocolo de encaminamiento a utilizar</t>
  </si>
  <si>
    <t>Establecer la métrica del protocolo de encaminamiento</t>
  </si>
  <si>
    <t>El comando que se usa para activar un protocolo de encaminamiento dinámico en Cisco IOS es;</t>
  </si>
  <si>
    <t>router</t>
  </si>
  <si>
    <t>ip route</t>
  </si>
  <si>
    <t>network</t>
  </si>
  <si>
    <t>route protocol</t>
  </si>
  <si>
    <t>El bucle local es:</t>
  </si>
  <si>
    <t>La conexión entre el abonado y su centralita más próxima</t>
  </si>
  <si>
    <t>La interfaz de conexión con la red privada</t>
  </si>
  <si>
    <t>La interfaz de conexión con la red pública</t>
  </si>
  <si>
    <t>La conexión con el DTE</t>
  </si>
  <si>
    <t>Una red privada virtual</t>
  </si>
  <si>
    <t>Es una red donde se han definido direcciones privadas NAT</t>
  </si>
  <si>
    <t>Es una comunicación virtual entre dos redes locales a través de una red de área extensa</t>
  </si>
  <si>
    <t>Es una red propiedad de una única entidad</t>
  </si>
  <si>
    <t>Es una VLAN</t>
  </si>
  <si>
    <t>Una conexión PRI es:</t>
  </si>
  <si>
    <t>El acceso a RDSI mediante dos canales B y uno D.​</t>
  </si>
  <si>
    <t>El acceso a RDSI mediente 10 canales B y uno D</t>
  </si>
  <si>
    <t>El acceso a RDSI mediente 30 canales B y tres D</t>
  </si>
  <si>
    <t>El protocolo PPPoEoA encapsula:</t>
  </si>
  <si>
    <t>Un mensaje PPP dentro de un mensaje Ethernet y, a su vez, dentro de un mensaje ATM</t>
  </si>
  <si>
    <t>Un mensaje ATM dentro de un mensaje Ethernet y, a su vez, dentro de un mensaje PPP.</t>
  </si>
  <si>
    <t>Un mensaje PPP dentro de un mensaje ATM y, a su vez, dentro de un mensaje Ethernet</t>
  </si>
  <si>
    <t>Un mensaje ATM dentro de un mensaje PPP y, a su vez, dentro de un mensaje Ethernet</t>
  </si>
  <si>
    <t>La traducción NAT estática no se usa para </t>
  </si>
  <si>
    <t>Asignar una dirección pública cualquiera a un equipo de la red privada</t>
  </si>
  <si>
    <t>Asignar una misma dirección pública a un equipo de la red privada</t>
  </si>
  <si>
    <t>Permitir que un equipo de la red pública se pueda conectar con otro equipo de la red privada</t>
  </si>
  <si>
    <t>Ninguna es correcta</t>
  </si>
  <si>
    <t>Para especificar el rango de direcciones públicas que se pueden asignar a los equipos de una red privada, se usa el comando.</t>
  </si>
  <si>
    <t>ip nat inside source</t>
  </si>
  <si>
    <t>ip nat outside source</t>
  </si>
  <si>
    <t>ip nat pool</t>
  </si>
  <si>
    <t>Para asignar la misma dirección pública a un equipo de la red pricada se usa el comando</t>
  </si>
  <si>
    <t>Para especificar el puerto del encaminador NAT que está conectado con la red pública se usa el comando</t>
  </si>
  <si>
    <t>ip nat inside</t>
  </si>
  <si>
    <t>ip nat outside</t>
  </si>
  <si>
    <t>La asignación APIPA se usa para</t>
  </si>
  <si>
    <t>Establecer la dirección IP de un equipo a través de DHCP</t>
  </si>
  <si>
    <t>Establecer la dirección IP de un equipo cuando ha fallado DHCP</t>
  </si>
  <si>
    <t>Establecer las direcciones públicas de una red con direcciones privadas</t>
  </si>
  <si>
    <t>Para establecer el rango de direcciones que va a asignar un servidor DHCP se usa el comando</t>
  </si>
  <si>
    <t>ip dhcp pool</t>
  </si>
  <si>
    <t>ip dhcp excluded-address</t>
  </si>
  <si>
    <t>access-list dhcp</t>
  </si>
  <si>
    <t>Un programa monitor de red:</t>
  </si>
  <si>
    <t>Comprueba la continuidad de los cables</t>
  </si>
  <si>
    <t>Captura los mensajes y muestra su contenido</t>
  </si>
  <si>
    <t>Muestra estadísticas sobre el tráfico de red</t>
  </si>
  <si>
    <t>Un nivel de ejecución de Linux:</t>
  </si>
  <si>
    <t>Tiene establecida la configuración de los servicios que puede iniciar y ésta no puede ser modificada</t>
  </si>
  <si>
    <t>Hay que acceder a él reiniciando el sistema</t>
  </si>
  <si>
    <t>Puede ser establecido en el arranque del sistema</t>
  </si>
  <si>
    <t>Todas son correctas</t>
  </si>
  <si>
    <t>El comando NSLOOKUP</t>
  </si>
  <si>
    <t>Realiza una consulta para resolver nombres​</t>
  </si>
  <si>
    <t>Comprueba si un equipo tiene conexión a la red</t>
  </si>
  <si>
    <t>Permite modificar la configuración del DNS</t>
  </si>
  <si>
    <t>Ante un problema de acceso a un recuso compartido de la red, lo primero que hay que hacer para detectar la causa es:</t>
  </si>
  <si>
    <t>Comprobar la configuración de red del equipo para ver si es correcta</t>
  </si>
  <si>
    <t>Comprobar los permisos de acceso al recurso</t>
  </si>
  <si>
    <t>Comprobar el rendimiento de la red</t>
  </si>
  <si>
    <t>Comprobar la conexión de cable del equipo con la red</t>
  </si>
  <si>
    <t>El protocolo ICMP</t>
  </si>
  <si>
    <t>Se usa para el envío de mensajes de notificación</t>
  </si>
  <si>
    <t>Se utiliza solamente cuando se produce algún error en la comunicación</t>
  </si>
  <si>
    <t>A y B son correctas</t>
  </si>
  <si>
    <r>
      <t>Un archivo de registro (</t>
    </r>
    <r>
      <rPr>
        <i/>
        <sz val="11"/>
        <color theme="1"/>
        <rFont val="Calibri"/>
        <family val="2"/>
        <scheme val="minor"/>
      </rPr>
      <t>log)</t>
    </r>
  </si>
  <si>
    <t>Almacena la información de configuración del equipo</t>
  </si>
  <si>
    <t>Guarda información relevante durante el funcionamiento del sistema</t>
  </si>
  <si>
    <t>Recopila información sobre los programas instalados</t>
  </si>
  <si>
    <r>
      <t xml:space="preserve">El comando </t>
    </r>
    <r>
      <rPr>
        <i/>
        <sz val="11"/>
        <color theme="1"/>
        <rFont val="Calibri"/>
        <family val="2"/>
        <scheme val="minor"/>
      </rPr>
      <t>ping</t>
    </r>
  </si>
  <si>
    <t>Envía un mensaje ICMP eco al destino​</t>
  </si>
  <si>
    <t>Envía varios mensajes al destino</t>
  </si>
  <si>
    <t>Espera un mensaje de respuesta desde el destino</t>
  </si>
  <si>
    <t>En una red que tiene un rendimiento pobre hay que comprobar si:</t>
  </si>
  <si>
    <t>Los enlaces tienen una longitud excesiva</t>
  </si>
  <si>
    <t>Los conectores se han montado correctamente</t>
  </si>
  <si>
    <t>La categoría del cableado es la recomendada</t>
  </si>
  <si>
    <t>El mensaje “destino no alcanzable” de ICMP se usa para:</t>
  </si>
  <si>
    <t>Notificar que no se encuentra el equipo destino​</t>
  </si>
  <si>
    <t>Notificar que un mensaje ha superado su tiempo de vida</t>
  </si>
  <si>
    <t>Informar de que un mensaje ha sido descartado porque no ha llegado al destino correcto</t>
  </si>
  <si>
    <t>Informar de la existencia de problemas de parámetros en los mensajes</t>
  </si>
  <si>
    <t>Una base de datos MIB contiene</t>
  </si>
  <si>
    <t>Los parámetros de configuración del dispositivo</t>
  </si>
  <si>
    <t>El estado actual de funcionamiento del dispositivo</t>
  </si>
  <si>
    <t>Información para ayudar a resolver problemas de funcionamiento del dispositivo</t>
  </si>
  <si>
    <t>Consultar información sobre el funcionamiento</t>
  </si>
  <si>
    <t>A y B son cierta</t>
  </si>
  <si>
    <t>Definir estándares de redes de comunicación</t>
  </si>
  <si>
    <t>Crear páginas de la World Wide Web</t>
  </si>
  <si>
    <t>Definir protocolos y/o estándares de la World Wide Web</t>
  </si>
  <si>
    <t>B y C son correctas</t>
  </si>
  <si>
    <t>Tiene una topología en malla.</t>
  </si>
  <si>
    <t>Está formada por redes con tecnologías distintas.</t>
  </si>
  <si>
    <t>Funciona con los protocolos de la arquitectura OSI.</t>
  </si>
  <si>
    <t>A y B son correctas.</t>
  </si>
  <si>
    <t>Está formado por varias fibras</t>
  </si>
  <si>
    <t>Todas las fibras tienen un revestimiento común</t>
  </si>
  <si>
    <t>Cada fibra tiene su propio revestimiento</t>
  </si>
  <si>
    <t>a y b son ciertas</t>
  </si>
  <si>
    <t>Aumentar el rendimiento de la red.</t>
  </si>
  <si>
    <t>Conectar redes con distintos protocolos.</t>
  </si>
  <si>
    <t>El acceso a una red de área extensa.</t>
  </si>
  <si>
    <t>El equipo es un servidor al que se conectan los clientes a través de la red</t>
  </si>
  <si>
    <t>Hay un programa en ejecución que está a la espera, enviando o recibiendo información a través de él.</t>
  </si>
  <si>
    <t>A y B son ciertas</t>
  </si>
  <si>
    <t>A y B son falsas</t>
  </si>
  <si>
    <t>Un puerto bien conocido es usado por los programas temporalmente para establecer una comunicación.</t>
  </si>
  <si>
    <t>Un puerto bien conocido está reconocido por un estándar.</t>
  </si>
  <si>
    <t>Un puerto bien conocido lo utilizan la mayoría de los usuarios para la misma aplicación.</t>
  </si>
  <si>
    <t>B y C son correctas.</t>
  </si>
  <si>
    <t>Definir la topología de la red con la que se va a trabajar</t>
  </si>
  <si>
    <t>Establecer las conexiones de los puertos en los equipos</t>
  </si>
  <si>
    <t>Realizar las configuraciones de los dispositivos</t>
  </si>
  <si>
    <t>Ver los colores que aparecen en los extremos de las conexiones</t>
  </si>
  <si>
    <t>Colocarnos con el ratón encima de la conexión</t>
  </si>
  <si>
    <t>Hacer doble clic sobre el equipo y pulsar en la pestaña de “Conexiones”</t>
  </si>
  <si>
    <r>
      <t xml:space="preserve">Un estándar de </t>
    </r>
    <r>
      <rPr>
        <sz val="11"/>
        <rFont val="Calibri"/>
        <family val="2"/>
        <scheme val="minor"/>
      </rPr>
      <t>facto</t>
    </r>
  </si>
  <si>
    <t>La red Internet</t>
  </si>
  <si>
    <t>La ruta mayor proporcionada es:</t>
  </si>
  <si>
    <t>Ip nat inside source static</t>
  </si>
  <si>
    <t>Ip nat outside source static</t>
  </si>
  <si>
    <t>Ip nat inside source list</t>
  </si>
  <si>
    <t>Se usa para establecer un orden de transmisión</t>
  </si>
  <si>
    <r>
      <t xml:space="preserve">Cuál de las siguientes máscara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es correcta</t>
    </r>
  </si>
  <si>
    <t>Si nos piden crear 75 subredes en una red de clase B, cuántos bits tendremos que coger "prestados" de la máscara de 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</si>
</sst>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3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3" fontId="13" fillId="0" borderId="10" xfId="0" applyNumberFormat="1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391</xdr:row>
          <xdr:rowOff>47625</xdr:rowOff>
        </xdr:from>
        <xdr:to>
          <xdr:col>2</xdr:col>
          <xdr:colOff>9991725</xdr:colOff>
          <xdr:row>392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459</xdr:row>
          <xdr:rowOff>0</xdr:rowOff>
        </xdr:from>
        <xdr:to>
          <xdr:col>2</xdr:col>
          <xdr:colOff>9820275</xdr:colOff>
          <xdr:row>460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523</xdr:row>
          <xdr:rowOff>190500</xdr:rowOff>
        </xdr:from>
        <xdr:to>
          <xdr:col>2</xdr:col>
          <xdr:colOff>9791700</xdr:colOff>
          <xdr:row>524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523</xdr:row>
          <xdr:rowOff>200025</xdr:rowOff>
        </xdr:from>
        <xdr:to>
          <xdr:col>2</xdr:col>
          <xdr:colOff>9096375</xdr:colOff>
          <xdr:row>524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459</xdr:row>
          <xdr:rowOff>9525</xdr:rowOff>
        </xdr:from>
        <xdr:to>
          <xdr:col>2</xdr:col>
          <xdr:colOff>9096375</xdr:colOff>
          <xdr:row>460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391</xdr:row>
          <xdr:rowOff>66675</xdr:rowOff>
        </xdr:from>
        <xdr:to>
          <xdr:col>2</xdr:col>
          <xdr:colOff>9296400</xdr:colOff>
          <xdr:row>392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588</xdr:row>
          <xdr:rowOff>76200</xdr:rowOff>
        </xdr:from>
        <xdr:to>
          <xdr:col>2</xdr:col>
          <xdr:colOff>10563225</xdr:colOff>
          <xdr:row>589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588</xdr:row>
          <xdr:rowOff>76200</xdr:rowOff>
        </xdr:from>
        <xdr:to>
          <xdr:col>2</xdr:col>
          <xdr:colOff>9877425</xdr:colOff>
          <xdr:row>589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653</xdr:row>
          <xdr:rowOff>76200</xdr:rowOff>
        </xdr:from>
        <xdr:to>
          <xdr:col>2</xdr:col>
          <xdr:colOff>10563225</xdr:colOff>
          <xdr:row>654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653</xdr:row>
          <xdr:rowOff>76200</xdr:rowOff>
        </xdr:from>
        <xdr:to>
          <xdr:col>2</xdr:col>
          <xdr:colOff>9877425</xdr:colOff>
          <xdr:row>654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718</xdr:row>
          <xdr:rowOff>76200</xdr:rowOff>
        </xdr:from>
        <xdr:to>
          <xdr:col>2</xdr:col>
          <xdr:colOff>10563225</xdr:colOff>
          <xdr:row>719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718</xdr:row>
          <xdr:rowOff>76200</xdr:rowOff>
        </xdr:from>
        <xdr:to>
          <xdr:col>2</xdr:col>
          <xdr:colOff>9877425</xdr:colOff>
          <xdr:row>719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783</xdr:row>
          <xdr:rowOff>76200</xdr:rowOff>
        </xdr:from>
        <xdr:to>
          <xdr:col>2</xdr:col>
          <xdr:colOff>10563225</xdr:colOff>
          <xdr:row>784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783</xdr:row>
          <xdr:rowOff>76200</xdr:rowOff>
        </xdr:from>
        <xdr:to>
          <xdr:col>2</xdr:col>
          <xdr:colOff>9877425</xdr:colOff>
          <xdr:row>784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848</xdr:row>
          <xdr:rowOff>76200</xdr:rowOff>
        </xdr:from>
        <xdr:to>
          <xdr:col>2</xdr:col>
          <xdr:colOff>10563225</xdr:colOff>
          <xdr:row>849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848</xdr:row>
          <xdr:rowOff>76200</xdr:rowOff>
        </xdr:from>
        <xdr:to>
          <xdr:col>2</xdr:col>
          <xdr:colOff>9877425</xdr:colOff>
          <xdr:row>849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851"/>
  <sheetViews>
    <sheetView showGridLines="0" tabSelected="1" zoomScaleNormal="10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5" style="37" customWidth="1"/>
    <col min="7" max="7" width="8.125" style="5" hidden="1" customWidth="1"/>
    <col min="8" max="8" width="11.7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33</v>
      </c>
      <c r="C6" s="132" t="s">
        <v>0</v>
      </c>
      <c r="D6" s="132"/>
      <c r="E6" s="132"/>
      <c r="F6" s="13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3" t="s">
        <v>18</v>
      </c>
      <c r="C7" s="85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4" t="s">
        <v>15</v>
      </c>
      <c r="C8" s="121" t="s">
        <v>35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4" t="s">
        <v>15</v>
      </c>
      <c r="C9" s="121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4" t="s">
        <v>15</v>
      </c>
      <c r="C10" s="121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4" t="s">
        <v>15</v>
      </c>
      <c r="C11" s="121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4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3" t="s">
        <v>17</v>
      </c>
      <c r="C13" s="85" t="s">
        <v>39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4" t="s">
        <v>15</v>
      </c>
      <c r="C14" s="121" t="s">
        <v>40</v>
      </c>
      <c r="D14" s="38"/>
      <c r="E14" s="53" t="s">
        <v>9</v>
      </c>
      <c r="F14" s="25"/>
      <c r="G14" s="17"/>
      <c r="H14" s="19" t="b">
        <f>IF(D17="x",H$2,H$1)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4" t="s">
        <v>15</v>
      </c>
      <c r="C15" s="121" t="s">
        <v>41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4" t="s">
        <v>15</v>
      </c>
      <c r="C16" s="121" t="s">
        <v>42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4" t="s">
        <v>15</v>
      </c>
      <c r="C17" s="121" t="s">
        <v>43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4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3" t="s">
        <v>19</v>
      </c>
      <c r="C19" s="85" t="s">
        <v>44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4" t="s">
        <v>15</v>
      </c>
      <c r="C20" s="121" t="s">
        <v>45</v>
      </c>
      <c r="D20" s="38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4" t="s">
        <v>15</v>
      </c>
      <c r="C21" s="121" t="s">
        <v>46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4" t="s">
        <v>15</v>
      </c>
      <c r="C22" s="121" t="s">
        <v>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4" t="s">
        <v>15</v>
      </c>
      <c r="C23" s="121" t="s">
        <v>48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4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3" t="s">
        <v>20</v>
      </c>
      <c r="C25" s="85" t="s">
        <v>49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4" t="s">
        <v>15</v>
      </c>
      <c r="C26" s="121" t="s">
        <v>50</v>
      </c>
      <c r="D26" s="38"/>
      <c r="E26" s="53" t="s">
        <v>9</v>
      </c>
      <c r="F26" s="25"/>
      <c r="G26" s="17"/>
      <c r="H26" s="19" t="b">
        <f>IF(D27="x",H$2,H$1)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4" t="s">
        <v>15</v>
      </c>
      <c r="C27" s="121" t="s">
        <v>51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4" t="s">
        <v>15</v>
      </c>
      <c r="C28" s="121" t="s">
        <v>52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4" t="s">
        <v>15</v>
      </c>
      <c r="C29" s="121" t="s">
        <v>43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4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3" t="s">
        <v>21</v>
      </c>
      <c r="C31" s="85" t="s">
        <v>53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4" t="s">
        <v>15</v>
      </c>
      <c r="C32" s="121" t="s">
        <v>54</v>
      </c>
      <c r="D32" s="38"/>
      <c r="E32" s="53" t="s">
        <v>9</v>
      </c>
      <c r="F32" s="25"/>
      <c r="G32" s="17"/>
      <c r="H32" s="19" t="b">
        <f>IF(D35="x",H$2,H$1)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4" t="s">
        <v>15</v>
      </c>
      <c r="C33" s="121" t="s">
        <v>55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4" t="s">
        <v>15</v>
      </c>
      <c r="C34" s="121" t="s">
        <v>56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4" t="s">
        <v>15</v>
      </c>
      <c r="C35" s="121" t="s">
        <v>57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4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3" t="s">
        <v>22</v>
      </c>
      <c r="C37" s="85" t="s">
        <v>58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4" t="s">
        <v>15</v>
      </c>
      <c r="C38" s="121" t="s">
        <v>59</v>
      </c>
      <c r="D38" s="38"/>
      <c r="E38" s="53" t="s">
        <v>9</v>
      </c>
      <c r="F38" s="25"/>
      <c r="G38" s="17"/>
      <c r="H38" s="19" t="b">
        <f>IF(D38="x",H$2,H$1)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4" t="s">
        <v>15</v>
      </c>
      <c r="C39" s="121" t="s">
        <v>60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4" t="s">
        <v>15</v>
      </c>
      <c r="C40" s="121" t="s">
        <v>61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4" t="s">
        <v>15</v>
      </c>
      <c r="C41" s="121" t="s">
        <v>62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4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3" t="s">
        <v>23</v>
      </c>
      <c r="C43" s="85" t="s">
        <v>600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4" t="s">
        <v>15</v>
      </c>
      <c r="C44" s="121" t="s">
        <v>63</v>
      </c>
      <c r="D44" s="38"/>
      <c r="E44" s="53" t="s">
        <v>9</v>
      </c>
      <c r="F44" s="25"/>
      <c r="G44" s="17"/>
      <c r="H44" s="19" t="b">
        <f>IF(D47="x",H$2,H$1)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4" t="s">
        <v>15</v>
      </c>
      <c r="C45" s="121" t="s">
        <v>64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4" t="s">
        <v>15</v>
      </c>
      <c r="C46" s="121" t="s">
        <v>65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4" t="s">
        <v>15</v>
      </c>
      <c r="C47" s="121" t="s">
        <v>62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4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3" t="s">
        <v>24</v>
      </c>
      <c r="C49" s="85" t="s">
        <v>66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4" t="s">
        <v>15</v>
      </c>
      <c r="C50" s="121" t="s">
        <v>571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4" t="s">
        <v>15</v>
      </c>
      <c r="C51" s="121" t="s">
        <v>572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4" t="s">
        <v>15</v>
      </c>
      <c r="C52" s="121" t="s">
        <v>573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4" t="s">
        <v>15</v>
      </c>
      <c r="C53" s="121" t="s">
        <v>574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4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3" t="s">
        <v>29</v>
      </c>
      <c r="C55" s="85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4" t="s">
        <v>15</v>
      </c>
      <c r="C56" s="121" t="s">
        <v>68</v>
      </c>
      <c r="D56" s="38"/>
      <c r="E56" s="53" t="s">
        <v>9</v>
      </c>
      <c r="F56" s="25"/>
      <c r="G56" s="17"/>
      <c r="H56" s="19" t="b">
        <f>IF(D59="x",H$2,H$1)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4" t="s">
        <v>15</v>
      </c>
      <c r="C57" s="121" t="s">
        <v>69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4" t="s">
        <v>15</v>
      </c>
      <c r="C58" s="121" t="s">
        <v>70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4" t="s">
        <v>15</v>
      </c>
      <c r="C59" s="121" t="s">
        <v>62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4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3" t="s">
        <v>27</v>
      </c>
      <c r="C61" s="85" t="s">
        <v>71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4" t="s">
        <v>15</v>
      </c>
      <c r="C62" s="121" t="s">
        <v>72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4" t="s">
        <v>15</v>
      </c>
      <c r="C63" s="121" t="s">
        <v>73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4" t="s">
        <v>15</v>
      </c>
      <c r="C64" s="121" t="s">
        <v>74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4" t="s">
        <v>15</v>
      </c>
      <c r="C65" s="121" t="s">
        <v>62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4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6"/>
      <c r="D69" s="131"/>
      <c r="E69" s="13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33</v>
      </c>
      <c r="C71" s="132" t="s">
        <v>115</v>
      </c>
      <c r="D71" s="132"/>
      <c r="E71" s="132"/>
      <c r="F71" s="13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3" t="s">
        <v>18</v>
      </c>
      <c r="C72" s="85" t="s">
        <v>75</v>
      </c>
      <c r="D72" s="39"/>
      <c r="E72" s="52"/>
      <c r="F72" s="27"/>
      <c r="G72" s="13"/>
      <c r="H72" s="13"/>
    </row>
    <row r="73" spans="1:40" x14ac:dyDescent="0.25">
      <c r="B73" s="84" t="s">
        <v>15</v>
      </c>
      <c r="C73" s="121" t="s">
        <v>76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4" t="s">
        <v>15</v>
      </c>
      <c r="C74" s="121" t="s">
        <v>77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4" t="s">
        <v>15</v>
      </c>
      <c r="C75" s="121" t="s">
        <v>78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4" t="s">
        <v>15</v>
      </c>
      <c r="C76" s="121" t="s">
        <v>38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3" t="s">
        <v>17</v>
      </c>
      <c r="C78" s="85" t="s">
        <v>79</v>
      </c>
      <c r="D78" s="39"/>
      <c r="E78" s="52"/>
      <c r="F78" s="27"/>
      <c r="G78" s="13"/>
      <c r="H78" s="13"/>
    </row>
    <row r="79" spans="1:40" x14ac:dyDescent="0.25">
      <c r="B79" s="84" t="s">
        <v>15</v>
      </c>
      <c r="C79" s="121" t="s">
        <v>80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4" t="s">
        <v>15</v>
      </c>
      <c r="C80" s="121" t="s">
        <v>81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4" t="s">
        <v>15</v>
      </c>
      <c r="C81" s="121" t="s">
        <v>82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4" t="s">
        <v>15</v>
      </c>
      <c r="C82" s="121" t="s">
        <v>83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9"/>
      <c r="B84" s="83" t="s">
        <v>19</v>
      </c>
      <c r="C84" s="85" t="s">
        <v>84</v>
      </c>
      <c r="D84" s="58"/>
      <c r="E84" s="56"/>
      <c r="F84" s="50"/>
      <c r="G84" s="47"/>
      <c r="H84" s="47"/>
    </row>
    <row r="85" spans="1:40" x14ac:dyDescent="0.25">
      <c r="B85" s="84" t="s">
        <v>15</v>
      </c>
      <c r="C85" s="121" t="s">
        <v>85</v>
      </c>
      <c r="D85" s="38"/>
      <c r="E85" s="53" t="s">
        <v>9</v>
      </c>
      <c r="F85" s="25"/>
      <c r="G85" s="17"/>
      <c r="H85" s="19" t="b">
        <f>IF(D87="x",H$2,H$1)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4" t="s">
        <v>15</v>
      </c>
      <c r="C86" s="121" t="s">
        <v>86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4" t="s">
        <v>15</v>
      </c>
      <c r="C87" s="121" t="s">
        <v>606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4" t="s">
        <v>15</v>
      </c>
      <c r="C88" s="121" t="s">
        <v>62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3" t="s">
        <v>20</v>
      </c>
      <c r="C90" s="85" t="s">
        <v>87</v>
      </c>
      <c r="D90" s="39"/>
      <c r="E90" s="52"/>
      <c r="F90" s="27"/>
      <c r="G90" s="13"/>
      <c r="H90" s="13"/>
    </row>
    <row r="91" spans="1:40" x14ac:dyDescent="0.25">
      <c r="B91" s="84" t="s">
        <v>15</v>
      </c>
      <c r="C91" s="121" t="s">
        <v>88</v>
      </c>
      <c r="D91" s="38"/>
      <c r="E91" s="53" t="s">
        <v>9</v>
      </c>
      <c r="F91" s="25"/>
      <c r="G91" s="17"/>
      <c r="H91" s="19" t="b">
        <f>IF(D92="x",H$2,H$1)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4" t="s">
        <v>15</v>
      </c>
      <c r="C92" s="121" t="s">
        <v>89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4" t="s">
        <v>15</v>
      </c>
      <c r="C93" s="121" t="s">
        <v>90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4" t="s">
        <v>15</v>
      </c>
      <c r="C94" s="121" t="s">
        <v>91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3" t="s">
        <v>21</v>
      </c>
      <c r="C96" s="85" t="s">
        <v>92</v>
      </c>
      <c r="D96" s="39"/>
      <c r="E96" s="52"/>
      <c r="F96" s="27"/>
      <c r="G96" s="13"/>
      <c r="H96" s="13"/>
    </row>
    <row r="97" spans="1:40" x14ac:dyDescent="0.25">
      <c r="B97" s="84" t="s">
        <v>15</v>
      </c>
      <c r="C97" s="121" t="s">
        <v>93</v>
      </c>
      <c r="D97" s="38"/>
      <c r="E97" s="53" t="s">
        <v>9</v>
      </c>
      <c r="F97" s="25"/>
      <c r="G97" s="17"/>
      <c r="H97" s="19" t="b">
        <f>IF(D100="x",H$2,H$1)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4" t="s">
        <v>15</v>
      </c>
      <c r="C98" s="121" t="s">
        <v>94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4" t="s">
        <v>15</v>
      </c>
      <c r="C99" s="121" t="s">
        <v>95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4" t="s">
        <v>15</v>
      </c>
      <c r="C100" s="121" t="s">
        <v>96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3" t="s">
        <v>22</v>
      </c>
      <c r="C102" s="85" t="s">
        <v>97</v>
      </c>
      <c r="D102" s="39"/>
      <c r="E102" s="52"/>
      <c r="F102" s="27"/>
      <c r="G102" s="13"/>
      <c r="H102" s="13"/>
    </row>
    <row r="103" spans="1:40" x14ac:dyDescent="0.25">
      <c r="B103" s="84" t="s">
        <v>15</v>
      </c>
      <c r="C103" s="121" t="s">
        <v>98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4" t="s">
        <v>15</v>
      </c>
      <c r="C104" s="121" t="s">
        <v>99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4" t="s">
        <v>15</v>
      </c>
      <c r="C105" s="121" t="s">
        <v>100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4" t="s">
        <v>15</v>
      </c>
      <c r="C106" s="121" t="s">
        <v>101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3" t="s">
        <v>23</v>
      </c>
      <c r="C108" s="85" t="s">
        <v>102</v>
      </c>
      <c r="D108" s="39"/>
      <c r="E108" s="52"/>
      <c r="F108" s="27"/>
      <c r="G108" s="13"/>
      <c r="H108" s="13"/>
    </row>
    <row r="109" spans="1:40" x14ac:dyDescent="0.25">
      <c r="B109" s="84" t="s">
        <v>15</v>
      </c>
      <c r="C109" s="121" t="s">
        <v>103</v>
      </c>
      <c r="D109" s="38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4" t="s">
        <v>15</v>
      </c>
      <c r="C110" s="121" t="s">
        <v>104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4" t="s">
        <v>15</v>
      </c>
      <c r="C111" s="121" t="s">
        <v>105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4" t="s">
        <v>15</v>
      </c>
      <c r="C112" s="121" t="s">
        <v>62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3" t="s">
        <v>24</v>
      </c>
      <c r="C114" s="85" t="s">
        <v>601</v>
      </c>
      <c r="D114" s="39"/>
      <c r="E114" s="52"/>
      <c r="F114" s="27"/>
      <c r="G114" s="13"/>
      <c r="H114" s="13"/>
    </row>
    <row r="115" spans="1:40" x14ac:dyDescent="0.25">
      <c r="B115" s="84" t="s">
        <v>15</v>
      </c>
      <c r="C115" s="121" t="s">
        <v>575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4" t="s">
        <v>15</v>
      </c>
      <c r="C116" s="121" t="s">
        <v>576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4" t="s">
        <v>15</v>
      </c>
      <c r="C117" s="121" t="s">
        <v>577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4" t="s">
        <v>15</v>
      </c>
      <c r="C118" s="121" t="s">
        <v>578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3" t="s">
        <v>25</v>
      </c>
      <c r="C120" s="85" t="s">
        <v>106</v>
      </c>
      <c r="D120" s="39"/>
      <c r="E120" s="52"/>
      <c r="F120" s="27"/>
      <c r="G120" s="13"/>
      <c r="H120" s="13"/>
    </row>
    <row r="121" spans="1:40" x14ac:dyDescent="0.25">
      <c r="B121" s="84" t="s">
        <v>15</v>
      </c>
      <c r="C121" s="121" t="s">
        <v>107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4" t="s">
        <v>15</v>
      </c>
      <c r="C122" s="121" t="s">
        <v>108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4" t="s">
        <v>15</v>
      </c>
      <c r="C123" s="121" t="s">
        <v>109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4" t="s">
        <v>15</v>
      </c>
      <c r="C124" s="121" t="s">
        <v>62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3" t="s">
        <v>26</v>
      </c>
      <c r="C126" s="85" t="s">
        <v>110</v>
      </c>
      <c r="D126" s="39"/>
      <c r="E126" s="52"/>
      <c r="F126" s="27"/>
      <c r="G126" s="26"/>
      <c r="H126" s="13"/>
    </row>
    <row r="127" spans="1:40" x14ac:dyDescent="0.25">
      <c r="B127" s="84" t="s">
        <v>15</v>
      </c>
      <c r="C127" s="121" t="s">
        <v>111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4" t="s">
        <v>15</v>
      </c>
      <c r="C128" s="121" t="s">
        <v>112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4" t="s">
        <v>15</v>
      </c>
      <c r="C129" s="121" t="s">
        <v>113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4" t="s">
        <v>15</v>
      </c>
      <c r="C130" s="121" t="s">
        <v>96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33</v>
      </c>
      <c r="C136" s="116" t="s">
        <v>114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9"/>
      <c r="B137" s="83" t="s">
        <v>18</v>
      </c>
      <c r="C137" s="85" t="s">
        <v>116</v>
      </c>
      <c r="D137" s="71"/>
      <c r="E137" s="47"/>
      <c r="F137" s="72"/>
      <c r="G137" s="47"/>
      <c r="H137" s="47"/>
    </row>
    <row r="138" spans="1:40" x14ac:dyDescent="0.25">
      <c r="B138" s="84" t="s">
        <v>15</v>
      </c>
      <c r="C138" s="121" t="s">
        <v>117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4" t="s">
        <v>15</v>
      </c>
      <c r="C139" s="121" t="s">
        <v>118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4" t="s">
        <v>15</v>
      </c>
      <c r="C140" s="121" t="s">
        <v>119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4" t="s">
        <v>15</v>
      </c>
      <c r="C141" s="121" t="s">
        <v>120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121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9"/>
      <c r="C143" s="121"/>
      <c r="D143" s="38"/>
      <c r="E143" s="53"/>
      <c r="F143" s="25"/>
      <c r="G143" s="17"/>
      <c r="H143" s="17"/>
    </row>
    <row r="144" spans="1:40" x14ac:dyDescent="0.25">
      <c r="B144" s="83" t="s">
        <v>17</v>
      </c>
      <c r="C144" s="85" t="s">
        <v>121</v>
      </c>
      <c r="D144" s="78"/>
      <c r="E144" s="52"/>
      <c r="F144" s="27"/>
      <c r="G144" s="13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4" t="s">
        <v>15</v>
      </c>
      <c r="C145" s="121" t="s">
        <v>122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4" t="s">
        <v>15</v>
      </c>
      <c r="C146" s="121" t="s">
        <v>123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4" t="s">
        <v>15</v>
      </c>
      <c r="C147" s="121" t="s">
        <v>124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4" t="s">
        <v>15</v>
      </c>
      <c r="C148" s="24" t="s">
        <v>38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9"/>
      <c r="B149" s="83" t="s">
        <v>19</v>
      </c>
      <c r="C149" s="85" t="s">
        <v>125</v>
      </c>
      <c r="D149" s="78"/>
      <c r="E149" s="52"/>
      <c r="F149" s="27"/>
      <c r="G149" s="13"/>
      <c r="H149" s="13"/>
    </row>
    <row r="150" spans="1:40" x14ac:dyDescent="0.25">
      <c r="B150" s="84" t="s">
        <v>15</v>
      </c>
      <c r="C150" s="121" t="s">
        <v>126</v>
      </c>
      <c r="D150" s="38"/>
      <c r="E150" s="53" t="s">
        <v>9</v>
      </c>
      <c r="F150" s="25"/>
      <c r="G150" s="17"/>
      <c r="H150" s="19" t="b">
        <f>IF(D153="x",H$2,H$1)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4" t="s">
        <v>15</v>
      </c>
      <c r="C151" s="121" t="s">
        <v>127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4" t="s">
        <v>15</v>
      </c>
      <c r="C152" s="121" t="s">
        <v>128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4" t="s">
        <v>15</v>
      </c>
      <c r="C153" s="121" t="s">
        <v>96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3" t="s">
        <v>20</v>
      </c>
      <c r="C155" s="85" t="s">
        <v>129</v>
      </c>
      <c r="D155" s="78"/>
      <c r="E155" s="52"/>
      <c r="F155" s="27"/>
      <c r="G155" s="13"/>
      <c r="H155" s="13"/>
    </row>
    <row r="156" spans="1:40" ht="17.25" customHeight="1" x14ac:dyDescent="0.25">
      <c r="B156" s="84" t="s">
        <v>15</v>
      </c>
      <c r="C156" s="129" t="s">
        <v>130</v>
      </c>
      <c r="D156" s="38"/>
      <c r="E156" s="53" t="s">
        <v>9</v>
      </c>
      <c r="F156" s="25"/>
      <c r="G156" s="17"/>
      <c r="H156" s="19" t="b">
        <f>IF(D157="x",H$2,H$1)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4" t="s">
        <v>15</v>
      </c>
      <c r="C157" s="121" t="s">
        <v>131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4" t="s">
        <v>15</v>
      </c>
      <c r="C158" s="121" t="s">
        <v>132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4" t="s">
        <v>15</v>
      </c>
      <c r="C159" s="121" t="s">
        <v>83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0" t="s">
        <v>21</v>
      </c>
      <c r="C161" s="85" t="s">
        <v>133</v>
      </c>
      <c r="D161" s="78"/>
      <c r="E161" s="52"/>
      <c r="F161" s="27"/>
      <c r="G161" s="13"/>
      <c r="H161" s="13"/>
    </row>
    <row r="162" spans="1:40" x14ac:dyDescent="0.25">
      <c r="B162" s="84" t="s">
        <v>15</v>
      </c>
      <c r="C162" s="121" t="s">
        <v>134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4" t="s">
        <v>15</v>
      </c>
      <c r="C163" s="121" t="s">
        <v>135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4" t="s">
        <v>15</v>
      </c>
      <c r="C164" s="121" t="s">
        <v>136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4" t="s">
        <v>15</v>
      </c>
      <c r="C165" s="121" t="s">
        <v>137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0" t="s">
        <v>22</v>
      </c>
      <c r="C167" s="85" t="s">
        <v>138</v>
      </c>
      <c r="D167" s="78"/>
      <c r="E167" s="52"/>
      <c r="F167" s="27"/>
      <c r="G167" s="13"/>
      <c r="H167" s="13"/>
    </row>
    <row r="168" spans="1:40" x14ac:dyDescent="0.25">
      <c r="B168" s="84" t="s">
        <v>15</v>
      </c>
      <c r="C168" s="121" t="s">
        <v>579</v>
      </c>
      <c r="D168" s="38"/>
      <c r="E168" s="53" t="s">
        <v>9</v>
      </c>
      <c r="F168" s="25"/>
      <c r="G168" s="17"/>
      <c r="H168" s="19" t="b">
        <f>IF(D171="x",H$2,H$1)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4" t="s">
        <v>15</v>
      </c>
      <c r="C169" s="121" t="s">
        <v>580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4" t="s">
        <v>15</v>
      </c>
      <c r="C170" s="121" t="s">
        <v>581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4" t="s">
        <v>15</v>
      </c>
      <c r="C171" s="121" t="s">
        <v>582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0" t="s">
        <v>23</v>
      </c>
      <c r="C173" s="85" t="s">
        <v>139</v>
      </c>
      <c r="D173" s="78"/>
      <c r="E173" s="52"/>
      <c r="F173" s="27"/>
      <c r="G173" s="13"/>
      <c r="H173" s="13"/>
    </row>
    <row r="174" spans="1:40" s="34" customFormat="1" x14ac:dyDescent="0.25">
      <c r="A174" s="4"/>
      <c r="B174" s="84" t="s">
        <v>15</v>
      </c>
      <c r="C174" s="121" t="s">
        <v>140</v>
      </c>
      <c r="D174" s="38"/>
      <c r="E174" s="53" t="s">
        <v>9</v>
      </c>
      <c r="F174" s="25"/>
      <c r="G174" s="17"/>
      <c r="H174" s="19" t="b">
        <f>IF(D176="x",H$2,H$1)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4" t="s">
        <v>15</v>
      </c>
      <c r="C175" s="121" t="s">
        <v>141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4" t="s">
        <v>15</v>
      </c>
      <c r="C176" s="121" t="s">
        <v>142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4" t="s">
        <v>15</v>
      </c>
      <c r="C177" s="121" t="s">
        <v>62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0" t="s">
        <v>24</v>
      </c>
      <c r="C179" s="85" t="s">
        <v>143</v>
      </c>
      <c r="D179" s="39"/>
      <c r="E179" s="52"/>
      <c r="F179" s="27"/>
      <c r="G179" s="13"/>
      <c r="H179" s="13"/>
    </row>
    <row r="180" spans="1:40" x14ac:dyDescent="0.25">
      <c r="B180" s="84" t="s">
        <v>15</v>
      </c>
      <c r="C180" s="121" t="s">
        <v>144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4" t="s">
        <v>15</v>
      </c>
      <c r="C181" s="121" t="s">
        <v>145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4" t="s">
        <v>15</v>
      </c>
      <c r="C182" s="121" t="s">
        <v>146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4" t="s">
        <v>15</v>
      </c>
      <c r="C183" s="121" t="s">
        <v>83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0" t="s">
        <v>25</v>
      </c>
      <c r="C185" s="85" t="s">
        <v>147</v>
      </c>
      <c r="D185" s="39"/>
      <c r="E185" s="52"/>
      <c r="F185" s="27"/>
      <c r="G185" s="13"/>
      <c r="H185" s="13"/>
    </row>
    <row r="186" spans="1:40" x14ac:dyDescent="0.25">
      <c r="B186" s="84" t="s">
        <v>15</v>
      </c>
      <c r="C186" s="121" t="s">
        <v>148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4" t="s">
        <v>15</v>
      </c>
      <c r="C187" s="121" t="s">
        <v>149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4" t="s">
        <v>15</v>
      </c>
      <c r="C188" s="121" t="s">
        <v>150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4" t="s">
        <v>15</v>
      </c>
      <c r="C189" s="121" t="s">
        <v>62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0" t="s">
        <v>27</v>
      </c>
      <c r="C191" s="85" t="s">
        <v>151</v>
      </c>
      <c r="D191" s="39"/>
      <c r="E191" s="52"/>
      <c r="F191" s="27"/>
      <c r="G191" s="26"/>
      <c r="H191" s="13"/>
    </row>
    <row r="192" spans="1:40" x14ac:dyDescent="0.25">
      <c r="B192" s="84" t="s">
        <v>15</v>
      </c>
      <c r="C192" s="121" t="s">
        <v>152</v>
      </c>
      <c r="D192" s="38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4" t="s">
        <v>15</v>
      </c>
      <c r="C193" s="121" t="s">
        <v>153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4" t="s">
        <v>15</v>
      </c>
      <c r="C194" s="121" t="s">
        <v>154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4" t="s">
        <v>15</v>
      </c>
      <c r="C195" s="121" t="s">
        <v>155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1" t="s">
        <v>33</v>
      </c>
      <c r="C201" s="116" t="s">
        <v>156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0" t="s">
        <v>18</v>
      </c>
      <c r="C202" s="85" t="s">
        <v>157</v>
      </c>
      <c r="D202" s="39"/>
      <c r="E202" s="52"/>
      <c r="F202" s="27"/>
      <c r="G202" s="13"/>
      <c r="H202" s="13"/>
    </row>
    <row r="203" spans="1:40" x14ac:dyDescent="0.25">
      <c r="B203" s="84" t="s">
        <v>15</v>
      </c>
      <c r="C203" s="121" t="s">
        <v>158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4" t="s">
        <v>15</v>
      </c>
      <c r="C204" s="121" t="s">
        <v>159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4" t="s">
        <v>15</v>
      </c>
      <c r="C205" s="121" t="s">
        <v>160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4" t="s">
        <v>15</v>
      </c>
      <c r="C206" s="121" t="s">
        <v>38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2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0" t="s">
        <v>28</v>
      </c>
      <c r="C208" s="85" t="s">
        <v>161</v>
      </c>
      <c r="D208" s="39"/>
      <c r="E208" s="52"/>
      <c r="F208" s="27"/>
      <c r="G208" s="13"/>
      <c r="H208" s="13"/>
    </row>
    <row r="209" spans="1:40" x14ac:dyDescent="0.25">
      <c r="B209" s="84" t="s">
        <v>15</v>
      </c>
      <c r="C209" s="121" t="s">
        <v>162</v>
      </c>
      <c r="D209" s="38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4" t="s">
        <v>15</v>
      </c>
      <c r="C210" s="121" t="s">
        <v>163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4" t="s">
        <v>15</v>
      </c>
      <c r="C211" s="121" t="s">
        <v>164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4" t="s">
        <v>15</v>
      </c>
      <c r="C212" s="121" t="s">
        <v>38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0" t="s">
        <v>19</v>
      </c>
      <c r="C214" s="85" t="s">
        <v>165</v>
      </c>
      <c r="D214" s="39"/>
      <c r="E214" s="52"/>
      <c r="F214" s="27"/>
      <c r="G214" s="13"/>
      <c r="H214" s="13"/>
    </row>
    <row r="215" spans="1:40" x14ac:dyDescent="0.25">
      <c r="B215" s="84" t="s">
        <v>15</v>
      </c>
      <c r="C215" s="121" t="s">
        <v>166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4" t="s">
        <v>15</v>
      </c>
      <c r="C216" s="121" t="s">
        <v>167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4" t="s">
        <v>15</v>
      </c>
      <c r="C217" s="121" t="s">
        <v>168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4" t="s">
        <v>15</v>
      </c>
      <c r="C218" s="121" t="s">
        <v>169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0" t="s">
        <v>20</v>
      </c>
      <c r="C220" s="85" t="s">
        <v>170</v>
      </c>
      <c r="D220" s="39"/>
      <c r="E220" s="52"/>
      <c r="F220" s="27"/>
      <c r="G220" s="13"/>
      <c r="H220" s="13"/>
    </row>
    <row r="221" spans="1:40" x14ac:dyDescent="0.25">
      <c r="B221" s="84" t="s">
        <v>15</v>
      </c>
      <c r="C221" s="121" t="s">
        <v>171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4" t="s">
        <v>15</v>
      </c>
      <c r="C222" s="121" t="s">
        <v>172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4" t="s">
        <v>15</v>
      </c>
      <c r="C223" s="121" t="s">
        <v>173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4" t="s">
        <v>15</v>
      </c>
      <c r="C224" s="121" t="s">
        <v>38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0" t="s">
        <v>21</v>
      </c>
      <c r="C226" s="85" t="s">
        <v>174</v>
      </c>
      <c r="D226" s="39"/>
      <c r="E226" s="52"/>
      <c r="F226" s="27"/>
      <c r="G226" s="13"/>
      <c r="H226" s="13"/>
    </row>
    <row r="227" spans="1:40" x14ac:dyDescent="0.25">
      <c r="B227" s="84" t="s">
        <v>15</v>
      </c>
      <c r="C227" s="121" t="s">
        <v>583</v>
      </c>
      <c r="D227" s="38"/>
      <c r="E227" s="53" t="s">
        <v>9</v>
      </c>
      <c r="F227" s="25"/>
      <c r="G227" s="17"/>
      <c r="H227" s="19" t="b">
        <f>IF(D227="x",H$2,H$1)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4" t="s">
        <v>15</v>
      </c>
      <c r="C228" s="121" t="s">
        <v>584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4" t="s">
        <v>15</v>
      </c>
      <c r="C229" s="121" t="s">
        <v>585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4" t="s">
        <v>15</v>
      </c>
      <c r="C230" s="121" t="s">
        <v>578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0" t="s">
        <v>22</v>
      </c>
      <c r="C232" s="85" t="s">
        <v>175</v>
      </c>
      <c r="D232" s="39"/>
      <c r="E232" s="52"/>
      <c r="F232" s="27"/>
      <c r="G232" s="13"/>
      <c r="H232" s="13"/>
    </row>
    <row r="233" spans="1:40" x14ac:dyDescent="0.25">
      <c r="B233" s="84" t="s">
        <v>15</v>
      </c>
      <c r="C233" s="121" t="s">
        <v>176</v>
      </c>
      <c r="D233" s="38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4" t="s">
        <v>15</v>
      </c>
      <c r="C234" s="121" t="s">
        <v>177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4" t="s">
        <v>15</v>
      </c>
      <c r="C235" s="121" t="s">
        <v>178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4" t="s">
        <v>15</v>
      </c>
      <c r="C236" s="121" t="s">
        <v>62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0" t="s">
        <v>23</v>
      </c>
      <c r="C238" s="85" t="s">
        <v>179</v>
      </c>
      <c r="D238" s="39"/>
      <c r="E238" s="52"/>
      <c r="F238" s="27"/>
      <c r="G238" s="13"/>
      <c r="H238" s="13"/>
    </row>
    <row r="239" spans="1:40" x14ac:dyDescent="0.25">
      <c r="B239" s="84" t="s">
        <v>15</v>
      </c>
      <c r="C239" s="121" t="s">
        <v>180</v>
      </c>
      <c r="D239" s="38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4" t="s">
        <v>15</v>
      </c>
      <c r="C240" s="121" t="s">
        <v>181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4" t="s">
        <v>15</v>
      </c>
      <c r="C241" s="121" t="s">
        <v>182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4" t="s">
        <v>15</v>
      </c>
      <c r="C242" s="121" t="s">
        <v>96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0" t="s">
        <v>24</v>
      </c>
      <c r="C244" s="85" t="s">
        <v>183</v>
      </c>
      <c r="D244" s="39"/>
      <c r="E244" s="52"/>
      <c r="F244" s="27"/>
      <c r="G244" s="13"/>
      <c r="H244" s="13"/>
    </row>
    <row r="245" spans="1:40" x14ac:dyDescent="0.25">
      <c r="B245" s="84" t="s">
        <v>15</v>
      </c>
      <c r="C245" s="121" t="s">
        <v>184</v>
      </c>
      <c r="D245" s="38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4" t="s">
        <v>15</v>
      </c>
      <c r="C246" s="121" t="s">
        <v>185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4" t="s">
        <v>15</v>
      </c>
      <c r="C247" s="121" t="s">
        <v>186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4" t="s">
        <v>15</v>
      </c>
      <c r="C248" s="121" t="s">
        <v>62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0" t="s">
        <v>29</v>
      </c>
      <c r="C250" s="85" t="s">
        <v>187</v>
      </c>
      <c r="D250" s="39"/>
      <c r="E250" s="52"/>
      <c r="F250" s="27"/>
      <c r="G250" s="13"/>
      <c r="H250" s="13"/>
    </row>
    <row r="251" spans="1:40" x14ac:dyDescent="0.25">
      <c r="B251" s="84" t="s">
        <v>15</v>
      </c>
      <c r="C251" s="121" t="s">
        <v>188</v>
      </c>
      <c r="D251" s="38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4" t="s">
        <v>15</v>
      </c>
      <c r="C252" s="121" t="s">
        <v>189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4" t="s">
        <v>15</v>
      </c>
      <c r="C253" s="121" t="s">
        <v>190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4" t="s">
        <v>15</v>
      </c>
      <c r="C254" s="121" t="s">
        <v>96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9.25" customHeight="1" x14ac:dyDescent="0.25">
      <c r="A256" s="4"/>
      <c r="B256" s="120" t="s">
        <v>27</v>
      </c>
      <c r="C256" s="85" t="s">
        <v>191</v>
      </c>
      <c r="D256" s="39"/>
      <c r="E256" s="52"/>
      <c r="F256" s="27"/>
      <c r="G256" s="26"/>
      <c r="H256" s="13"/>
    </row>
    <row r="257" spans="1:40" x14ac:dyDescent="0.25">
      <c r="B257" s="84" t="s">
        <v>15</v>
      </c>
      <c r="C257" s="121" t="s">
        <v>192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4" t="s">
        <v>15</v>
      </c>
      <c r="C258" s="121" t="s">
        <v>193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4" t="s">
        <v>15</v>
      </c>
      <c r="C259" s="121" t="s">
        <v>194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4" t="s">
        <v>15</v>
      </c>
      <c r="C260" s="121" t="s">
        <v>195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1"/>
      <c r="C266" s="88"/>
      <c r="D266" s="89"/>
      <c r="E266" s="89"/>
      <c r="F266" s="89"/>
    </row>
    <row r="267" spans="1:40" s="4" customFormat="1" hidden="1" x14ac:dyDescent="0.25">
      <c r="B267" s="17"/>
      <c r="C267" s="17"/>
      <c r="D267" s="48"/>
      <c r="E267" s="53"/>
      <c r="F267" s="92"/>
      <c r="G267" s="17"/>
      <c r="H267" s="17"/>
    </row>
    <row r="268" spans="1:40" s="4" customFormat="1" hidden="1" x14ac:dyDescent="0.25">
      <c r="B268" s="93"/>
      <c r="C268" s="16"/>
      <c r="D268" s="48"/>
      <c r="E268" s="53"/>
      <c r="F268" s="92"/>
      <c r="G268" s="17"/>
      <c r="H268" s="90"/>
    </row>
    <row r="269" spans="1:40" s="74" customFormat="1" ht="14.1" hidden="1" customHeight="1" thickBot="1" x14ac:dyDescent="0.3">
      <c r="B269" s="94"/>
      <c r="C269" s="94"/>
      <c r="D269" s="95"/>
      <c r="E269" s="96"/>
      <c r="F269" s="97"/>
      <c r="G269" s="73"/>
      <c r="H269" s="90"/>
    </row>
    <row r="270" spans="1:40" s="15" customFormat="1" ht="29.1" customHeight="1" x14ac:dyDescent="0.45">
      <c r="A270" s="4"/>
      <c r="B270" s="61" t="s">
        <v>33</v>
      </c>
      <c r="C270" s="116" t="s">
        <v>196</v>
      </c>
      <c r="D270" s="62"/>
      <c r="E270" s="62"/>
      <c r="F270" s="87"/>
      <c r="G270" s="17"/>
      <c r="H270" s="99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0" t="s">
        <v>18</v>
      </c>
      <c r="C271" s="85" t="s">
        <v>197</v>
      </c>
      <c r="D271" s="39"/>
      <c r="E271" s="52"/>
      <c r="F271" s="27"/>
      <c r="G271" s="17"/>
      <c r="H271" s="90" t="b">
        <f>IF(D273="x",H$2,H$1)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4" t="s">
        <v>15</v>
      </c>
      <c r="C272" s="121" t="s">
        <v>198</v>
      </c>
      <c r="D272" s="102"/>
      <c r="E272" s="105" t="s">
        <v>9</v>
      </c>
      <c r="F272" s="107"/>
      <c r="G272" s="17"/>
      <c r="H272" s="90" t="str">
        <f>IF(E$391="comprobar",COUNTIF(D272:D276,"x"),"")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4" t="s">
        <v>15</v>
      </c>
      <c r="C273" s="121" t="s">
        <v>199</v>
      </c>
      <c r="D273" s="102"/>
      <c r="E273" s="105" t="s">
        <v>10</v>
      </c>
      <c r="F273" s="104" t="str">
        <f>IF(H273=1,IF(H271=H$2,H271,""),"")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4" t="s">
        <v>15</v>
      </c>
      <c r="C274" s="121" t="s">
        <v>200</v>
      </c>
      <c r="D274" s="102"/>
      <c r="E274" s="105" t="s">
        <v>11</v>
      </c>
      <c r="F274" s="106" t="str">
        <f>IF(H273=-0.33,IF(H271=H$1,H271,""),"")</f>
        <v/>
      </c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4" t="s">
        <v>15</v>
      </c>
      <c r="C275" s="121" t="s">
        <v>96</v>
      </c>
      <c r="D275" s="102"/>
      <c r="E275" s="105" t="s">
        <v>12</v>
      </c>
      <c r="F275" s="107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4"/>
      <c r="C276" s="24"/>
      <c r="D276" s="102"/>
      <c r="E276" s="105" t="s">
        <v>13</v>
      </c>
      <c r="F276" s="107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0" t="s">
        <v>17</v>
      </c>
      <c r="C277" s="85" t="s">
        <v>201</v>
      </c>
      <c r="D277" s="39"/>
      <c r="E277" s="52"/>
      <c r="F277" s="27"/>
      <c r="G277" s="13"/>
      <c r="H277" s="13"/>
    </row>
    <row r="278" spans="1:40" x14ac:dyDescent="0.25">
      <c r="B278" s="84" t="s">
        <v>15</v>
      </c>
      <c r="C278" s="121" t="s">
        <v>586</v>
      </c>
      <c r="D278" s="102"/>
      <c r="E278" s="105" t="s">
        <v>9</v>
      </c>
      <c r="F278" s="25"/>
      <c r="G278" s="17"/>
      <c r="H278" s="90" t="b">
        <f>IF(D279="x",H$2,H$1)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4" t="s">
        <v>15</v>
      </c>
      <c r="C279" s="121" t="s">
        <v>587</v>
      </c>
      <c r="D279" s="102"/>
      <c r="E279" s="105" t="s">
        <v>10</v>
      </c>
      <c r="F279" s="104" t="str">
        <f>IF(H280=1,IF(H278=H$2,H278,""),"")</f>
        <v/>
      </c>
      <c r="G279" s="17"/>
      <c r="H279" s="19" t="str">
        <f>IF(E$391="comprobar",COUNTIF(D278:D282,"x"),"")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4" t="s">
        <v>15</v>
      </c>
      <c r="C280" s="121" t="s">
        <v>588</v>
      </c>
      <c r="D280" s="102"/>
      <c r="E280" s="105" t="s">
        <v>11</v>
      </c>
      <c r="F280" s="106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4" t="s">
        <v>15</v>
      </c>
      <c r="C281" s="121" t="s">
        <v>589</v>
      </c>
      <c r="D281" s="102"/>
      <c r="E281" s="105" t="s">
        <v>12</v>
      </c>
      <c r="F281" s="25"/>
      <c r="G281" s="17"/>
      <c r="H281" s="99"/>
    </row>
    <row r="282" spans="1:40" s="4" customFormat="1" x14ac:dyDescent="0.25">
      <c r="B282" s="84"/>
      <c r="C282" s="24"/>
      <c r="D282" s="102"/>
      <c r="E282" s="105" t="s">
        <v>13</v>
      </c>
      <c r="F282" s="25"/>
      <c r="G282" s="17"/>
      <c r="H282" s="99"/>
    </row>
    <row r="283" spans="1:40" s="15" customFormat="1" x14ac:dyDescent="0.25">
      <c r="A283" s="4"/>
      <c r="B283" s="120" t="s">
        <v>19</v>
      </c>
      <c r="C283" s="85" t="s">
        <v>202</v>
      </c>
      <c r="D283" s="39"/>
      <c r="E283" s="52"/>
      <c r="F283" s="27"/>
      <c r="G283" s="13"/>
      <c r="H283" s="13"/>
    </row>
    <row r="284" spans="1:40" x14ac:dyDescent="0.25">
      <c r="B284" s="84" t="s">
        <v>15</v>
      </c>
      <c r="C284" s="121" t="s">
        <v>590</v>
      </c>
      <c r="D284" s="102"/>
      <c r="E284" s="105" t="s">
        <v>9</v>
      </c>
      <c r="F284" s="25"/>
      <c r="G284" s="17"/>
      <c r="H284" s="90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4" t="s">
        <v>15</v>
      </c>
      <c r="C285" s="121" t="s">
        <v>591</v>
      </c>
      <c r="D285" s="102"/>
      <c r="E285" s="105" t="s">
        <v>10</v>
      </c>
      <c r="F285" s="104" t="str">
        <f>IF(H286=1,IF(H284=H$2,H284,""),"")</f>
        <v/>
      </c>
      <c r="G285" s="17"/>
      <c r="H285" s="19" t="str">
        <f>IF(E$391="comprobar",COUNTIF(D284:D288,"x"),"")</f>
        <v/>
      </c>
    </row>
    <row r="286" spans="1:40" x14ac:dyDescent="0.25">
      <c r="B286" s="84" t="s">
        <v>15</v>
      </c>
      <c r="C286" s="121" t="s">
        <v>592</v>
      </c>
      <c r="D286" s="102"/>
      <c r="E286" s="105" t="s">
        <v>11</v>
      </c>
      <c r="F286" s="106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4" t="s">
        <v>15</v>
      </c>
      <c r="C287" s="121" t="s">
        <v>593</v>
      </c>
      <c r="D287" s="102"/>
      <c r="E287" s="105" t="s">
        <v>12</v>
      </c>
      <c r="F287" s="25"/>
      <c r="G287" s="17"/>
      <c r="H287" s="99"/>
    </row>
    <row r="288" spans="1:40" s="4" customFormat="1" x14ac:dyDescent="0.25">
      <c r="B288" s="84"/>
      <c r="C288" s="24"/>
      <c r="D288" s="102"/>
      <c r="E288" s="105" t="s">
        <v>13</v>
      </c>
      <c r="F288" s="25"/>
      <c r="G288" s="17"/>
      <c r="H288" s="99"/>
    </row>
    <row r="289" spans="1:40" s="15" customFormat="1" x14ac:dyDescent="0.25">
      <c r="A289" s="4"/>
      <c r="B289" s="120" t="s">
        <v>20</v>
      </c>
      <c r="C289" s="85" t="s">
        <v>203</v>
      </c>
      <c r="D289" s="39"/>
      <c r="E289" s="52"/>
      <c r="F289" s="27"/>
      <c r="G289" s="13"/>
      <c r="H289" s="13"/>
    </row>
    <row r="290" spans="1:40" x14ac:dyDescent="0.25">
      <c r="B290" s="84" t="s">
        <v>15</v>
      </c>
      <c r="C290" s="121" t="s">
        <v>204</v>
      </c>
      <c r="D290" s="102"/>
      <c r="E290" s="105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4" t="s">
        <v>15</v>
      </c>
      <c r="C291" s="121" t="s">
        <v>205</v>
      </c>
      <c r="D291" s="102"/>
      <c r="E291" s="105" t="s">
        <v>10</v>
      </c>
      <c r="F291" s="104" t="str">
        <f>IF(H292=1,IF(H290=H$2,H290,""),"")</f>
        <v/>
      </c>
      <c r="G291" s="17"/>
      <c r="H291" s="19" t="str">
        <f>IF(E$391="comprobar",COUNTIF(D290:D294,"x"),"")</f>
        <v/>
      </c>
    </row>
    <row r="292" spans="1:40" x14ac:dyDescent="0.25">
      <c r="B292" s="84" t="s">
        <v>15</v>
      </c>
      <c r="C292" s="121" t="s">
        <v>206</v>
      </c>
      <c r="D292" s="102"/>
      <c r="E292" s="105" t="s">
        <v>11</v>
      </c>
      <c r="F292" s="106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4" t="s">
        <v>15</v>
      </c>
      <c r="C293" s="121" t="s">
        <v>83</v>
      </c>
      <c r="D293" s="102"/>
      <c r="E293" s="105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4"/>
      <c r="C294" s="24"/>
      <c r="D294" s="102"/>
      <c r="E294" s="105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0" t="s">
        <v>21</v>
      </c>
      <c r="C295" s="85" t="s">
        <v>207</v>
      </c>
      <c r="D295" s="108"/>
      <c r="E295" s="103"/>
      <c r="F295" s="27"/>
      <c r="G295" s="13"/>
      <c r="H295" s="13"/>
    </row>
    <row r="296" spans="1:40" x14ac:dyDescent="0.25">
      <c r="B296" s="84" t="s">
        <v>15</v>
      </c>
      <c r="C296" s="121" t="s">
        <v>208</v>
      </c>
      <c r="D296" s="102"/>
      <c r="E296" s="105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4" t="s">
        <v>15</v>
      </c>
      <c r="C297" s="121" t="s">
        <v>209</v>
      </c>
      <c r="D297" s="102"/>
      <c r="E297" s="105" t="s">
        <v>10</v>
      </c>
      <c r="F297" s="104" t="str">
        <f>IF(H298=1,IF(H296=H$2,H296,""),"")</f>
        <v/>
      </c>
      <c r="G297" s="17"/>
      <c r="H297" s="19" t="str">
        <f>IF(E$391="comprobar",COUNTIF(D296:D300,"x"),"")</f>
        <v/>
      </c>
    </row>
    <row r="298" spans="1:40" x14ac:dyDescent="0.25">
      <c r="B298" s="84" t="s">
        <v>15</v>
      </c>
      <c r="C298" s="121" t="s">
        <v>210</v>
      </c>
      <c r="D298" s="102"/>
      <c r="E298" s="105" t="s">
        <v>11</v>
      </c>
      <c r="F298" s="106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4" t="s">
        <v>15</v>
      </c>
      <c r="C299" s="121" t="s">
        <v>211</v>
      </c>
      <c r="D299" s="102"/>
      <c r="E299" s="105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1"/>
      <c r="C300" s="24"/>
      <c r="D300" s="102"/>
      <c r="E300" s="105" t="s">
        <v>13</v>
      </c>
      <c r="F300" s="107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0" t="s">
        <v>22</v>
      </c>
      <c r="C301" s="85" t="s">
        <v>212</v>
      </c>
      <c r="D301" s="108"/>
      <c r="E301" s="103"/>
      <c r="F301" s="27"/>
      <c r="G301" s="13"/>
      <c r="H301" s="13"/>
    </row>
    <row r="302" spans="1:40" x14ac:dyDescent="0.25">
      <c r="B302" s="84" t="s">
        <v>15</v>
      </c>
      <c r="C302" s="121" t="s">
        <v>213</v>
      </c>
      <c r="D302" s="102"/>
      <c r="E302" s="105" t="s">
        <v>9</v>
      </c>
      <c r="F302" s="25"/>
      <c r="G302" s="17"/>
      <c r="H302" s="19" t="b">
        <f>IF(D304="x",H$2,H$1)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4" t="s">
        <v>15</v>
      </c>
      <c r="C303" s="121" t="s">
        <v>214</v>
      </c>
      <c r="D303" s="102"/>
      <c r="E303" s="105" t="s">
        <v>10</v>
      </c>
      <c r="F303" s="104" t="str">
        <f>IF(H304=1,IF(H302=H$2,H302,""),"")</f>
        <v/>
      </c>
      <c r="G303" s="17"/>
      <c r="H303" s="19" t="str">
        <f>IF(E$391="comprobar",COUNTIF(D302:D306,"x"),"")</f>
        <v/>
      </c>
    </row>
    <row r="304" spans="1:40" x14ac:dyDescent="0.25">
      <c r="B304" s="84" t="s">
        <v>15</v>
      </c>
      <c r="C304" s="121" t="s">
        <v>215</v>
      </c>
      <c r="D304" s="102"/>
      <c r="E304" s="105" t="s">
        <v>11</v>
      </c>
      <c r="F304" s="106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4" t="s">
        <v>15</v>
      </c>
      <c r="C305" s="121" t="s">
        <v>216</v>
      </c>
      <c r="D305" s="102"/>
      <c r="E305" s="105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2"/>
      <c r="E306" s="105" t="s">
        <v>13</v>
      </c>
      <c r="F306" s="107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0" t="s">
        <v>23</v>
      </c>
      <c r="C307" s="85" t="s">
        <v>217</v>
      </c>
      <c r="D307" s="108"/>
      <c r="E307" s="103"/>
      <c r="F307" s="27"/>
      <c r="G307" s="13"/>
      <c r="H307" s="13"/>
    </row>
    <row r="308" spans="1:40" x14ac:dyDescent="0.25">
      <c r="B308" s="84" t="s">
        <v>15</v>
      </c>
      <c r="C308" s="121" t="s">
        <v>218</v>
      </c>
      <c r="D308" s="102"/>
      <c r="E308" s="105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4" t="s">
        <v>15</v>
      </c>
      <c r="C309" s="121" t="s">
        <v>219</v>
      </c>
      <c r="D309" s="102"/>
      <c r="E309" s="105" t="s">
        <v>10</v>
      </c>
      <c r="F309" s="104" t="str">
        <f>IF(H310=1,IF(H308=H$2,H308,""),"")</f>
        <v/>
      </c>
      <c r="G309" s="17"/>
      <c r="H309" s="19" t="str">
        <f>IF(E$391="comprobar",COUNTIF(D308:D312,"x"),"")</f>
        <v/>
      </c>
    </row>
    <row r="310" spans="1:40" x14ac:dyDescent="0.25">
      <c r="B310" s="84" t="s">
        <v>15</v>
      </c>
      <c r="C310" s="121" t="s">
        <v>220</v>
      </c>
      <c r="D310" s="102"/>
      <c r="E310" s="105" t="s">
        <v>11</v>
      </c>
      <c r="F310" s="106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4" t="s">
        <v>15</v>
      </c>
      <c r="C311" s="121" t="s">
        <v>62</v>
      </c>
      <c r="D311" s="102"/>
      <c r="E311" s="105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2"/>
      <c r="E312" s="105" t="s">
        <v>13</v>
      </c>
      <c r="F312" s="107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0" t="s">
        <v>24</v>
      </c>
      <c r="C313" s="85" t="s">
        <v>221</v>
      </c>
      <c r="D313" s="108"/>
      <c r="E313" s="103"/>
      <c r="F313" s="27"/>
      <c r="G313" s="13"/>
      <c r="H313" s="13"/>
    </row>
    <row r="314" spans="1:40" x14ac:dyDescent="0.25">
      <c r="B314" s="84" t="s">
        <v>15</v>
      </c>
      <c r="C314" s="121" t="s">
        <v>222</v>
      </c>
      <c r="D314" s="102"/>
      <c r="E314" s="105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4" t="s">
        <v>15</v>
      </c>
      <c r="C315" s="121" t="s">
        <v>223</v>
      </c>
      <c r="D315" s="102"/>
      <c r="E315" s="105" t="s">
        <v>10</v>
      </c>
      <c r="F315" s="104" t="str">
        <f>IF(H316=1,IF(H314=H$2,H314,""),"")</f>
        <v/>
      </c>
      <c r="G315" s="17"/>
      <c r="H315" s="19" t="str">
        <f>IF(E$391="comprobar",COUNTIF(D314:D318,"x"),"")</f>
        <v/>
      </c>
    </row>
    <row r="316" spans="1:40" x14ac:dyDescent="0.25">
      <c r="B316" s="84" t="s">
        <v>15</v>
      </c>
      <c r="C316" s="121" t="s">
        <v>224</v>
      </c>
      <c r="D316" s="102"/>
      <c r="E316" s="105" t="s">
        <v>11</v>
      </c>
      <c r="F316" s="106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4" t="s">
        <v>15</v>
      </c>
      <c r="C317" s="121" t="s">
        <v>96</v>
      </c>
      <c r="D317" s="102"/>
      <c r="E317" s="105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2"/>
      <c r="E318" s="105" t="s">
        <v>13</v>
      </c>
      <c r="F318" s="107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0" t="s">
        <v>29</v>
      </c>
      <c r="C319" s="85" t="s">
        <v>225</v>
      </c>
      <c r="D319" s="108"/>
      <c r="E319" s="103"/>
      <c r="F319" s="27"/>
      <c r="G319" s="26"/>
      <c r="H319" s="13"/>
    </row>
    <row r="320" spans="1:40" s="4" customFormat="1" x14ac:dyDescent="0.25">
      <c r="B320" s="84" t="s">
        <v>15</v>
      </c>
      <c r="C320" s="121" t="s">
        <v>226</v>
      </c>
      <c r="D320" s="102"/>
      <c r="E320" s="105" t="s">
        <v>9</v>
      </c>
      <c r="F320" s="25"/>
      <c r="G320" s="98"/>
      <c r="H320" s="90" t="b">
        <f>IF(D321="x",H$2,H$1)</f>
        <v>0</v>
      </c>
    </row>
    <row r="321" spans="1:40" s="4" customFormat="1" x14ac:dyDescent="0.25">
      <c r="B321" s="84" t="s">
        <v>15</v>
      </c>
      <c r="C321" s="121" t="s">
        <v>227</v>
      </c>
      <c r="D321" s="102"/>
      <c r="E321" s="105" t="s">
        <v>10</v>
      </c>
      <c r="F321" s="104" t="str">
        <f>IF(H322=1,IF(H320=H$2,H320,""),"")</f>
        <v/>
      </c>
      <c r="G321" s="98"/>
      <c r="H321" s="90" t="str">
        <f>IF(E$391="comprobar",COUNTIF(D320:D324,"x"),"")</f>
        <v/>
      </c>
    </row>
    <row r="322" spans="1:40" s="4" customFormat="1" x14ac:dyDescent="0.25">
      <c r="B322" s="84" t="s">
        <v>15</v>
      </c>
      <c r="C322" s="121" t="s">
        <v>228</v>
      </c>
      <c r="D322" s="102"/>
      <c r="E322" s="105" t="s">
        <v>11</v>
      </c>
      <c r="F322" s="106" t="str">
        <f>IF(H322=-0.33,IF(H320=H$1,H320,""),"")</f>
        <v/>
      </c>
      <c r="G322" s="98"/>
      <c r="H322" s="99">
        <f t="shared" ref="H322" si="27">IF(H321=1,IF(H320=H$2,1,-0.33),0)</f>
        <v>0</v>
      </c>
    </row>
    <row r="323" spans="1:40" x14ac:dyDescent="0.25">
      <c r="B323" s="84" t="s">
        <v>15</v>
      </c>
      <c r="C323" s="121" t="s">
        <v>229</v>
      </c>
      <c r="D323" s="102"/>
      <c r="E323" s="105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2"/>
      <c r="E324" s="105" t="s">
        <v>13</v>
      </c>
      <c r="F324" s="107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0" t="s">
        <v>27</v>
      </c>
      <c r="C325" s="85" t="s">
        <v>230</v>
      </c>
      <c r="D325" s="108"/>
      <c r="E325" s="103"/>
      <c r="F325" s="27"/>
      <c r="G325" s="13"/>
      <c r="H325" s="13"/>
    </row>
    <row r="326" spans="1:40" x14ac:dyDescent="0.25">
      <c r="B326" s="84" t="s">
        <v>15</v>
      </c>
      <c r="C326" s="121" t="s">
        <v>231</v>
      </c>
      <c r="D326" s="102"/>
      <c r="E326" s="105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4" t="s">
        <v>15</v>
      </c>
      <c r="C327" s="121" t="s">
        <v>232</v>
      </c>
      <c r="D327" s="102"/>
      <c r="E327" s="105" t="s">
        <v>10</v>
      </c>
      <c r="F327" s="104" t="str">
        <f>IF(H328=1,IF(H326=H$2,H326,""),"")</f>
        <v/>
      </c>
      <c r="G327" s="24"/>
      <c r="H327" s="19" t="str">
        <f>IF(E$391="comprobar",COUNTIF(D326:D330,"x"),"")</f>
        <v/>
      </c>
    </row>
    <row r="328" spans="1:40" x14ac:dyDescent="0.25">
      <c r="B328" s="84" t="s">
        <v>15</v>
      </c>
      <c r="C328" s="121" t="s">
        <v>233</v>
      </c>
      <c r="D328" s="102"/>
      <c r="E328" s="105" t="s">
        <v>11</v>
      </c>
      <c r="F328" s="106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4" t="s">
        <v>15</v>
      </c>
      <c r="C329" s="121" t="s">
        <v>62</v>
      </c>
      <c r="D329" s="102"/>
      <c r="E329" s="105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2"/>
      <c r="E330" s="105" t="s">
        <v>13</v>
      </c>
      <c r="F330" s="107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27" t="s">
        <v>234</v>
      </c>
      <c r="C331" s="85" t="s">
        <v>245</v>
      </c>
      <c r="D331" s="108"/>
      <c r="E331" s="103"/>
      <c r="F331" s="27"/>
      <c r="G331" s="13"/>
      <c r="H331" s="13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84" t="s">
        <v>15</v>
      </c>
      <c r="C332" s="121" t="s">
        <v>246</v>
      </c>
      <c r="D332" s="102"/>
      <c r="E332" s="105" t="s">
        <v>9</v>
      </c>
      <c r="F332" s="25"/>
      <c r="G332" s="24"/>
      <c r="H332" s="19" t="b">
        <f>IF(D334="x",H$2,H$1)</f>
        <v>0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x14ac:dyDescent="0.25">
      <c r="B333" s="84" t="s">
        <v>15</v>
      </c>
      <c r="C333" s="130">
        <v>192168255254</v>
      </c>
      <c r="D333" s="102"/>
      <c r="E333" s="105" t="s">
        <v>10</v>
      </c>
      <c r="F333" s="104" t="str">
        <f>IF(H334=1,IF(H332=H$2,H332,""),"")</f>
        <v/>
      </c>
      <c r="G333" s="24"/>
      <c r="H333" s="19" t="str">
        <f>IF(E$391="comprobar",COUNTIF(D332:D336,"x"),"")</f>
        <v/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x14ac:dyDescent="0.25">
      <c r="B334" s="84" t="s">
        <v>15</v>
      </c>
      <c r="C334" s="121" t="s">
        <v>247</v>
      </c>
      <c r="D334" s="102"/>
      <c r="E334" s="105" t="s">
        <v>11</v>
      </c>
      <c r="F334" s="106" t="str">
        <f>IF(H334=-0.33,IF(H332=H$1,H332,""),"")</f>
        <v/>
      </c>
      <c r="G334" s="24"/>
      <c r="H334" s="22">
        <f t="shared" ref="H334" si="29">IF(H333=1,IF(H332=H$2,1,-0.33),0)</f>
        <v>0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x14ac:dyDescent="0.25">
      <c r="B335" s="84" t="s">
        <v>15</v>
      </c>
      <c r="C335" s="121" t="s">
        <v>248</v>
      </c>
      <c r="D335" s="102"/>
      <c r="E335" s="105" t="s">
        <v>12</v>
      </c>
      <c r="F335" s="25"/>
      <c r="G335" s="24"/>
      <c r="H335" s="22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63"/>
      <c r="C336" s="24"/>
      <c r="D336" s="102"/>
      <c r="E336" s="105" t="s">
        <v>13</v>
      </c>
      <c r="F336" s="107"/>
      <c r="G336" s="24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2:40" x14ac:dyDescent="0.25">
      <c r="B337" s="127" t="s">
        <v>235</v>
      </c>
      <c r="C337" s="85" t="s">
        <v>249</v>
      </c>
      <c r="D337" s="108"/>
      <c r="E337" s="103"/>
      <c r="F337" s="27"/>
      <c r="G337" s="13"/>
      <c r="H337" s="13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2:40" x14ac:dyDescent="0.25">
      <c r="B338" s="84" t="s">
        <v>15</v>
      </c>
      <c r="C338" s="121" t="s">
        <v>250</v>
      </c>
      <c r="D338" s="102"/>
      <c r="E338" s="105" t="s">
        <v>9</v>
      </c>
      <c r="F338" s="25"/>
      <c r="G338" s="24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2:40" x14ac:dyDescent="0.25">
      <c r="B339" s="84" t="s">
        <v>15</v>
      </c>
      <c r="C339" s="121" t="s">
        <v>251</v>
      </c>
      <c r="D339" s="102"/>
      <c r="E339" s="105" t="s">
        <v>10</v>
      </c>
      <c r="F339" s="104" t="str">
        <f>IF(H340=1,IF(H338=H$2,H338,""),"")</f>
        <v/>
      </c>
      <c r="G339" s="24"/>
      <c r="H339" s="19" t="str">
        <f>IF(E$391="comprobar",COUNTIF(D338:D342,"x"),"")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2:40" x14ac:dyDescent="0.25">
      <c r="B340" s="84" t="s">
        <v>15</v>
      </c>
      <c r="C340" s="121" t="s">
        <v>252</v>
      </c>
      <c r="D340" s="102"/>
      <c r="E340" s="105" t="s">
        <v>11</v>
      </c>
      <c r="F340" s="106" t="str">
        <f>IF(H340=-0.33,IF(H338=H$1,H338,""),"")</f>
        <v/>
      </c>
      <c r="G340" s="24"/>
      <c r="H340" s="22">
        <f t="shared" ref="H340" si="30"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2:40" x14ac:dyDescent="0.25">
      <c r="B341" s="84" t="s">
        <v>15</v>
      </c>
      <c r="C341" s="121" t="s">
        <v>253</v>
      </c>
      <c r="D341" s="102"/>
      <c r="E341" s="105" t="s">
        <v>12</v>
      </c>
      <c r="F341" s="25"/>
      <c r="G341" s="24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2:40" x14ac:dyDescent="0.25">
      <c r="B342" s="63"/>
      <c r="C342" s="24"/>
      <c r="D342" s="102"/>
      <c r="E342" s="105" t="s">
        <v>13</v>
      </c>
      <c r="F342" s="107"/>
      <c r="G342" s="24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2:40" x14ac:dyDescent="0.25">
      <c r="B343" s="127" t="s">
        <v>236</v>
      </c>
      <c r="C343" s="85" t="s">
        <v>607</v>
      </c>
      <c r="D343" s="108"/>
      <c r="E343" s="103"/>
      <c r="F343" s="27"/>
      <c r="G343" s="13"/>
      <c r="H343" s="13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2:40" x14ac:dyDescent="0.25">
      <c r="B344" s="84" t="s">
        <v>15</v>
      </c>
      <c r="C344" s="121" t="s">
        <v>254</v>
      </c>
      <c r="D344" s="102"/>
      <c r="E344" s="105" t="s">
        <v>9</v>
      </c>
      <c r="F344" s="25"/>
      <c r="G344" s="24"/>
      <c r="H344" s="19" t="b">
        <f>IF(D345="x",H$2,H$1)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2:40" x14ac:dyDescent="0.25">
      <c r="B345" s="84" t="s">
        <v>15</v>
      </c>
      <c r="C345" s="121" t="s">
        <v>255</v>
      </c>
      <c r="D345" s="102"/>
      <c r="E345" s="105" t="s">
        <v>10</v>
      </c>
      <c r="F345" s="104" t="str">
        <f>IF(H346=1,IF(H344=H$2,H344,""),"")</f>
        <v/>
      </c>
      <c r="G345" s="24"/>
      <c r="H345" s="19" t="str">
        <f>IF(E$391="comprobar",COUNTIF(D344:D348,"x"),"")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2:40" x14ac:dyDescent="0.25">
      <c r="B346" s="84" t="s">
        <v>15</v>
      </c>
      <c r="C346" s="121" t="s">
        <v>256</v>
      </c>
      <c r="D346" s="102"/>
      <c r="E346" s="105" t="s">
        <v>11</v>
      </c>
      <c r="F346" s="106" t="str">
        <f>IF(H346=-0.33,IF(H344=H$1,H344,""),"")</f>
        <v/>
      </c>
      <c r="G346" s="24"/>
      <c r="H346" s="22">
        <f t="shared" ref="H346" si="31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2:40" x14ac:dyDescent="0.25">
      <c r="B347" s="84" t="s">
        <v>15</v>
      </c>
      <c r="C347" s="121" t="s">
        <v>257</v>
      </c>
      <c r="D347" s="102"/>
      <c r="E347" s="105" t="s">
        <v>12</v>
      </c>
      <c r="F347" s="25"/>
      <c r="G347" s="24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2:40" x14ac:dyDescent="0.25">
      <c r="B348" s="63"/>
      <c r="C348" s="24"/>
      <c r="D348" s="102"/>
      <c r="E348" s="105" t="s">
        <v>13</v>
      </c>
      <c r="F348" s="107"/>
      <c r="G348" s="24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2:40" x14ac:dyDescent="0.25">
      <c r="B349" s="127" t="s">
        <v>237</v>
      </c>
      <c r="C349" s="85" t="s">
        <v>258</v>
      </c>
      <c r="D349" s="108"/>
      <c r="E349" s="103"/>
      <c r="F349" s="27"/>
      <c r="G349" s="13"/>
      <c r="H349" s="13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2:40" x14ac:dyDescent="0.25">
      <c r="B350" s="84" t="s">
        <v>15</v>
      </c>
      <c r="C350" s="121" t="s">
        <v>259</v>
      </c>
      <c r="D350" s="102"/>
      <c r="E350" s="105" t="s">
        <v>9</v>
      </c>
      <c r="F350" s="25"/>
      <c r="G350" s="24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2:40" x14ac:dyDescent="0.25">
      <c r="B351" s="84" t="s">
        <v>15</v>
      </c>
      <c r="C351" s="121" t="s">
        <v>260</v>
      </c>
      <c r="D351" s="102"/>
      <c r="E351" s="105" t="s">
        <v>10</v>
      </c>
      <c r="F351" s="104" t="str">
        <f>IF(H352=1,IF(H350=H$2,H350,""),"")</f>
        <v/>
      </c>
      <c r="G351" s="24"/>
      <c r="H351" s="19" t="str">
        <f>IF(E$391="comprobar",COUNTIF(D350:D354,"x"),"")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2:40" x14ac:dyDescent="0.25">
      <c r="B352" s="84" t="s">
        <v>15</v>
      </c>
      <c r="C352" s="121" t="s">
        <v>261</v>
      </c>
      <c r="D352" s="102"/>
      <c r="E352" s="105" t="s">
        <v>11</v>
      </c>
      <c r="F352" s="106" t="str">
        <f>IF(H352=-0.33,IF(H350=H$1,H350,""),"")</f>
        <v/>
      </c>
      <c r="G352" s="24"/>
      <c r="H352" s="22">
        <f t="shared" ref="H352" si="32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2:40" x14ac:dyDescent="0.25">
      <c r="B353" s="84" t="s">
        <v>15</v>
      </c>
      <c r="C353" s="121" t="s">
        <v>262</v>
      </c>
      <c r="D353" s="102"/>
      <c r="E353" s="105" t="s">
        <v>12</v>
      </c>
      <c r="F353" s="25"/>
      <c r="G353" s="24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2:40" x14ac:dyDescent="0.25">
      <c r="B354" s="63"/>
      <c r="C354" s="24"/>
      <c r="D354" s="102"/>
      <c r="E354" s="105" t="s">
        <v>13</v>
      </c>
      <c r="F354" s="107"/>
      <c r="G354" s="24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2:40" x14ac:dyDescent="0.25">
      <c r="B355" s="127" t="s">
        <v>238</v>
      </c>
      <c r="C355" s="85" t="s">
        <v>263</v>
      </c>
      <c r="D355" s="108"/>
      <c r="E355" s="103"/>
      <c r="F355" s="27"/>
      <c r="G355" s="13"/>
      <c r="H355" s="13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2:40" x14ac:dyDescent="0.25">
      <c r="B356" s="84" t="s">
        <v>15</v>
      </c>
      <c r="C356" s="121" t="s">
        <v>264</v>
      </c>
      <c r="D356" s="102"/>
      <c r="E356" s="105" t="s">
        <v>9</v>
      </c>
      <c r="F356" s="25"/>
      <c r="G356" s="24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2:40" x14ac:dyDescent="0.25">
      <c r="B357" s="84" t="s">
        <v>15</v>
      </c>
      <c r="C357" s="121" t="s">
        <v>265</v>
      </c>
      <c r="D357" s="102"/>
      <c r="E357" s="105" t="s">
        <v>10</v>
      </c>
      <c r="F357" s="104" t="str">
        <f>IF(H358=1,IF(H356=H$2,H356,""),"")</f>
        <v/>
      </c>
      <c r="G357" s="24"/>
      <c r="H357" s="19" t="str">
        <f>IF(E$391="comprobar",COUNTIF(D356:D360,"x"),"")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2:40" x14ac:dyDescent="0.25">
      <c r="B358" s="84" t="s">
        <v>15</v>
      </c>
      <c r="C358" s="121" t="s">
        <v>266</v>
      </c>
      <c r="D358" s="102"/>
      <c r="E358" s="105" t="s">
        <v>11</v>
      </c>
      <c r="F358" s="106" t="str">
        <f>IF(H358=-0.33,IF(H356=H$1,H356,""),"")</f>
        <v/>
      </c>
      <c r="G358" s="24"/>
      <c r="H358" s="22">
        <f t="shared" ref="H358" si="33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2:40" x14ac:dyDescent="0.25">
      <c r="B359" s="84" t="s">
        <v>15</v>
      </c>
      <c r="C359" s="130">
        <v>255255255192</v>
      </c>
      <c r="D359" s="102"/>
      <c r="E359" s="105" t="s">
        <v>12</v>
      </c>
      <c r="F359" s="25"/>
      <c r="G359" s="24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2:40" x14ac:dyDescent="0.25">
      <c r="B360" s="63"/>
      <c r="C360" s="24"/>
      <c r="D360" s="102"/>
      <c r="E360" s="105" t="s">
        <v>13</v>
      </c>
      <c r="F360" s="107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2:40" x14ac:dyDescent="0.25">
      <c r="B361" s="127" t="s">
        <v>239</v>
      </c>
      <c r="C361" s="85" t="s">
        <v>267</v>
      </c>
      <c r="D361" s="108"/>
      <c r="E361" s="103"/>
      <c r="F361" s="27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2:40" x14ac:dyDescent="0.25">
      <c r="B362" s="84" t="s">
        <v>15</v>
      </c>
      <c r="C362" s="121" t="s">
        <v>268</v>
      </c>
      <c r="D362" s="102"/>
      <c r="E362" s="105" t="s">
        <v>9</v>
      </c>
      <c r="F362" s="25"/>
      <c r="G362" s="24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2:40" x14ac:dyDescent="0.25">
      <c r="B363" s="84" t="s">
        <v>15</v>
      </c>
      <c r="C363" s="121" t="s">
        <v>269</v>
      </c>
      <c r="D363" s="102"/>
      <c r="E363" s="105" t="s">
        <v>10</v>
      </c>
      <c r="F363" s="104" t="str">
        <f>IF(H364=1,IF(H362=H$2,H362,""),"")</f>
        <v/>
      </c>
      <c r="G363" s="24"/>
      <c r="H363" s="19" t="str">
        <f>IF(E$391="comprobar",COUNTIF(D362:D366,"x"),"")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2:40" x14ac:dyDescent="0.25">
      <c r="B364" s="84" t="s">
        <v>15</v>
      </c>
      <c r="C364" s="121" t="s">
        <v>270</v>
      </c>
      <c r="D364" s="102"/>
      <c r="E364" s="105" t="s">
        <v>11</v>
      </c>
      <c r="F364" s="106" t="str">
        <f>IF(H364=-0.33,IF(H362=H$1,H362,""),"")</f>
        <v/>
      </c>
      <c r="G364" s="24"/>
      <c r="H364" s="22">
        <f t="shared" ref="H364" si="34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2:40" x14ac:dyDescent="0.25">
      <c r="B365" s="84" t="s">
        <v>15</v>
      </c>
      <c r="C365" s="121" t="s">
        <v>271</v>
      </c>
      <c r="D365" s="102"/>
      <c r="E365" s="105" t="s">
        <v>12</v>
      </c>
      <c r="F365" s="25"/>
      <c r="G365" s="24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2:40" x14ac:dyDescent="0.25">
      <c r="B366" s="63"/>
      <c r="C366" s="24"/>
      <c r="D366" s="102"/>
      <c r="E366" s="105" t="s">
        <v>13</v>
      </c>
      <c r="F366" s="107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2:40" x14ac:dyDescent="0.25">
      <c r="B367" s="127" t="s">
        <v>240</v>
      </c>
      <c r="C367" s="85" t="s">
        <v>608</v>
      </c>
      <c r="D367" s="108"/>
      <c r="E367" s="103"/>
      <c r="F367" s="27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2:40" x14ac:dyDescent="0.25">
      <c r="B368" s="84" t="s">
        <v>15</v>
      </c>
      <c r="C368" s="128">
        <v>10</v>
      </c>
      <c r="D368" s="102"/>
      <c r="E368" s="105" t="s">
        <v>9</v>
      </c>
      <c r="F368" s="25"/>
      <c r="G368" s="24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4" t="s">
        <v>15</v>
      </c>
      <c r="C369" s="128">
        <v>5</v>
      </c>
      <c r="D369" s="102"/>
      <c r="E369" s="105" t="s">
        <v>10</v>
      </c>
      <c r="F369" s="104" t="str">
        <f>IF(H370=1,IF(H368=H$2,H368,""),"")</f>
        <v/>
      </c>
      <c r="G369" s="24"/>
      <c r="H369" s="19" t="str">
        <f>IF(E$391="comprobar",COUNTIF(D368:D372,"x"),"")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4" t="s">
        <v>15</v>
      </c>
      <c r="C370" s="128">
        <v>6</v>
      </c>
      <c r="D370" s="102"/>
      <c r="E370" s="105" t="s">
        <v>11</v>
      </c>
      <c r="F370" s="106" t="str">
        <f>IF(H370=-0.33,IF(H368=H$1,H368,""),"")</f>
        <v/>
      </c>
      <c r="G370" s="24"/>
      <c r="H370" s="22">
        <f t="shared" ref="H370" si="35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4" t="s">
        <v>15</v>
      </c>
      <c r="C371" s="128">
        <v>7</v>
      </c>
      <c r="D371" s="102"/>
      <c r="E371" s="105" t="s">
        <v>12</v>
      </c>
      <c r="F371" s="25"/>
      <c r="G371" s="24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63"/>
      <c r="C372" s="24"/>
      <c r="D372" s="102"/>
      <c r="E372" s="105" t="s">
        <v>13</v>
      </c>
      <c r="F372" s="107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127" t="s">
        <v>241</v>
      </c>
      <c r="C373" s="85" t="s">
        <v>272</v>
      </c>
      <c r="D373" s="108"/>
      <c r="E373" s="103"/>
      <c r="F373" s="27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84" t="s">
        <v>15</v>
      </c>
      <c r="C374" s="121" t="s">
        <v>273</v>
      </c>
      <c r="D374" s="102"/>
      <c r="E374" s="105" t="s">
        <v>9</v>
      </c>
      <c r="F374" s="25"/>
      <c r="G374" s="24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4" t="s">
        <v>15</v>
      </c>
      <c r="C375" s="121" t="s">
        <v>274</v>
      </c>
      <c r="D375" s="102"/>
      <c r="E375" s="105" t="s">
        <v>10</v>
      </c>
      <c r="F375" s="104" t="str">
        <f>IF(H376=1,IF(H374=H$2,H374,""),"")</f>
        <v/>
      </c>
      <c r="G375" s="24"/>
      <c r="H375" s="19" t="str">
        <f>IF(E$391="comprobar",COUNTIF(D374:D378,"x"),"")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4" t="s">
        <v>15</v>
      </c>
      <c r="C376" s="121" t="s">
        <v>275</v>
      </c>
      <c r="D376" s="102"/>
      <c r="E376" s="105" t="s">
        <v>11</v>
      </c>
      <c r="F376" s="106" t="str">
        <f>IF(H376=-0.33,IF(H374=H$1,H374,""),"")</f>
        <v/>
      </c>
      <c r="G376" s="24"/>
      <c r="H376" s="22">
        <f t="shared" ref="H376" si="36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4" t="s">
        <v>15</v>
      </c>
      <c r="C377" s="121" t="s">
        <v>276</v>
      </c>
      <c r="D377" s="102"/>
      <c r="E377" s="105" t="s">
        <v>12</v>
      </c>
      <c r="F377" s="25"/>
      <c r="G377" s="24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63"/>
      <c r="C378" s="24"/>
      <c r="D378" s="102"/>
      <c r="E378" s="105" t="s">
        <v>13</v>
      </c>
      <c r="F378" s="107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127" t="s">
        <v>242</v>
      </c>
      <c r="C379" s="85" t="s">
        <v>277</v>
      </c>
      <c r="D379" s="108"/>
      <c r="E379" s="103"/>
      <c r="F379" s="27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84" t="s">
        <v>15</v>
      </c>
      <c r="C380" s="121" t="s">
        <v>278</v>
      </c>
      <c r="D380" s="102"/>
      <c r="E380" s="105" t="s">
        <v>9</v>
      </c>
      <c r="F380" s="25"/>
      <c r="G380" s="24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84" t="s">
        <v>15</v>
      </c>
      <c r="C381" s="121" t="s">
        <v>279</v>
      </c>
      <c r="D381" s="102"/>
      <c r="E381" s="105" t="s">
        <v>10</v>
      </c>
      <c r="F381" s="104" t="str">
        <f>IF(H382=1,IF(H380=H$2,H380,""),"")</f>
        <v/>
      </c>
      <c r="G381" s="24"/>
      <c r="H381" s="19" t="str">
        <f>IF(E$391="comprobar",COUNTIF(D380:D384,"x"),"")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x14ac:dyDescent="0.25">
      <c r="B382" s="84" t="s">
        <v>15</v>
      </c>
      <c r="C382" s="121" t="s">
        <v>280</v>
      </c>
      <c r="D382" s="102"/>
      <c r="E382" s="105" t="s">
        <v>11</v>
      </c>
      <c r="F382" s="106" t="str">
        <f>IF(H382=-0.33,IF(H380=H$1,H380,""),"")</f>
        <v/>
      </c>
      <c r="G382" s="24"/>
      <c r="H382" s="22">
        <f t="shared" ref="H382" si="37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x14ac:dyDescent="0.25">
      <c r="B383" s="84" t="s">
        <v>15</v>
      </c>
      <c r="C383" s="121" t="s">
        <v>281</v>
      </c>
      <c r="D383" s="102"/>
      <c r="E383" s="105" t="s">
        <v>12</v>
      </c>
      <c r="F383" s="25"/>
      <c r="G383" s="24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x14ac:dyDescent="0.25">
      <c r="B384" s="63"/>
      <c r="C384" s="24"/>
      <c r="D384" s="102"/>
      <c r="E384" s="105" t="s">
        <v>13</v>
      </c>
      <c r="F384" s="107"/>
      <c r="G384" s="24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127" t="s">
        <v>243</v>
      </c>
      <c r="C385" s="85" t="s">
        <v>282</v>
      </c>
      <c r="D385" s="108"/>
      <c r="E385" s="103"/>
      <c r="F385" s="27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x14ac:dyDescent="0.25">
      <c r="B386" s="84" t="s">
        <v>15</v>
      </c>
      <c r="C386" s="121" t="s">
        <v>283</v>
      </c>
      <c r="D386" s="102"/>
      <c r="E386" s="105" t="s">
        <v>9</v>
      </c>
      <c r="F386" s="25"/>
      <c r="G386" s="24"/>
      <c r="H386" s="19" t="b">
        <f>IF(D387="x",H$2,H$1)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84" t="s">
        <v>15</v>
      </c>
      <c r="C387" s="121" t="s">
        <v>284</v>
      </c>
      <c r="D387" s="102"/>
      <c r="E387" s="105" t="s">
        <v>10</v>
      </c>
      <c r="F387" s="104" t="str">
        <f>IF(H388=1,IF(H386=H$2,H386,""),"")</f>
        <v/>
      </c>
      <c r="G387" s="24"/>
      <c r="H387" s="19" t="str">
        <f>IF(E$391="comprobar",COUNTIF(D386:D390,"x"),"")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4" t="s">
        <v>15</v>
      </c>
      <c r="C388" s="121" t="s">
        <v>285</v>
      </c>
      <c r="D388" s="102"/>
      <c r="E388" s="105" t="s">
        <v>11</v>
      </c>
      <c r="F388" s="106" t="str">
        <f>IF(H388=-0.33,IF(H386=H$1,H386,""),"")</f>
        <v/>
      </c>
      <c r="G388" s="24"/>
      <c r="H388" s="22">
        <f t="shared" ref="H388" si="38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4" t="s">
        <v>15</v>
      </c>
      <c r="C389" s="121" t="s">
        <v>286</v>
      </c>
      <c r="D389" s="102"/>
      <c r="E389" s="105" t="s">
        <v>12</v>
      </c>
      <c r="F389" s="25"/>
      <c r="G389" s="24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63"/>
      <c r="C390" s="24"/>
      <c r="D390" s="102"/>
      <c r="E390" s="105" t="s">
        <v>13</v>
      </c>
      <c r="F390" s="107"/>
      <c r="G390" s="24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63"/>
      <c r="C391" s="64"/>
      <c r="D391" s="110"/>
      <c r="E391" s="54"/>
      <c r="F391" s="107"/>
      <c r="G391" s="24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109"/>
      <c r="C392" s="8"/>
      <c r="D392" s="110"/>
      <c r="E392" s="76"/>
      <c r="F392" s="111" t="s">
        <v>8</v>
      </c>
      <c r="G392" s="17" t="s">
        <v>6</v>
      </c>
      <c r="H392" s="17" t="s">
        <v>7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9.5" x14ac:dyDescent="0.25">
      <c r="B393" s="44"/>
      <c r="C393" s="41"/>
      <c r="D393" s="40"/>
      <c r="E393" s="112"/>
      <c r="F393" s="29" t="str">
        <f>IF(E$391="comprobar",H328+H322+H316+H310+H304+H298+H292+H286+H280+H273+H334+H340+H346+H352+H358+H364+H370+H376+H382+H388,"")</f>
        <v/>
      </c>
      <c r="G393" s="17">
        <f>20/2</f>
        <v>10</v>
      </c>
      <c r="H393" s="17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6.5" thickBot="1" x14ac:dyDescent="0.3">
      <c r="B394" s="45"/>
      <c r="C394" s="30"/>
      <c r="D394" s="113"/>
      <c r="E394" s="114"/>
      <c r="F394" s="115" t="str">
        <f>IF(F393&gt;G393,G392,H392)</f>
        <v>APROBADO</v>
      </c>
      <c r="G394" s="17"/>
      <c r="H394" s="17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idden="1" x14ac:dyDescent="0.25">
      <c r="B395" s="44"/>
      <c r="C395" s="16"/>
      <c r="D395" s="60"/>
      <c r="E395" s="51"/>
      <c r="F395" s="75"/>
      <c r="G395" s="17"/>
      <c r="H395" s="17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idden="1" x14ac:dyDescent="0.25">
      <c r="B396" s="44"/>
      <c r="C396" s="16"/>
      <c r="D396" s="60"/>
      <c r="E396" s="51"/>
      <c r="F396" s="75"/>
      <c r="G396" s="17"/>
      <c r="H396" s="17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28.5" x14ac:dyDescent="0.45">
      <c r="B397" s="61" t="s">
        <v>33</v>
      </c>
      <c r="C397" s="116" t="s">
        <v>244</v>
      </c>
      <c r="D397" s="81"/>
      <c r="E397" s="81"/>
      <c r="F397" s="8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s="15" customFormat="1" ht="18.95" customHeight="1" x14ac:dyDescent="0.25">
      <c r="A398" s="4"/>
      <c r="B398" s="120" t="s">
        <v>18</v>
      </c>
      <c r="C398" s="85" t="s">
        <v>287</v>
      </c>
      <c r="D398" s="39"/>
      <c r="E398" s="52"/>
      <c r="F398" s="27"/>
      <c r="G398" s="13"/>
      <c r="H398" s="13"/>
    </row>
    <row r="399" spans="1:40" x14ac:dyDescent="0.25">
      <c r="B399" s="84" t="s">
        <v>15</v>
      </c>
      <c r="C399" s="121" t="s">
        <v>288</v>
      </c>
      <c r="D399" s="38"/>
      <c r="E399" s="53" t="s">
        <v>9</v>
      </c>
      <c r="F399" s="25"/>
      <c r="G399" s="17"/>
      <c r="H399" s="19" t="b">
        <f>IF(D402="x",H$2,H$1)</f>
        <v>0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5.95" customHeight="1" x14ac:dyDescent="0.25">
      <c r="B400" s="84" t="s">
        <v>15</v>
      </c>
      <c r="C400" s="121" t="s">
        <v>289</v>
      </c>
      <c r="D400" s="38"/>
      <c r="E400" s="53" t="s">
        <v>10</v>
      </c>
      <c r="F400" s="20" t="str">
        <f>IF(H401=1,IF(H399=H$2,H399,""),"")</f>
        <v/>
      </c>
      <c r="G400" s="17"/>
      <c r="H400" s="19" t="str">
        <f>IF(E458="comprobar",COUNTIF(D399:D403,"x"),"")</f>
        <v/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8.95" customHeight="1" x14ac:dyDescent="0.25">
      <c r="B401" s="84" t="s">
        <v>15</v>
      </c>
      <c r="C401" s="121" t="s">
        <v>290</v>
      </c>
      <c r="D401" s="38"/>
      <c r="E401" s="53" t="s">
        <v>11</v>
      </c>
      <c r="F401" s="21" t="str">
        <f>IF(H401=-0.33,IF(H399=H$1,H399,""),"")</f>
        <v/>
      </c>
      <c r="G401" s="17"/>
      <c r="H401" s="22">
        <f>IF(H400=1,IF(H399=H$2,1,-0.33),0)</f>
        <v>0</v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4" t="s">
        <v>15</v>
      </c>
      <c r="C402" s="121" t="s">
        <v>38</v>
      </c>
      <c r="D402" s="38"/>
      <c r="E402" s="53" t="s">
        <v>12</v>
      </c>
      <c r="F402" s="25"/>
      <c r="G402" s="17"/>
      <c r="H402" s="2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44"/>
      <c r="C403" s="24"/>
      <c r="D403" s="38"/>
      <c r="E403" s="53" t="s">
        <v>13</v>
      </c>
      <c r="F403" s="18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s="15" customFormat="1" ht="18.95" customHeight="1" x14ac:dyDescent="0.25">
      <c r="A404" s="4"/>
      <c r="B404" s="120" t="s">
        <v>28</v>
      </c>
      <c r="C404" s="85" t="s">
        <v>291</v>
      </c>
      <c r="D404" s="39"/>
      <c r="E404" s="52"/>
      <c r="F404" s="27"/>
      <c r="G404" s="13"/>
      <c r="H404" s="13"/>
    </row>
    <row r="405" spans="1:40" x14ac:dyDescent="0.25">
      <c r="B405" s="84" t="s">
        <v>15</v>
      </c>
      <c r="C405" s="121" t="s">
        <v>292</v>
      </c>
      <c r="D405" s="38"/>
      <c r="E405" s="53" t="s">
        <v>9</v>
      </c>
      <c r="F405" s="25"/>
      <c r="G405" s="17"/>
      <c r="H405" s="19" t="b">
        <f>IF(D406="x",H$2,H$1)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4" t="s">
        <v>15</v>
      </c>
      <c r="C406" s="121" t="s">
        <v>293</v>
      </c>
      <c r="D406" s="38"/>
      <c r="E406" s="53" t="s">
        <v>10</v>
      </c>
      <c r="F406" s="20" t="str">
        <f>IF(H407=1,IF(H405=H$2,H405,""),"")</f>
        <v/>
      </c>
      <c r="G406" s="17"/>
      <c r="H406" s="19" t="str">
        <f>IF(E$458="comprobar",COUNTIF(D405:D409,"x"),"")</f>
        <v/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4" t="s">
        <v>15</v>
      </c>
      <c r="C407" s="121" t="s">
        <v>294</v>
      </c>
      <c r="D407" s="38"/>
      <c r="E407" s="53" t="s">
        <v>11</v>
      </c>
      <c r="F407" s="21" t="str">
        <f>IF(H407=-0.33,IF(H405=H$1,H405,""),"")</f>
        <v/>
      </c>
      <c r="G407" s="17"/>
      <c r="H407" s="22">
        <f t="shared" ref="H407" si="39">IF(H406=1,IF(H405=H$2,1,-0.33),0)</f>
        <v>0</v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4" t="s">
        <v>15</v>
      </c>
      <c r="C408" s="121" t="s">
        <v>96</v>
      </c>
      <c r="D408" s="38"/>
      <c r="E408" s="53" t="s">
        <v>12</v>
      </c>
      <c r="F408" s="25"/>
      <c r="G408" s="17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44"/>
      <c r="C409" s="24"/>
      <c r="D409" s="38"/>
      <c r="E409" s="53" t="s">
        <v>13</v>
      </c>
      <c r="F409" s="18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s="15" customFormat="1" ht="18.95" customHeight="1" x14ac:dyDescent="0.25">
      <c r="A410" s="4"/>
      <c r="B410" s="120" t="s">
        <v>31</v>
      </c>
      <c r="C410" s="85" t="s">
        <v>295</v>
      </c>
      <c r="D410" s="39"/>
      <c r="E410" s="52"/>
      <c r="F410" s="27"/>
      <c r="G410" s="13"/>
      <c r="H410" s="13"/>
    </row>
    <row r="411" spans="1:40" x14ac:dyDescent="0.25">
      <c r="B411" s="84" t="s">
        <v>15</v>
      </c>
      <c r="C411" s="121" t="s">
        <v>296</v>
      </c>
      <c r="D411" s="38"/>
      <c r="E411" s="53" t="s">
        <v>9</v>
      </c>
      <c r="F411" s="25"/>
      <c r="G411" s="17"/>
      <c r="H411" s="19" t="b">
        <f>IF(D413="x",H$2,H$1)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4" t="s">
        <v>15</v>
      </c>
      <c r="C412" s="121" t="s">
        <v>297</v>
      </c>
      <c r="D412" s="38"/>
      <c r="E412" s="53" t="s">
        <v>10</v>
      </c>
      <c r="F412" s="20" t="str">
        <f>IF(H413=1,IF(H411=H$2,H411,""),"")</f>
        <v/>
      </c>
      <c r="G412" s="17"/>
      <c r="H412" s="19" t="str">
        <f>IF(E$458="comprobar",COUNTIF(D411:D415,"x"),"")</f>
        <v/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4" t="s">
        <v>15</v>
      </c>
      <c r="C413" s="121" t="s">
        <v>298</v>
      </c>
      <c r="D413" s="38"/>
      <c r="E413" s="53" t="s">
        <v>11</v>
      </c>
      <c r="F413" s="21" t="str">
        <f>IF(H413=-0.33,IF(H411=H$1,H411,""),"")</f>
        <v/>
      </c>
      <c r="G413" s="17"/>
      <c r="H413" s="22">
        <f t="shared" ref="H413" si="40">IF(H412=1,IF(H411=H$2,1,-0.33),0)</f>
        <v>0</v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4" t="s">
        <v>15</v>
      </c>
      <c r="C414" s="121" t="s">
        <v>62</v>
      </c>
      <c r="D414" s="38"/>
      <c r="E414" s="53" t="s">
        <v>12</v>
      </c>
      <c r="F414" s="25"/>
      <c r="G414" s="17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44"/>
      <c r="C415" s="24"/>
      <c r="D415" s="38"/>
      <c r="E415" s="53" t="s">
        <v>13</v>
      </c>
      <c r="F415" s="18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s="15" customFormat="1" ht="15.95" customHeight="1" x14ac:dyDescent="0.25">
      <c r="A416" s="4"/>
      <c r="B416" s="120" t="s">
        <v>20</v>
      </c>
      <c r="C416" s="85" t="s">
        <v>299</v>
      </c>
      <c r="D416" s="39"/>
      <c r="E416" s="52"/>
      <c r="F416" s="27"/>
      <c r="G416" s="13"/>
      <c r="H416" s="13"/>
    </row>
    <row r="417" spans="1:40" x14ac:dyDescent="0.25">
      <c r="B417" s="84" t="s">
        <v>15</v>
      </c>
      <c r="C417" s="121" t="s">
        <v>300</v>
      </c>
      <c r="D417" s="38"/>
      <c r="E417" s="53" t="s">
        <v>9</v>
      </c>
      <c r="F417" s="25"/>
      <c r="G417" s="17"/>
      <c r="H417" s="19" t="b">
        <f>IF(D418="x",H$2,H$1)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4" t="s">
        <v>15</v>
      </c>
      <c r="C418" s="121" t="s">
        <v>301</v>
      </c>
      <c r="D418" s="38"/>
      <c r="E418" s="53" t="s">
        <v>10</v>
      </c>
      <c r="F418" s="20" t="str">
        <f>IF(H419=1,IF(H417=H$2,H417,""),"")</f>
        <v/>
      </c>
      <c r="G418" s="17"/>
      <c r="H418" s="19" t="str">
        <f>IF(E$458="comprobar",COUNTIF(D417:D421,"x"),"")</f>
        <v/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4" t="s">
        <v>15</v>
      </c>
      <c r="C419" s="121" t="s">
        <v>302</v>
      </c>
      <c r="D419" s="38"/>
      <c r="E419" s="53" t="s">
        <v>11</v>
      </c>
      <c r="F419" s="21" t="str">
        <f>IF(H419=-0.33,IF(H417=H$1,H417,""),"")</f>
        <v/>
      </c>
      <c r="G419" s="17"/>
      <c r="H419" s="22">
        <f t="shared" ref="H419" si="41">IF(H418=1,IF(H417=H$2,1,-0.33),0)</f>
        <v>0</v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4" t="s">
        <v>15</v>
      </c>
      <c r="C420" s="121" t="s">
        <v>303</v>
      </c>
      <c r="D420" s="38"/>
      <c r="E420" s="53" t="s">
        <v>12</v>
      </c>
      <c r="F420" s="25"/>
      <c r="G420" s="17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ht="18.75" x14ac:dyDescent="0.25">
      <c r="B421" s="117"/>
      <c r="C421" s="24"/>
      <c r="D421" s="38"/>
      <c r="E421" s="53" t="s">
        <v>13</v>
      </c>
      <c r="F421" s="18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s="15" customFormat="1" ht="18.95" customHeight="1" x14ac:dyDescent="0.25">
      <c r="A422" s="4"/>
      <c r="B422" s="120" t="s">
        <v>21</v>
      </c>
      <c r="C422" s="85" t="s">
        <v>304</v>
      </c>
      <c r="D422" s="39"/>
      <c r="E422" s="52"/>
      <c r="F422" s="27"/>
      <c r="G422" s="13"/>
      <c r="H422" s="13"/>
    </row>
    <row r="423" spans="1:40" x14ac:dyDescent="0.25">
      <c r="B423" s="84" t="s">
        <v>15</v>
      </c>
      <c r="C423" s="121" t="s">
        <v>305</v>
      </c>
      <c r="D423" s="38"/>
      <c r="E423" s="53" t="s">
        <v>9</v>
      </c>
      <c r="F423" s="25"/>
      <c r="G423" s="17"/>
      <c r="H423" s="19" t="b">
        <f>IF(D426="x",H$2,H$1)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4" t="s">
        <v>15</v>
      </c>
      <c r="C424" s="121" t="s">
        <v>306</v>
      </c>
      <c r="D424" s="38"/>
      <c r="E424" s="53" t="s">
        <v>10</v>
      </c>
      <c r="F424" s="20" t="str">
        <f>IF(H425=1,IF(H423=H$2,H423,""),"")</f>
        <v/>
      </c>
      <c r="G424" s="17"/>
      <c r="H424" s="19" t="str">
        <f>IF(E$458="comprobar",COUNTIF(D423:D427,"x"),"")</f>
        <v/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4" t="s">
        <v>15</v>
      </c>
      <c r="C425" s="121" t="s">
        <v>307</v>
      </c>
      <c r="D425" s="38"/>
      <c r="E425" s="53" t="s">
        <v>11</v>
      </c>
      <c r="F425" s="21" t="str">
        <f>IF(H425=-0.33,IF(H423=H$1,H423,""),"")</f>
        <v/>
      </c>
      <c r="G425" s="17"/>
      <c r="H425" s="22">
        <f t="shared" ref="H425" si="42">IF(H424=1,IF(H423=H$2,1,-0.33),0)</f>
        <v>0</v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4" t="s">
        <v>15</v>
      </c>
      <c r="C426" s="121" t="s">
        <v>62</v>
      </c>
      <c r="D426" s="38"/>
      <c r="E426" s="53" t="s">
        <v>12</v>
      </c>
      <c r="F426" s="25"/>
      <c r="G426" s="17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44"/>
      <c r="C427" s="24"/>
      <c r="D427" s="38"/>
      <c r="E427" s="53" t="s">
        <v>13</v>
      </c>
      <c r="F427" s="18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s="15" customFormat="1" ht="18.95" customHeight="1" x14ac:dyDescent="0.25">
      <c r="A428" s="4"/>
      <c r="B428" s="120" t="s">
        <v>32</v>
      </c>
      <c r="C428" s="85" t="s">
        <v>308</v>
      </c>
      <c r="D428" s="39"/>
      <c r="E428" s="52"/>
      <c r="F428" s="27"/>
      <c r="G428" s="13"/>
      <c r="H428" s="13"/>
    </row>
    <row r="429" spans="1:40" x14ac:dyDescent="0.25">
      <c r="B429" s="84" t="s">
        <v>15</v>
      </c>
      <c r="C429" s="121" t="s">
        <v>309</v>
      </c>
      <c r="D429" s="38"/>
      <c r="E429" s="53" t="s">
        <v>9</v>
      </c>
      <c r="F429" s="25"/>
      <c r="G429" s="17"/>
      <c r="H429" s="19" t="b">
        <f>IF(D429="x",H$2,H$1)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4" t="s">
        <v>15</v>
      </c>
      <c r="C430" s="121" t="s">
        <v>310</v>
      </c>
      <c r="D430" s="38"/>
      <c r="E430" s="53" t="s">
        <v>10</v>
      </c>
      <c r="F430" s="20" t="str">
        <f>IF(H431=1,IF(H429=H$2,H429,""),"")</f>
        <v/>
      </c>
      <c r="G430" s="17"/>
      <c r="H430" s="19" t="str">
        <f>IF(E$458="comprobar",COUNTIF(D429:D433,"x"),"")</f>
        <v/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4" t="s">
        <v>15</v>
      </c>
      <c r="C431" s="121" t="s">
        <v>311</v>
      </c>
      <c r="D431" s="38"/>
      <c r="E431" s="53" t="s">
        <v>11</v>
      </c>
      <c r="F431" s="21" t="str">
        <f>IF(H431=-0.33,IF(H429=H$1,H429,""),"")</f>
        <v/>
      </c>
      <c r="G431" s="17"/>
      <c r="H431" s="22">
        <f t="shared" ref="H431" si="43">IF(H430=1,IF(H429=H$2,1,-0.33),0)</f>
        <v>0</v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4" t="s">
        <v>15</v>
      </c>
      <c r="C432" s="121" t="s">
        <v>62</v>
      </c>
      <c r="D432" s="38"/>
      <c r="E432" s="53" t="s">
        <v>12</v>
      </c>
      <c r="F432" s="25"/>
      <c r="G432" s="17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44"/>
      <c r="C433" s="24"/>
      <c r="D433" s="38"/>
      <c r="E433" s="53" t="s">
        <v>13</v>
      </c>
      <c r="F433" s="18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s="15" customFormat="1" ht="15.95" customHeight="1" x14ac:dyDescent="0.25">
      <c r="A434" s="4"/>
      <c r="B434" s="120" t="s">
        <v>23</v>
      </c>
      <c r="C434" s="85" t="s">
        <v>312</v>
      </c>
      <c r="D434" s="39"/>
      <c r="E434" s="52"/>
      <c r="F434" s="27"/>
      <c r="G434" s="13"/>
      <c r="H434" s="13"/>
    </row>
    <row r="435" spans="1:40" x14ac:dyDescent="0.25">
      <c r="B435" s="84" t="s">
        <v>15</v>
      </c>
      <c r="C435" s="121" t="s">
        <v>313</v>
      </c>
      <c r="D435" s="38"/>
      <c r="E435" s="53" t="s">
        <v>9</v>
      </c>
      <c r="F435" s="25"/>
      <c r="G435" s="17"/>
      <c r="H435" s="19" t="b">
        <f>IF(D435="x",H$2,H$1)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4" t="s">
        <v>15</v>
      </c>
      <c r="C436" s="121" t="s">
        <v>314</v>
      </c>
      <c r="D436" s="38"/>
      <c r="E436" s="53" t="s">
        <v>10</v>
      </c>
      <c r="F436" s="20" t="str">
        <f>IF(H437=1,IF(H435=H$2,H435,""),"")</f>
        <v/>
      </c>
      <c r="G436" s="17"/>
      <c r="H436" s="19" t="str">
        <f>IF(E$458="comprobar",COUNTIF(D435:D439,"x"),"")</f>
        <v/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4" t="s">
        <v>15</v>
      </c>
      <c r="C437" s="121" t="s">
        <v>315</v>
      </c>
      <c r="D437" s="38"/>
      <c r="E437" s="53" t="s">
        <v>11</v>
      </c>
      <c r="F437" s="21" t="str">
        <f>IF(H437=-0.33,IF(H435=H$1,H435,""),"")</f>
        <v/>
      </c>
      <c r="G437" s="17"/>
      <c r="H437" s="22">
        <f t="shared" ref="H437" si="44">IF(H436=1,IF(H435=H$2,1,-0.33),0)</f>
        <v>0</v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4" t="s">
        <v>15</v>
      </c>
      <c r="C438" s="121" t="s">
        <v>96</v>
      </c>
      <c r="D438" s="38"/>
      <c r="E438" s="53" t="s">
        <v>12</v>
      </c>
      <c r="F438" s="25"/>
      <c r="G438" s="17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44"/>
      <c r="C439" s="24"/>
      <c r="D439" s="38"/>
      <c r="E439" s="53" t="s">
        <v>13</v>
      </c>
      <c r="F439" s="18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15" customFormat="1" ht="18.95" customHeight="1" x14ac:dyDescent="0.25">
      <c r="A440" s="4"/>
      <c r="B440" s="120" t="s">
        <v>30</v>
      </c>
      <c r="C440" s="85" t="s">
        <v>316</v>
      </c>
      <c r="D440" s="39"/>
      <c r="E440" s="52"/>
      <c r="F440" s="27"/>
      <c r="G440" s="13"/>
      <c r="H440" s="13"/>
    </row>
    <row r="441" spans="1:40" x14ac:dyDescent="0.25">
      <c r="B441" s="84" t="s">
        <v>15</v>
      </c>
      <c r="C441" s="121" t="s">
        <v>317</v>
      </c>
      <c r="D441" s="38"/>
      <c r="E441" s="53" t="s">
        <v>9</v>
      </c>
      <c r="F441" s="25"/>
      <c r="G441" s="17"/>
      <c r="H441" s="19" t="b">
        <f>IF(D444="x",H$2,H$1)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4" t="s">
        <v>15</v>
      </c>
      <c r="C442" s="121" t="s">
        <v>318</v>
      </c>
      <c r="D442" s="38"/>
      <c r="E442" s="53" t="s">
        <v>10</v>
      </c>
      <c r="F442" s="20" t="str">
        <f>IF(H443=1,IF(H441=H$2,H441,""),"")</f>
        <v/>
      </c>
      <c r="G442" s="17"/>
      <c r="H442" s="19" t="str">
        <f>IF(E$458="comprobar",COUNTIF(D441:D445,"x"),"")</f>
        <v/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4" t="s">
        <v>15</v>
      </c>
      <c r="C443" s="121" t="s">
        <v>319</v>
      </c>
      <c r="D443" s="38"/>
      <c r="E443" s="53" t="s">
        <v>11</v>
      </c>
      <c r="F443" s="21" t="str">
        <f>IF(H443=-0.33,IF(H441=H$1,H441,""),"")</f>
        <v/>
      </c>
      <c r="G443" s="17"/>
      <c r="H443" s="22">
        <f t="shared" ref="H443" si="45">IF(H442=1,IF(H441=H$2,1,-0.33),0)</f>
        <v>0</v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4" t="s">
        <v>15</v>
      </c>
      <c r="C444" s="121" t="s">
        <v>155</v>
      </c>
      <c r="D444" s="38"/>
      <c r="E444" s="53" t="s">
        <v>12</v>
      </c>
      <c r="F444" s="25"/>
      <c r="G444" s="17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44"/>
      <c r="C445" s="24"/>
      <c r="D445" s="38"/>
      <c r="E445" s="53" t="s">
        <v>13</v>
      </c>
      <c r="F445" s="18"/>
      <c r="G445" s="17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s="15" customFormat="1" ht="18.95" customHeight="1" x14ac:dyDescent="0.25">
      <c r="A446" s="4"/>
      <c r="B446" s="120" t="s">
        <v>29</v>
      </c>
      <c r="C446" s="85" t="s">
        <v>320</v>
      </c>
      <c r="D446" s="39"/>
      <c r="E446" s="52"/>
      <c r="F446" s="27"/>
      <c r="G446" s="13"/>
      <c r="H446" s="13"/>
    </row>
    <row r="447" spans="1:40" x14ac:dyDescent="0.25">
      <c r="B447" s="84" t="s">
        <v>15</v>
      </c>
      <c r="C447" s="121" t="s">
        <v>321</v>
      </c>
      <c r="D447" s="38"/>
      <c r="E447" s="53" t="s">
        <v>9</v>
      </c>
      <c r="F447" s="25"/>
      <c r="G447" s="17"/>
      <c r="H447" s="19" t="b">
        <f>IF(D450="x",H$2,H$1)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4" t="s">
        <v>15</v>
      </c>
      <c r="C448" s="121" t="s">
        <v>322</v>
      </c>
      <c r="D448" s="38"/>
      <c r="E448" s="53" t="s">
        <v>10</v>
      </c>
      <c r="F448" s="20" t="str">
        <f>IF(H449=1,IF(H447=H$2,H447,""),"")</f>
        <v/>
      </c>
      <c r="G448" s="17"/>
      <c r="H448" s="19" t="str">
        <f>IF(E$458="comprobar",COUNTIF(D447:D451,"x"),"")</f>
        <v/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4" t="s">
        <v>15</v>
      </c>
      <c r="C449" s="121" t="s">
        <v>323</v>
      </c>
      <c r="D449" s="38"/>
      <c r="E449" s="53" t="s">
        <v>11</v>
      </c>
      <c r="F449" s="21" t="str">
        <f>IF(H449=-0.33,IF(H447=H$1,H447,""),"")</f>
        <v/>
      </c>
      <c r="G449" s="17"/>
      <c r="H449" s="22">
        <f t="shared" ref="H449" si="46">IF(H448=1,IF(H447=H$2,1,-0.33),0)</f>
        <v>0</v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4" t="s">
        <v>15</v>
      </c>
      <c r="C450" s="121" t="s">
        <v>96</v>
      </c>
      <c r="D450" s="38"/>
      <c r="E450" s="53" t="s">
        <v>12</v>
      </c>
      <c r="F450" s="25"/>
      <c r="G450" s="17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34" customFormat="1" x14ac:dyDescent="0.25">
      <c r="A451" s="4"/>
      <c r="B451" s="118"/>
      <c r="C451" s="24"/>
      <c r="D451" s="38"/>
      <c r="E451" s="53" t="s">
        <v>14</v>
      </c>
      <c r="F451" s="18"/>
      <c r="G451" s="17"/>
      <c r="H451" s="22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</row>
    <row r="452" spans="1:40" s="15" customFormat="1" ht="18.95" customHeight="1" x14ac:dyDescent="0.25">
      <c r="A452" s="4"/>
      <c r="B452" s="120" t="s">
        <v>27</v>
      </c>
      <c r="C452" s="85" t="s">
        <v>324</v>
      </c>
      <c r="D452" s="78"/>
      <c r="E452" s="52"/>
      <c r="F452" s="27"/>
      <c r="G452" s="26"/>
      <c r="H452" s="13"/>
    </row>
    <row r="453" spans="1:40" x14ac:dyDescent="0.25">
      <c r="B453" s="84" t="s">
        <v>15</v>
      </c>
      <c r="C453" s="121" t="s">
        <v>325</v>
      </c>
      <c r="D453" s="38"/>
      <c r="E453" s="53" t="s">
        <v>9</v>
      </c>
      <c r="F453" s="25"/>
      <c r="G453" s="24"/>
      <c r="H453" s="19" t="b">
        <f>IF(D456="x",H$2,H$1)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4" t="s">
        <v>15</v>
      </c>
      <c r="C454" s="121" t="s">
        <v>326</v>
      </c>
      <c r="D454" s="38"/>
      <c r="E454" s="53" t="s">
        <v>10</v>
      </c>
      <c r="F454" s="20" t="str">
        <f>IF(H455=1,IF(H453=H$2,H453,""),"")</f>
        <v/>
      </c>
      <c r="G454" s="24"/>
      <c r="H454" s="19" t="str">
        <f>IF(E$458="comprobar",COUNTIF(D453:D457,"x"),"")</f>
        <v/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4" t="s">
        <v>15</v>
      </c>
      <c r="C455" s="121" t="s">
        <v>327</v>
      </c>
      <c r="D455" s="38"/>
      <c r="E455" s="53" t="s">
        <v>11</v>
      </c>
      <c r="F455" s="21" t="str">
        <f>IF(H455=-0.33,IF(H453=H$1,H453,""),"")</f>
        <v/>
      </c>
      <c r="G455" s="24"/>
      <c r="H455" s="22">
        <f>IF(H454=1,IF(H453=H$2,1,-0.33),0)</f>
        <v>0</v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4" t="s">
        <v>15</v>
      </c>
      <c r="C456" s="121" t="s">
        <v>62</v>
      </c>
      <c r="D456" s="38"/>
      <c r="E456" s="53" t="s">
        <v>12</v>
      </c>
      <c r="F456" s="25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ht="18.75" x14ac:dyDescent="0.25">
      <c r="B457" s="117"/>
      <c r="C457" s="24"/>
      <c r="D457" s="38"/>
      <c r="E457" s="53" t="s">
        <v>13</v>
      </c>
      <c r="F457" s="18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44"/>
      <c r="C458" s="41"/>
      <c r="D458" s="48"/>
      <c r="E458" s="54"/>
      <c r="F458" s="18"/>
      <c r="G458" s="17"/>
      <c r="H458" s="17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16"/>
      <c r="D459" s="48"/>
      <c r="E459" s="57"/>
      <c r="F459" s="28" t="s">
        <v>8</v>
      </c>
      <c r="G459" s="17" t="s">
        <v>6</v>
      </c>
      <c r="H459" s="17" t="s">
        <v>7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9.5" x14ac:dyDescent="0.25">
      <c r="B460" s="44"/>
      <c r="C460" s="16"/>
      <c r="D460" s="80"/>
      <c r="E460" s="51"/>
      <c r="F460" s="29" t="str">
        <f>IF(E$458="comprobar",H455+H449+H443+H437+H431+H425+H419+H413+H407+H401,"")</f>
        <v/>
      </c>
      <c r="G460" s="17">
        <f>10/2</f>
        <v>5</v>
      </c>
      <c r="H460" s="17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6.5" thickBot="1" x14ac:dyDescent="0.3">
      <c r="B461" s="45"/>
      <c r="C461" s="30"/>
      <c r="D461" s="31"/>
      <c r="E461" s="55"/>
      <c r="F461" s="32" t="str">
        <f>IF(F460&gt;G460,G459,H459)</f>
        <v>APROBADO</v>
      </c>
      <c r="G461" s="17"/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28.5" x14ac:dyDescent="0.45">
      <c r="B462" s="61" t="s">
        <v>33</v>
      </c>
      <c r="C462" s="116" t="s">
        <v>328</v>
      </c>
      <c r="D462" s="81"/>
      <c r="E462" s="81"/>
      <c r="F462" s="82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s="15" customFormat="1" ht="18.95" customHeight="1" x14ac:dyDescent="0.25">
      <c r="A463" s="4"/>
      <c r="B463" s="120" t="s">
        <v>18</v>
      </c>
      <c r="C463" s="85" t="s">
        <v>329</v>
      </c>
      <c r="D463" s="39"/>
      <c r="E463" s="52"/>
      <c r="F463" s="27"/>
      <c r="G463" s="13"/>
      <c r="H463" s="13"/>
    </row>
    <row r="464" spans="1:40" x14ac:dyDescent="0.25">
      <c r="B464" s="84" t="s">
        <v>15</v>
      </c>
      <c r="C464" s="121" t="s">
        <v>594</v>
      </c>
      <c r="D464" s="38"/>
      <c r="E464" s="53" t="s">
        <v>9</v>
      </c>
      <c r="F464" s="25"/>
      <c r="G464" s="24"/>
      <c r="H464" s="19" t="b">
        <f>IF(D467="x",H$2,H$1)</f>
        <v>0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x14ac:dyDescent="0.25">
      <c r="B465" s="84" t="s">
        <v>15</v>
      </c>
      <c r="C465" s="121" t="s">
        <v>595</v>
      </c>
      <c r="D465" s="38"/>
      <c r="E465" s="53" t="s">
        <v>10</v>
      </c>
      <c r="F465" s="20" t="str">
        <f>IF(H466=1,IF(H464=H$2,H464,""),"")</f>
        <v/>
      </c>
      <c r="G465" s="24"/>
      <c r="H465" s="19" t="str">
        <f>IF(E$523="comprobar",COUNTIF(D464:D468,"x"),"")</f>
        <v/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4" t="s">
        <v>15</v>
      </c>
      <c r="C466" s="121" t="s">
        <v>596</v>
      </c>
      <c r="D466" s="38"/>
      <c r="E466" s="53" t="s">
        <v>11</v>
      </c>
      <c r="F466" s="21" t="str">
        <f>IF(H466=-0.33,IF(H464=H$1,H464,""),"")</f>
        <v/>
      </c>
      <c r="G466" s="24"/>
      <c r="H466" s="22">
        <f>IF(H465=1,IF(H464=H$2,1,-0.33),0)</f>
        <v>0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4" t="s">
        <v>15</v>
      </c>
      <c r="C467" s="121" t="s">
        <v>547</v>
      </c>
      <c r="D467" s="38"/>
      <c r="E467" s="53" t="s">
        <v>12</v>
      </c>
      <c r="F467" s="25"/>
      <c r="G467" s="24"/>
      <c r="H467" s="22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63"/>
      <c r="C468" s="24"/>
      <c r="D468" s="38"/>
      <c r="E468" s="53" t="s">
        <v>13</v>
      </c>
      <c r="F468" s="18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s="15" customFormat="1" ht="18.95" customHeight="1" x14ac:dyDescent="0.25">
      <c r="A469" s="4"/>
      <c r="B469" s="120" t="s">
        <v>17</v>
      </c>
      <c r="C469" s="85" t="s">
        <v>330</v>
      </c>
      <c r="D469" s="39"/>
      <c r="E469" s="52"/>
      <c r="F469" s="77"/>
      <c r="G469" s="13"/>
      <c r="H469" s="13"/>
    </row>
    <row r="470" spans="1:40" x14ac:dyDescent="0.25">
      <c r="B470" s="84" t="s">
        <v>15</v>
      </c>
      <c r="C470" s="121" t="s">
        <v>331</v>
      </c>
      <c r="D470" s="38"/>
      <c r="E470" s="53" t="s">
        <v>9</v>
      </c>
      <c r="F470" s="25"/>
      <c r="G470" s="24"/>
      <c r="H470" s="19" t="b">
        <f>IF(D470="x",H$2,H$1)</f>
        <v>0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</row>
    <row r="471" spans="1:40" x14ac:dyDescent="0.25">
      <c r="B471" s="84" t="s">
        <v>15</v>
      </c>
      <c r="C471" s="121" t="s">
        <v>332</v>
      </c>
      <c r="D471" s="38"/>
      <c r="E471" s="53" t="s">
        <v>10</v>
      </c>
      <c r="F471" s="20" t="str">
        <f>IF(H472=1,IF(H470=H$2,H470,""),"")</f>
        <v/>
      </c>
      <c r="G471" s="24"/>
      <c r="H471" s="19" t="str">
        <f>IF(E$523="comprobar",COUNTIF(D470:D474,"x"),"")</f>
        <v/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4" t="s">
        <v>15</v>
      </c>
      <c r="C472" s="121" t="s">
        <v>333</v>
      </c>
      <c r="D472" s="38"/>
      <c r="E472" s="53" t="s">
        <v>11</v>
      </c>
      <c r="F472" s="21" t="str">
        <f>IF(H472=-0.33,IF(H470=H$1,H470,""),"")</f>
        <v/>
      </c>
      <c r="G472" s="24"/>
      <c r="H472" s="22">
        <f>IF(H471=1,IF(H470=H$2,1,-0.33),0)</f>
        <v>0</v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4" t="s">
        <v>15</v>
      </c>
      <c r="C473" s="121" t="s">
        <v>334</v>
      </c>
      <c r="D473" s="38"/>
      <c r="E473" s="53" t="s">
        <v>12</v>
      </c>
      <c r="F473" s="25"/>
      <c r="G473" s="24"/>
      <c r="H473" s="22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63"/>
      <c r="C474" s="24"/>
      <c r="D474" s="38"/>
      <c r="E474" s="53" t="s">
        <v>13</v>
      </c>
      <c r="F474" s="18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s="15" customFormat="1" ht="18.95" customHeight="1" x14ac:dyDescent="0.25">
      <c r="A475" s="4"/>
      <c r="B475" s="120" t="s">
        <v>19</v>
      </c>
      <c r="C475" s="85" t="s">
        <v>335</v>
      </c>
      <c r="D475" s="78"/>
      <c r="E475" s="52"/>
      <c r="F475" s="27"/>
      <c r="G475" s="13"/>
      <c r="H475" s="13"/>
    </row>
    <row r="476" spans="1:40" x14ac:dyDescent="0.25">
      <c r="B476" s="84" t="s">
        <v>15</v>
      </c>
      <c r="C476" s="121" t="s">
        <v>332</v>
      </c>
      <c r="D476" s="38"/>
      <c r="E476" s="53" t="s">
        <v>9</v>
      </c>
      <c r="F476" s="25"/>
      <c r="G476" s="24"/>
      <c r="H476" s="19" t="b">
        <f>IF(D479="x",H$2,H$1)</f>
        <v>0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</row>
    <row r="477" spans="1:40" x14ac:dyDescent="0.25">
      <c r="B477" s="84" t="s">
        <v>15</v>
      </c>
      <c r="C477" s="121" t="s">
        <v>597</v>
      </c>
      <c r="D477" s="38"/>
      <c r="E477" s="53" t="s">
        <v>10</v>
      </c>
      <c r="F477" s="20" t="str">
        <f>IF(H478=1,IF(H476=H$2,H476,""),"")</f>
        <v/>
      </c>
      <c r="G477" s="24"/>
      <c r="H477" s="19" t="str">
        <f>IF(E$523="comprobar",COUNTIF(D476:D480,"x"),"")</f>
        <v/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4" t="s">
        <v>15</v>
      </c>
      <c r="C478" s="121" t="s">
        <v>598</v>
      </c>
      <c r="D478" s="38"/>
      <c r="E478" s="53" t="s">
        <v>11</v>
      </c>
      <c r="F478" s="21" t="str">
        <f>IF(H478=-0.33,IF(H476=H$1,H476,""),"")</f>
        <v/>
      </c>
      <c r="G478" s="24"/>
      <c r="H478" s="22">
        <f>IF(H477=1,IF(H476=H$2,1,-0.33),0)</f>
        <v>0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4" t="s">
        <v>15</v>
      </c>
      <c r="C479" s="121" t="s">
        <v>547</v>
      </c>
      <c r="D479" s="38"/>
      <c r="E479" s="53" t="s">
        <v>12</v>
      </c>
      <c r="F479" s="25"/>
      <c r="G479" s="24"/>
      <c r="H479" s="22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63"/>
      <c r="C480" s="24"/>
      <c r="D480" s="38"/>
      <c r="E480" s="53" t="s">
        <v>13</v>
      </c>
      <c r="F480" s="18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s="15" customFormat="1" ht="18.95" customHeight="1" x14ac:dyDescent="0.25">
      <c r="A481" s="4"/>
      <c r="B481" s="120" t="s">
        <v>20</v>
      </c>
      <c r="C481" s="85" t="s">
        <v>336</v>
      </c>
      <c r="D481" s="78"/>
      <c r="E481" s="52"/>
      <c r="F481" s="27"/>
      <c r="G481" s="13"/>
      <c r="H481" s="13"/>
    </row>
    <row r="482" spans="1:40" x14ac:dyDescent="0.25">
      <c r="B482" s="84" t="s">
        <v>15</v>
      </c>
      <c r="C482" s="121" t="s">
        <v>598</v>
      </c>
      <c r="D482" s="38"/>
      <c r="E482" s="53" t="s">
        <v>9</v>
      </c>
      <c r="F482" s="25"/>
      <c r="G482" s="24"/>
      <c r="H482" s="19" t="b">
        <f>IF(D483="x",H$2,H$1)</f>
        <v>0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</row>
    <row r="483" spans="1:40" x14ac:dyDescent="0.25">
      <c r="B483" s="84" t="s">
        <v>15</v>
      </c>
      <c r="C483" s="121" t="s">
        <v>599</v>
      </c>
      <c r="D483" s="38"/>
      <c r="E483" s="53" t="s">
        <v>10</v>
      </c>
      <c r="F483" s="20" t="str">
        <f>IF(H484=1,IF(H482=H$2,H482,""),"")</f>
        <v/>
      </c>
      <c r="G483" s="24"/>
      <c r="H483" s="19" t="str">
        <f>IF(E$523="comprobar",COUNTIF(D482:D486,"x"),"")</f>
        <v/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4" t="s">
        <v>15</v>
      </c>
      <c r="C484" s="121" t="s">
        <v>332</v>
      </c>
      <c r="D484" s="38"/>
      <c r="E484" s="53" t="s">
        <v>11</v>
      </c>
      <c r="F484" s="21" t="str">
        <f>IF(H484=-0.33,IF(H482=H$1,H482,""),"")</f>
        <v/>
      </c>
      <c r="G484" s="24"/>
      <c r="H484" s="22">
        <f>IF(H483=1,IF(H482=H$2,1,-0.33),0)</f>
        <v>0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4" t="s">
        <v>15</v>
      </c>
      <c r="C485" s="121" t="s">
        <v>547</v>
      </c>
      <c r="D485" s="38"/>
      <c r="E485" s="53" t="s">
        <v>12</v>
      </c>
      <c r="F485" s="25"/>
      <c r="G485" s="24"/>
      <c r="H485" s="22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63"/>
      <c r="C486" s="24"/>
      <c r="D486" s="38"/>
      <c r="E486" s="53" t="s">
        <v>13</v>
      </c>
      <c r="F486" s="18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s="15" customFormat="1" x14ac:dyDescent="0.25">
      <c r="A487" s="4"/>
      <c r="B487" s="120" t="s">
        <v>21</v>
      </c>
      <c r="C487" s="85" t="s">
        <v>337</v>
      </c>
      <c r="D487" s="100"/>
      <c r="E487" s="52"/>
      <c r="F487" s="27"/>
      <c r="G487" s="13"/>
      <c r="H487" s="13"/>
    </row>
    <row r="488" spans="1:40" x14ac:dyDescent="0.25">
      <c r="B488" s="84" t="s">
        <v>15</v>
      </c>
      <c r="C488" s="121" t="s">
        <v>338</v>
      </c>
      <c r="D488" s="38"/>
      <c r="E488" s="53" t="s">
        <v>9</v>
      </c>
      <c r="F488" s="25"/>
      <c r="G488" s="24"/>
      <c r="H488" s="19" t="b">
        <f>IF(D489="x",H$2,H$1)</f>
        <v>0</v>
      </c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</row>
    <row r="489" spans="1:40" x14ac:dyDescent="0.25">
      <c r="B489" s="84" t="s">
        <v>15</v>
      </c>
      <c r="C489" s="121" t="s">
        <v>339</v>
      </c>
      <c r="D489" s="38"/>
      <c r="E489" s="53" t="s">
        <v>10</v>
      </c>
      <c r="F489" s="20" t="str">
        <f>IF(H490=1,IF(H488=H$2,H488,""),"")</f>
        <v/>
      </c>
      <c r="G489" s="24"/>
      <c r="H489" s="19" t="str">
        <f>IF(E$523="comprobar",COUNTIF(D488:D492,"x"),"")</f>
        <v/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4" t="s">
        <v>15</v>
      </c>
      <c r="C490" s="121" t="s">
        <v>340</v>
      </c>
      <c r="D490" s="38"/>
      <c r="E490" s="53" t="s">
        <v>11</v>
      </c>
      <c r="F490" s="21" t="str">
        <f>IF(H490=-0.33,IF(H488=H$1,H488,""),"")</f>
        <v/>
      </c>
      <c r="G490" s="24"/>
      <c r="H490" s="22">
        <f>IF(H489=1,IF(H488=H$2,1,-0.33),0)</f>
        <v>0</v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4" t="s">
        <v>15</v>
      </c>
      <c r="C491" s="121" t="s">
        <v>96</v>
      </c>
      <c r="D491" s="38"/>
      <c r="E491" s="53" t="s">
        <v>12</v>
      </c>
      <c r="F491" s="25"/>
      <c r="G491" s="24"/>
      <c r="H491" s="22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63"/>
      <c r="C492" s="24"/>
      <c r="D492" s="38"/>
      <c r="E492" s="53" t="s">
        <v>13</v>
      </c>
      <c r="F492" s="18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s="15" customFormat="1" x14ac:dyDescent="0.25">
      <c r="A493" s="4"/>
      <c r="B493" s="120" t="s">
        <v>22</v>
      </c>
      <c r="C493" s="85" t="s">
        <v>341</v>
      </c>
      <c r="D493" s="100"/>
      <c r="E493" s="52"/>
      <c r="F493" s="27"/>
      <c r="G493" s="13"/>
      <c r="H493" s="13"/>
    </row>
    <row r="494" spans="1:40" x14ac:dyDescent="0.25">
      <c r="B494" s="84" t="s">
        <v>15</v>
      </c>
      <c r="C494" s="121" t="s">
        <v>342</v>
      </c>
      <c r="D494" s="38"/>
      <c r="E494" s="53"/>
      <c r="F494" s="25"/>
      <c r="G494" s="24"/>
      <c r="H494" s="19" t="b">
        <f>IF(D497="x",H$2,H$1)</f>
        <v>0</v>
      </c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</row>
    <row r="495" spans="1:40" x14ac:dyDescent="0.25">
      <c r="B495" s="84" t="s">
        <v>15</v>
      </c>
      <c r="C495" s="121" t="s">
        <v>343</v>
      </c>
      <c r="D495" s="38"/>
      <c r="E495" s="53" t="s">
        <v>10</v>
      </c>
      <c r="F495" s="20" t="str">
        <f>IF(H496=1,IF(H494=H$2,H494,""),"")</f>
        <v/>
      </c>
      <c r="G495" s="24"/>
      <c r="H495" s="19" t="str">
        <f>IF(E$523="comprobar",COUNTIF(D494:D498,"x"),"")</f>
        <v/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4" t="s">
        <v>15</v>
      </c>
      <c r="C496" s="121" t="s">
        <v>344</v>
      </c>
      <c r="D496" s="38"/>
      <c r="E496" s="53" t="s">
        <v>11</v>
      </c>
      <c r="F496" s="21" t="str">
        <f>IF(H496=-0.33,IF(H494=H$1,H494,""),"")</f>
        <v/>
      </c>
      <c r="G496" s="24"/>
      <c r="H496" s="22">
        <f>IF(H495=1,IF(H494=H$2,1,-0.33),0)</f>
        <v>0</v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4" t="s">
        <v>15</v>
      </c>
      <c r="C497" s="121" t="s">
        <v>62</v>
      </c>
      <c r="D497" s="38"/>
      <c r="E497" s="53" t="s">
        <v>12</v>
      </c>
      <c r="F497" s="25"/>
      <c r="G497" s="24"/>
      <c r="H497" s="22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63"/>
      <c r="C498" s="24"/>
      <c r="D498" s="38"/>
      <c r="E498" s="53" t="s">
        <v>13</v>
      </c>
      <c r="F498" s="18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s="15" customFormat="1" x14ac:dyDescent="0.25">
      <c r="A499" s="4"/>
      <c r="B499" s="120" t="s">
        <v>23</v>
      </c>
      <c r="C499" s="85" t="s">
        <v>345</v>
      </c>
      <c r="D499" s="100"/>
      <c r="E499" s="52"/>
      <c r="F499" s="27"/>
      <c r="G499" s="13"/>
      <c r="H499" s="13"/>
    </row>
    <row r="500" spans="1:40" x14ac:dyDescent="0.25">
      <c r="B500" s="84" t="s">
        <v>15</v>
      </c>
      <c r="C500" s="121" t="s">
        <v>346</v>
      </c>
      <c r="D500" s="38"/>
      <c r="E500" s="53" t="s">
        <v>9</v>
      </c>
      <c r="F500" s="25"/>
      <c r="G500" s="24"/>
      <c r="H500" s="19" t="b">
        <f>IF(D502="x",H$2,H$1)</f>
        <v>0</v>
      </c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</row>
    <row r="501" spans="1:40" x14ac:dyDescent="0.25">
      <c r="B501" s="84" t="s">
        <v>15</v>
      </c>
      <c r="C501" s="121" t="s">
        <v>347</v>
      </c>
      <c r="D501" s="38"/>
      <c r="E501" s="53" t="s">
        <v>10</v>
      </c>
      <c r="F501" s="20" t="str">
        <f>IF(H502=1,IF(H500=H$2,H500,""),"")</f>
        <v/>
      </c>
      <c r="G501" s="24"/>
      <c r="H501" s="19" t="str">
        <f>IF(E$523="comprobar",COUNTIF(D500:D504,"x"),"")</f>
        <v/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4" t="s">
        <v>15</v>
      </c>
      <c r="C502" s="121" t="s">
        <v>348</v>
      </c>
      <c r="D502" s="38"/>
      <c r="E502" s="53" t="s">
        <v>11</v>
      </c>
      <c r="F502" s="21" t="str">
        <f>IF(H502=-0.33,IF(H500=H$1,H500,""),"")</f>
        <v/>
      </c>
      <c r="G502" s="24"/>
      <c r="H502" s="22">
        <f>IF(H501=1,IF(H500=H$2,1,-0.33),0)</f>
        <v>0</v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4" t="s">
        <v>15</v>
      </c>
      <c r="C503" s="121" t="s">
        <v>62</v>
      </c>
      <c r="D503" s="38"/>
      <c r="E503" s="53" t="s">
        <v>12</v>
      </c>
      <c r="F503" s="25"/>
      <c r="G503" s="24"/>
      <c r="H503" s="22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63"/>
      <c r="C504" s="24"/>
      <c r="D504" s="38"/>
      <c r="E504" s="53" t="s">
        <v>13</v>
      </c>
      <c r="F504" s="18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s="15" customFormat="1" x14ac:dyDescent="0.25">
      <c r="A505" s="4"/>
      <c r="B505" s="120" t="s">
        <v>24</v>
      </c>
      <c r="C505" s="85" t="s">
        <v>349</v>
      </c>
      <c r="D505" s="100"/>
      <c r="E505" s="52"/>
      <c r="F505" s="27"/>
      <c r="G505" s="13"/>
      <c r="H505" s="13"/>
    </row>
    <row r="506" spans="1:40" x14ac:dyDescent="0.25">
      <c r="B506" s="84" t="s">
        <v>15</v>
      </c>
      <c r="C506" s="121" t="s">
        <v>350</v>
      </c>
      <c r="D506" s="38"/>
      <c r="E506" s="53" t="s">
        <v>9</v>
      </c>
      <c r="F506" s="25"/>
      <c r="G506" s="24"/>
      <c r="H506" s="19" t="b">
        <f>IF(D507="x",H$2,H$1)</f>
        <v>0</v>
      </c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</row>
    <row r="507" spans="1:40" x14ac:dyDescent="0.25">
      <c r="B507" s="84" t="s">
        <v>15</v>
      </c>
      <c r="C507" s="121" t="s">
        <v>184</v>
      </c>
      <c r="D507" s="38"/>
      <c r="E507" s="53" t="s">
        <v>10</v>
      </c>
      <c r="F507" s="20" t="str">
        <f>IF(H508=1,IF(H506=H$2,H506,""),"")</f>
        <v/>
      </c>
      <c r="G507" s="24"/>
      <c r="H507" s="19" t="str">
        <f>IF(E$523="comprobar",COUNTIF(D506:D510,"x"),"")</f>
        <v/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4" t="s">
        <v>15</v>
      </c>
      <c r="C508" s="121" t="s">
        <v>351</v>
      </c>
      <c r="D508" s="38"/>
      <c r="E508" s="53" t="s">
        <v>11</v>
      </c>
      <c r="F508" s="21" t="str">
        <f>IF(H508=-0.33,IF(H506=H$1,H506,""),"")</f>
        <v/>
      </c>
      <c r="G508" s="24"/>
      <c r="H508" s="22">
        <f>IF(H507=1,IF(H506=H$2,1,-0.33),0)</f>
        <v>0</v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4" t="s">
        <v>15</v>
      </c>
      <c r="C509" s="121" t="s">
        <v>352</v>
      </c>
      <c r="D509" s="38"/>
      <c r="E509" s="53" t="s">
        <v>12</v>
      </c>
      <c r="F509" s="25"/>
      <c r="G509" s="24"/>
      <c r="H509" s="22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63"/>
      <c r="C510" s="24"/>
      <c r="D510" s="38"/>
      <c r="E510" s="53" t="s">
        <v>13</v>
      </c>
      <c r="F510" s="18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s="15" customFormat="1" x14ac:dyDescent="0.25">
      <c r="A511" s="4"/>
      <c r="B511" s="120" t="s">
        <v>29</v>
      </c>
      <c r="C511" s="85" t="s">
        <v>353</v>
      </c>
      <c r="D511" s="100"/>
      <c r="E511" s="52"/>
      <c r="F511" s="27"/>
      <c r="G511" s="13"/>
      <c r="H511" s="13"/>
    </row>
    <row r="512" spans="1:40" x14ac:dyDescent="0.25">
      <c r="B512" s="84" t="s">
        <v>15</v>
      </c>
      <c r="C512" s="121" t="s">
        <v>354</v>
      </c>
      <c r="D512" s="38"/>
      <c r="E512" s="53" t="s">
        <v>9</v>
      </c>
      <c r="F512" s="25"/>
      <c r="G512" s="24"/>
      <c r="H512" s="19" t="b">
        <f>IF(D512="x",H$2,H$1)</f>
        <v>0</v>
      </c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</row>
    <row r="513" spans="1:40" x14ac:dyDescent="0.25">
      <c r="B513" s="84" t="s">
        <v>15</v>
      </c>
      <c r="C513" s="121" t="s">
        <v>355</v>
      </c>
      <c r="D513" s="38"/>
      <c r="E513" s="53" t="s">
        <v>10</v>
      </c>
      <c r="F513" s="20" t="str">
        <f>IF(H514=1,IF(H512=H$2,H512,""),"")</f>
        <v/>
      </c>
      <c r="G513" s="24"/>
      <c r="H513" s="19" t="str">
        <f>IF(E$523="comprobar",COUNTIF(D512:D516,"x"),"")</f>
        <v/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4" t="s">
        <v>15</v>
      </c>
      <c r="C514" s="121" t="s">
        <v>356</v>
      </c>
      <c r="D514" s="38"/>
      <c r="E514" s="53" t="s">
        <v>11</v>
      </c>
      <c r="F514" s="21" t="str">
        <f>IF(H514=-0.33,IF(H512=H$1,H512,""),"")</f>
        <v/>
      </c>
      <c r="G514" s="24"/>
      <c r="H514" s="22">
        <f>IF(H513=1,IF(H512=H$2,1,-0.33),0)</f>
        <v>0</v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4" t="s">
        <v>15</v>
      </c>
      <c r="C515" s="121" t="s">
        <v>62</v>
      </c>
      <c r="D515" s="38"/>
      <c r="E515" s="53" t="s">
        <v>12</v>
      </c>
      <c r="F515" s="25"/>
      <c r="G515" s="24"/>
      <c r="H515" s="22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63"/>
      <c r="C516" s="24"/>
      <c r="D516" s="38"/>
      <c r="E516" s="53" t="s">
        <v>13</v>
      </c>
      <c r="F516" s="18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s="15" customFormat="1" x14ac:dyDescent="0.25">
      <c r="A517" s="4"/>
      <c r="B517" s="120" t="s">
        <v>27</v>
      </c>
      <c r="C517" s="85" t="s">
        <v>357</v>
      </c>
      <c r="D517" s="100"/>
      <c r="E517" s="52"/>
      <c r="F517" s="27"/>
      <c r="G517" s="13"/>
      <c r="H517" s="13"/>
    </row>
    <row r="518" spans="1:40" x14ac:dyDescent="0.25">
      <c r="B518" s="84" t="s">
        <v>15</v>
      </c>
      <c r="C518" s="121" t="s">
        <v>358</v>
      </c>
      <c r="D518" s="38"/>
      <c r="E518" s="53" t="s">
        <v>9</v>
      </c>
      <c r="F518" s="25"/>
      <c r="G518" s="24"/>
      <c r="H518" s="19" t="b">
        <f>IF(D520="x",H$2,H$1)</f>
        <v>0</v>
      </c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</row>
    <row r="519" spans="1:40" x14ac:dyDescent="0.25">
      <c r="B519" s="84" t="s">
        <v>15</v>
      </c>
      <c r="C519" s="121" t="s">
        <v>359</v>
      </c>
      <c r="D519" s="38"/>
      <c r="E519" s="53" t="s">
        <v>10</v>
      </c>
      <c r="F519" s="20" t="str">
        <f>IF(H520=1,IF(H518=H$2,H518,""),"")</f>
        <v/>
      </c>
      <c r="G519" s="24"/>
      <c r="H519" s="19" t="str">
        <f>IF(E$523="comprobar",COUNTIF(D518:D522,"x"),"")</f>
        <v/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4" t="s">
        <v>15</v>
      </c>
      <c r="C520" s="121" t="s">
        <v>360</v>
      </c>
      <c r="D520" s="38"/>
      <c r="E520" s="53" t="s">
        <v>11</v>
      </c>
      <c r="F520" s="21" t="str">
        <f>IF(H520=-0.33,IF(H518=H$1,H518,""),"")</f>
        <v/>
      </c>
      <c r="G520" s="24"/>
      <c r="H520" s="22">
        <f>IF(H519=1,IF(H518=H$2,1,-0.33),0)</f>
        <v>0</v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4" t="s">
        <v>15</v>
      </c>
      <c r="C521" s="121" t="s">
        <v>155</v>
      </c>
      <c r="D521" s="38"/>
      <c r="E521" s="53" t="s">
        <v>12</v>
      </c>
      <c r="F521" s="25"/>
      <c r="G521" s="24"/>
      <c r="H521" s="22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63"/>
      <c r="C522" s="24"/>
      <c r="D522" s="38"/>
      <c r="E522" s="53" t="s">
        <v>13</v>
      </c>
      <c r="F522" s="18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64"/>
      <c r="D523" s="48"/>
      <c r="E523" s="54"/>
      <c r="F523" s="18"/>
      <c r="H523" s="17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44"/>
      <c r="C524" s="40"/>
      <c r="D524" s="48"/>
      <c r="E524" s="54"/>
      <c r="F524" s="18"/>
      <c r="G524" s="17" t="s">
        <v>6</v>
      </c>
      <c r="H524" s="17" t="s">
        <v>7</v>
      </c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ht="19.5" x14ac:dyDescent="0.25">
      <c r="B525" s="44"/>
      <c r="C525" s="16"/>
      <c r="D525" s="80"/>
      <c r="E525" s="51"/>
      <c r="F525" s="29" t="str">
        <f>IF(E$523="comprobar",H466+H472+H478+H484+H490+H496+H502+H508+H514+H520,"")</f>
        <v/>
      </c>
      <c r="G525" s="17">
        <f>10/2</f>
        <v>5</v>
      </c>
      <c r="H525" s="17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ht="16.5" thickBot="1" x14ac:dyDescent="0.3">
      <c r="B526" s="45"/>
      <c r="C526" s="30"/>
      <c r="D526" s="31"/>
      <c r="E526" s="55"/>
      <c r="F526" s="32" t="str">
        <f>IF(F525&gt;G525,G524,H524)</f>
        <v>APROBADO</v>
      </c>
      <c r="G526" s="17"/>
      <c r="H526" s="17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ht="28.5" x14ac:dyDescent="0.45">
      <c r="B527" s="61" t="s">
        <v>33</v>
      </c>
      <c r="C527" s="81" t="s">
        <v>16</v>
      </c>
      <c r="D527" s="81"/>
      <c r="E527" s="81"/>
      <c r="F527" s="82"/>
    </row>
    <row r="528" spans="1:40" s="15" customFormat="1" x14ac:dyDescent="0.25">
      <c r="A528" s="4"/>
      <c r="B528" s="120" t="s">
        <v>18</v>
      </c>
      <c r="C528" s="85" t="s">
        <v>361</v>
      </c>
      <c r="D528" s="12"/>
      <c r="E528" s="12"/>
      <c r="F528" s="14"/>
      <c r="G528" s="26"/>
      <c r="H528" s="13"/>
    </row>
    <row r="529" spans="1:8" x14ac:dyDescent="0.25">
      <c r="B529" s="84" t="s">
        <v>15</v>
      </c>
      <c r="C529" s="121" t="s">
        <v>362</v>
      </c>
      <c r="D529" s="38"/>
      <c r="E529" s="80" t="s">
        <v>9</v>
      </c>
      <c r="F529" s="18"/>
      <c r="G529" s="24"/>
      <c r="H529" s="19" t="b">
        <f>IF(D532="x",H$2,H$1)</f>
        <v>0</v>
      </c>
    </row>
    <row r="530" spans="1:8" x14ac:dyDescent="0.25">
      <c r="B530" s="84" t="s">
        <v>15</v>
      </c>
      <c r="C530" s="121" t="s">
        <v>363</v>
      </c>
      <c r="D530" s="38"/>
      <c r="E530" s="80" t="s">
        <v>10</v>
      </c>
      <c r="F530" s="20" t="str">
        <f>IF(H531=1,IF(H529=H$2,H529,""),"")</f>
        <v/>
      </c>
      <c r="G530" s="24"/>
      <c r="H530" s="19" t="str">
        <f>IF(E$588="comprobar",COUNTIF(D529:D533,"x"),"")</f>
        <v/>
      </c>
    </row>
    <row r="531" spans="1:8" x14ac:dyDescent="0.25">
      <c r="B531" s="84" t="s">
        <v>15</v>
      </c>
      <c r="C531" s="121" t="s">
        <v>364</v>
      </c>
      <c r="D531" s="38"/>
      <c r="E531" s="80" t="s">
        <v>11</v>
      </c>
      <c r="F531" s="21" t="str">
        <f>IF(H531=-0.33,IF(H529=H$1,H529,""),"")</f>
        <v/>
      </c>
      <c r="G531" s="24"/>
      <c r="H531" s="22">
        <f>IF(H530=1,IF(H529=H$2,1,-0.33),0)</f>
        <v>0</v>
      </c>
    </row>
    <row r="532" spans="1:8" x14ac:dyDescent="0.25">
      <c r="B532" s="84" t="s">
        <v>15</v>
      </c>
      <c r="C532" s="121" t="s">
        <v>62</v>
      </c>
      <c r="D532" s="38"/>
      <c r="E532" s="80" t="s">
        <v>12</v>
      </c>
      <c r="F532" s="18"/>
      <c r="G532" s="24"/>
      <c r="H532" s="22"/>
    </row>
    <row r="533" spans="1:8" x14ac:dyDescent="0.25">
      <c r="B533" s="42"/>
      <c r="C533" s="24"/>
      <c r="D533" s="38"/>
      <c r="E533" s="80" t="s">
        <v>13</v>
      </c>
      <c r="F533" s="18"/>
      <c r="G533" s="17"/>
      <c r="H533" s="22"/>
    </row>
    <row r="534" spans="1:8" s="15" customFormat="1" x14ac:dyDescent="0.25">
      <c r="A534" s="4"/>
      <c r="B534" s="123" t="s">
        <v>17</v>
      </c>
      <c r="C534" s="85" t="s">
        <v>365</v>
      </c>
      <c r="D534" s="39"/>
      <c r="E534" s="12"/>
      <c r="F534" s="14"/>
      <c r="G534" s="26"/>
      <c r="H534" s="13"/>
    </row>
    <row r="535" spans="1:8" x14ac:dyDescent="0.25">
      <c r="B535" s="84" t="s">
        <v>15</v>
      </c>
      <c r="C535" s="121" t="s">
        <v>366</v>
      </c>
      <c r="D535" s="38"/>
      <c r="E535" s="80" t="s">
        <v>9</v>
      </c>
      <c r="F535" s="18"/>
      <c r="G535" s="24"/>
      <c r="H535" s="19" t="b">
        <f>IF(D535="x",H$2,H$1)</f>
        <v>0</v>
      </c>
    </row>
    <row r="536" spans="1:8" x14ac:dyDescent="0.25">
      <c r="B536" s="84" t="s">
        <v>15</v>
      </c>
      <c r="C536" s="121" t="s">
        <v>367</v>
      </c>
      <c r="D536" s="38"/>
      <c r="E536" s="80" t="s">
        <v>10</v>
      </c>
      <c r="F536" s="20" t="str">
        <f>IF(H537=1,IF(H535=H$2,H535,""),"")</f>
        <v/>
      </c>
      <c r="G536" s="24"/>
      <c r="H536" s="19" t="str">
        <f>IF(E$588="comprobar",COUNTIF(D535:D539,"x"),"")</f>
        <v/>
      </c>
    </row>
    <row r="537" spans="1:8" x14ac:dyDescent="0.25">
      <c r="B537" s="84" t="s">
        <v>15</v>
      </c>
      <c r="C537" s="121" t="s">
        <v>368</v>
      </c>
      <c r="D537" s="38"/>
      <c r="E537" s="80" t="s">
        <v>11</v>
      </c>
      <c r="F537" s="21" t="str">
        <f>IF(H537=-0.33,IF(H535=H$1,H535,""),"")</f>
        <v/>
      </c>
      <c r="G537" s="24"/>
      <c r="H537" s="22">
        <f t="shared" ref="H537" si="47">IF(H536=1,IF(H535=H$2,1,-0.33),0)</f>
        <v>0</v>
      </c>
    </row>
    <row r="538" spans="1:8" x14ac:dyDescent="0.25">
      <c r="B538" s="84" t="s">
        <v>15</v>
      </c>
      <c r="C538" s="121" t="s">
        <v>369</v>
      </c>
      <c r="D538" s="38"/>
      <c r="E538" s="80" t="s">
        <v>12</v>
      </c>
      <c r="F538" s="18"/>
      <c r="G538" s="24"/>
      <c r="H538" s="22"/>
    </row>
    <row r="539" spans="1:8" x14ac:dyDescent="0.25">
      <c r="B539" s="84"/>
      <c r="C539" s="24"/>
      <c r="D539" s="38"/>
      <c r="E539" s="80" t="s">
        <v>13</v>
      </c>
      <c r="F539" s="18"/>
      <c r="G539" s="17"/>
      <c r="H539" s="22"/>
    </row>
    <row r="540" spans="1:8" s="15" customFormat="1" x14ac:dyDescent="0.25">
      <c r="A540" s="4"/>
      <c r="B540" s="123" t="s">
        <v>19</v>
      </c>
      <c r="C540" s="85" t="s">
        <v>370</v>
      </c>
      <c r="D540" s="39"/>
      <c r="E540" s="12"/>
      <c r="F540" s="14"/>
      <c r="G540" s="26"/>
      <c r="H540" s="13"/>
    </row>
    <row r="541" spans="1:8" x14ac:dyDescent="0.25">
      <c r="B541" s="84" t="s">
        <v>15</v>
      </c>
      <c r="C541" s="121" t="s">
        <v>371</v>
      </c>
      <c r="D541" s="38"/>
      <c r="E541" s="80" t="s">
        <v>9</v>
      </c>
      <c r="F541" s="18"/>
      <c r="G541" s="24"/>
      <c r="H541" s="19" t="b">
        <f>IF(D542="x",H$2,H$1)</f>
        <v>0</v>
      </c>
    </row>
    <row r="542" spans="1:8" x14ac:dyDescent="0.25">
      <c r="B542" s="84" t="s">
        <v>15</v>
      </c>
      <c r="C542" s="121" t="s">
        <v>372</v>
      </c>
      <c r="D542" s="38"/>
      <c r="E542" s="80" t="s">
        <v>10</v>
      </c>
      <c r="F542" s="20" t="str">
        <f>IF(H543=1,IF(H541=H$2,H541,""),"")</f>
        <v/>
      </c>
      <c r="G542" s="24"/>
      <c r="H542" s="19" t="str">
        <f>IF(E$588="comprobar",COUNTIF(D541:D545,"x"),"")</f>
        <v/>
      </c>
    </row>
    <row r="543" spans="1:8" x14ac:dyDescent="0.25">
      <c r="B543" s="84" t="s">
        <v>15</v>
      </c>
      <c r="C543" s="121" t="s">
        <v>373</v>
      </c>
      <c r="D543" s="38"/>
      <c r="E543" s="80" t="s">
        <v>11</v>
      </c>
      <c r="F543" s="21" t="str">
        <f>IF(H543=-0.33,IF(H541=H$1,H541,""),"")</f>
        <v/>
      </c>
      <c r="G543" s="24"/>
      <c r="H543" s="22">
        <f t="shared" ref="H543" si="48">IF(H542=1,IF(H541=H$2,1,-0.33),0)</f>
        <v>0</v>
      </c>
    </row>
    <row r="544" spans="1:8" x14ac:dyDescent="0.25">
      <c r="B544" s="84" t="s">
        <v>15</v>
      </c>
      <c r="C544" s="121" t="s">
        <v>62</v>
      </c>
      <c r="D544" s="38"/>
      <c r="E544" s="80" t="s">
        <v>12</v>
      </c>
      <c r="F544" s="18"/>
      <c r="G544" s="24"/>
      <c r="H544" s="22"/>
    </row>
    <row r="545" spans="1:8" x14ac:dyDescent="0.25">
      <c r="B545" s="84"/>
      <c r="C545" s="24"/>
      <c r="D545" s="38"/>
      <c r="E545" s="80" t="s">
        <v>13</v>
      </c>
      <c r="F545" s="18"/>
      <c r="G545" s="17"/>
      <c r="H545" s="22"/>
    </row>
    <row r="546" spans="1:8" s="15" customFormat="1" x14ac:dyDescent="0.25">
      <c r="A546" s="4"/>
      <c r="B546" s="123" t="s">
        <v>20</v>
      </c>
      <c r="C546" s="85" t="s">
        <v>374</v>
      </c>
      <c r="D546" s="39"/>
      <c r="E546" s="12"/>
      <c r="F546" s="14"/>
      <c r="G546" s="26"/>
      <c r="H546" s="13"/>
    </row>
    <row r="547" spans="1:8" x14ac:dyDescent="0.25">
      <c r="B547" s="84" t="s">
        <v>15</v>
      </c>
      <c r="C547" s="121" t="s">
        <v>375</v>
      </c>
      <c r="D547" s="38"/>
      <c r="E547" s="80" t="s">
        <v>9</v>
      </c>
      <c r="F547" s="18"/>
      <c r="G547" s="24"/>
      <c r="H547" s="19" t="b">
        <f>IF(D550="x",H$2,H$1)</f>
        <v>0</v>
      </c>
    </row>
    <row r="548" spans="1:8" x14ac:dyDescent="0.25">
      <c r="B548" s="84" t="s">
        <v>15</v>
      </c>
      <c r="C548" s="121" t="s">
        <v>376</v>
      </c>
      <c r="D548" s="38"/>
      <c r="E548" s="80" t="s">
        <v>10</v>
      </c>
      <c r="F548" s="20" t="str">
        <f>IF(H549=1,IF(H547=H$2,H547,""),"")</f>
        <v/>
      </c>
      <c r="G548" s="24"/>
      <c r="H548" s="19" t="str">
        <f>IF(E$588="comprobar",COUNTIF(D547:D551,"x"),"")</f>
        <v/>
      </c>
    </row>
    <row r="549" spans="1:8" x14ac:dyDescent="0.25">
      <c r="B549" s="84" t="s">
        <v>15</v>
      </c>
      <c r="C549" s="121" t="s">
        <v>377</v>
      </c>
      <c r="D549" s="38"/>
      <c r="E549" s="80" t="s">
        <v>11</v>
      </c>
      <c r="F549" s="21" t="str">
        <f>IF(H549=-0.33,IF(H547=H$1,H547,""),"")</f>
        <v/>
      </c>
      <c r="G549" s="24"/>
      <c r="H549" s="22">
        <f t="shared" ref="H549" si="49">IF(H548=1,IF(H547=H$2,1,-0.33),0)</f>
        <v>0</v>
      </c>
    </row>
    <row r="550" spans="1:8" x14ac:dyDescent="0.25">
      <c r="B550" s="84" t="s">
        <v>15</v>
      </c>
      <c r="C550" s="121" t="s">
        <v>96</v>
      </c>
      <c r="D550" s="38"/>
      <c r="E550" s="80" t="s">
        <v>12</v>
      </c>
      <c r="F550" s="18"/>
      <c r="G550" s="24"/>
      <c r="H550" s="22"/>
    </row>
    <row r="551" spans="1:8" x14ac:dyDescent="0.25">
      <c r="B551" s="84"/>
      <c r="C551" s="24"/>
      <c r="D551" s="38"/>
      <c r="E551" s="80" t="s">
        <v>13</v>
      </c>
      <c r="F551" s="18"/>
      <c r="G551" s="17"/>
      <c r="H551" s="22"/>
    </row>
    <row r="552" spans="1:8" s="15" customFormat="1" x14ac:dyDescent="0.25">
      <c r="A552" s="4"/>
      <c r="B552" s="123" t="s">
        <v>21</v>
      </c>
      <c r="C552" s="85" t="s">
        <v>378</v>
      </c>
      <c r="D552" s="39"/>
      <c r="E552" s="12"/>
      <c r="F552" s="14"/>
      <c r="G552" s="26"/>
      <c r="H552" s="13"/>
    </row>
    <row r="553" spans="1:8" x14ac:dyDescent="0.25">
      <c r="B553" s="84" t="s">
        <v>15</v>
      </c>
      <c r="C553" s="121" t="s">
        <v>379</v>
      </c>
      <c r="D553" s="38"/>
      <c r="E553" s="80" t="s">
        <v>9</v>
      </c>
      <c r="F553" s="18"/>
      <c r="G553" s="24"/>
      <c r="H553" s="19" t="b">
        <f>IF(D553="x",H$2,H$1)</f>
        <v>0</v>
      </c>
    </row>
    <row r="554" spans="1:8" x14ac:dyDescent="0.25">
      <c r="B554" s="84" t="s">
        <v>15</v>
      </c>
      <c r="C554" s="121" t="s">
        <v>380</v>
      </c>
      <c r="D554" s="38"/>
      <c r="E554" s="80" t="s">
        <v>10</v>
      </c>
      <c r="F554" s="20" t="str">
        <f>IF(H555=1,IF(H553=H$2,H553,""),"")</f>
        <v/>
      </c>
      <c r="G554" s="24"/>
      <c r="H554" s="19" t="str">
        <f>IF(E$588="comprobar",COUNTIF(D553:D557,"x"),"")</f>
        <v/>
      </c>
    </row>
    <row r="555" spans="1:8" x14ac:dyDescent="0.25">
      <c r="B555" s="84" t="s">
        <v>15</v>
      </c>
      <c r="C555" s="121" t="s">
        <v>381</v>
      </c>
      <c r="D555" s="38"/>
      <c r="E555" s="80" t="s">
        <v>11</v>
      </c>
      <c r="F555" s="21" t="str">
        <f>IF(H555=-0.33,IF(H553=H$1,H553,""),"")</f>
        <v/>
      </c>
      <c r="G555" s="24"/>
      <c r="H555" s="22">
        <f t="shared" ref="H555" si="50">IF(H554=1,IF(H553=H$2,1,-0.33),0)</f>
        <v>0</v>
      </c>
    </row>
    <row r="556" spans="1:8" x14ac:dyDescent="0.25">
      <c r="B556" s="84" t="s">
        <v>15</v>
      </c>
      <c r="C556" s="121" t="s">
        <v>62</v>
      </c>
      <c r="D556" s="38"/>
      <c r="E556" s="80" t="s">
        <v>12</v>
      </c>
      <c r="F556" s="18"/>
      <c r="G556" s="24"/>
      <c r="H556" s="22"/>
    </row>
    <row r="557" spans="1:8" x14ac:dyDescent="0.25">
      <c r="B557" s="84"/>
      <c r="C557" s="24"/>
      <c r="D557" s="38"/>
      <c r="E557" s="80" t="s">
        <v>13</v>
      </c>
      <c r="F557" s="18"/>
      <c r="G557" s="17"/>
      <c r="H557" s="22"/>
    </row>
    <row r="558" spans="1:8" s="15" customFormat="1" x14ac:dyDescent="0.25">
      <c r="A558" s="4"/>
      <c r="B558" s="123" t="s">
        <v>22</v>
      </c>
      <c r="C558" s="85" t="s">
        <v>382</v>
      </c>
      <c r="D558" s="39"/>
      <c r="E558" s="12"/>
      <c r="F558" s="14"/>
      <c r="G558" s="26"/>
      <c r="H558" s="13"/>
    </row>
    <row r="559" spans="1:8" x14ac:dyDescent="0.25">
      <c r="B559" s="84" t="s">
        <v>15</v>
      </c>
      <c r="C559" s="121" t="s">
        <v>383</v>
      </c>
      <c r="D559" s="38"/>
      <c r="E559" s="80" t="s">
        <v>9</v>
      </c>
      <c r="F559" s="18"/>
      <c r="G559" s="24"/>
      <c r="H559" s="19" t="b">
        <f>IF(D560="x",H$2,H$1)</f>
        <v>0</v>
      </c>
    </row>
    <row r="560" spans="1:8" x14ac:dyDescent="0.25">
      <c r="B560" s="84" t="s">
        <v>15</v>
      </c>
      <c r="C560" s="121" t="s">
        <v>384</v>
      </c>
      <c r="D560" s="38"/>
      <c r="E560" s="80" t="s">
        <v>10</v>
      </c>
      <c r="F560" s="20" t="str">
        <f>IF(H561=1,IF(H559=H$2,H559,""),"")</f>
        <v/>
      </c>
      <c r="G560" s="24"/>
      <c r="H560" s="19" t="str">
        <f>IF(E$588="comprobar",COUNTIF(D559:D563,"x"),"")</f>
        <v/>
      </c>
    </row>
    <row r="561" spans="1:8" x14ac:dyDescent="0.25">
      <c r="B561" s="84" t="s">
        <v>15</v>
      </c>
      <c r="C561" s="121" t="s">
        <v>385</v>
      </c>
      <c r="D561" s="38"/>
      <c r="E561" s="80" t="s">
        <v>11</v>
      </c>
      <c r="F561" s="21" t="str">
        <f>IF(H561=-0.33,IF(H559=H$1,H559,""),"")</f>
        <v/>
      </c>
      <c r="G561" s="24"/>
      <c r="H561" s="22">
        <f t="shared" ref="H561" si="51">IF(H560=1,IF(H559=H$2,1,-0.33),0)</f>
        <v>0</v>
      </c>
    </row>
    <row r="562" spans="1:8" x14ac:dyDescent="0.25">
      <c r="B562" s="84" t="s">
        <v>15</v>
      </c>
      <c r="C562" s="121" t="s">
        <v>96</v>
      </c>
      <c r="D562" s="38"/>
      <c r="E562" s="80" t="s">
        <v>12</v>
      </c>
      <c r="F562" s="18"/>
      <c r="G562" s="24"/>
      <c r="H562" s="22"/>
    </row>
    <row r="563" spans="1:8" x14ac:dyDescent="0.25">
      <c r="B563" s="42"/>
      <c r="C563" s="24"/>
      <c r="D563" s="38"/>
      <c r="E563" s="80" t="s">
        <v>13</v>
      </c>
      <c r="F563" s="18"/>
      <c r="G563" s="17"/>
      <c r="H563" s="22"/>
    </row>
    <row r="564" spans="1:8" s="15" customFormat="1" x14ac:dyDescent="0.25">
      <c r="A564" s="4"/>
      <c r="B564" s="123" t="s">
        <v>23</v>
      </c>
      <c r="C564" s="85" t="s">
        <v>386</v>
      </c>
      <c r="D564" s="39"/>
      <c r="E564" s="12"/>
      <c r="F564" s="14"/>
      <c r="G564" s="26"/>
      <c r="H564" s="13"/>
    </row>
    <row r="565" spans="1:8" x14ac:dyDescent="0.25">
      <c r="B565" s="84" t="s">
        <v>15</v>
      </c>
      <c r="C565" s="121" t="s">
        <v>387</v>
      </c>
      <c r="D565" s="38"/>
      <c r="E565" s="80" t="s">
        <v>9</v>
      </c>
      <c r="F565" s="18"/>
      <c r="G565" s="24"/>
      <c r="H565" s="19" t="b">
        <f>IF(D566="x",H$2,H$1)</f>
        <v>0</v>
      </c>
    </row>
    <row r="566" spans="1:8" x14ac:dyDescent="0.25">
      <c r="B566" s="84" t="s">
        <v>15</v>
      </c>
      <c r="C566" s="121" t="s">
        <v>388</v>
      </c>
      <c r="D566" s="38"/>
      <c r="E566" s="80" t="s">
        <v>10</v>
      </c>
      <c r="F566" s="20" t="str">
        <f>IF(H567=1,IF(H565=H$2,H565,""),"")</f>
        <v/>
      </c>
      <c r="G566" s="24"/>
      <c r="H566" s="19" t="str">
        <f>IF(E$588="comprobar",COUNTIF(D565:D569,"x"),"")</f>
        <v/>
      </c>
    </row>
    <row r="567" spans="1:8" x14ac:dyDescent="0.25">
      <c r="B567" s="84" t="s">
        <v>15</v>
      </c>
      <c r="C567" s="121" t="s">
        <v>389</v>
      </c>
      <c r="D567" s="38"/>
      <c r="E567" s="80" t="s">
        <v>11</v>
      </c>
      <c r="F567" s="21" t="str">
        <f>IF(H567=-0.33,IF(H565=H$1,H565,""),"")</f>
        <v/>
      </c>
      <c r="G567" s="24"/>
      <c r="H567" s="22">
        <f t="shared" ref="H567" si="52">IF(H566=1,IF(H565=H$2,1,-0.33),0)</f>
        <v>0</v>
      </c>
    </row>
    <row r="568" spans="1:8" x14ac:dyDescent="0.25">
      <c r="B568" s="84" t="s">
        <v>15</v>
      </c>
      <c r="C568" s="121" t="s">
        <v>390</v>
      </c>
      <c r="D568" s="38"/>
      <c r="E568" s="80" t="s">
        <v>12</v>
      </c>
      <c r="F568" s="18"/>
      <c r="G568" s="24"/>
      <c r="H568" s="22"/>
    </row>
    <row r="569" spans="1:8" x14ac:dyDescent="0.25">
      <c r="B569" s="42"/>
      <c r="C569" s="24"/>
      <c r="D569" s="38"/>
      <c r="E569" s="80" t="s">
        <v>13</v>
      </c>
      <c r="F569" s="18"/>
      <c r="G569" s="17"/>
      <c r="H569" s="22"/>
    </row>
    <row r="570" spans="1:8" s="15" customFormat="1" x14ac:dyDescent="0.25">
      <c r="A570" s="4"/>
      <c r="B570" s="123" t="s">
        <v>24</v>
      </c>
      <c r="C570" s="85" t="s">
        <v>391</v>
      </c>
      <c r="D570" s="39"/>
      <c r="E570" s="12"/>
      <c r="F570" s="14"/>
      <c r="G570" s="26"/>
      <c r="H570" s="13"/>
    </row>
    <row r="571" spans="1:8" x14ac:dyDescent="0.25">
      <c r="B571" s="84" t="s">
        <v>15</v>
      </c>
      <c r="C571" s="121" t="s">
        <v>392</v>
      </c>
      <c r="D571" s="38"/>
      <c r="E571" s="80" t="s">
        <v>9</v>
      </c>
      <c r="F571" s="18"/>
      <c r="G571" s="24"/>
      <c r="H571" s="19" t="b">
        <f>IF(D572="x",H$2,H$1)</f>
        <v>0</v>
      </c>
    </row>
    <row r="572" spans="1:8" x14ac:dyDescent="0.25">
      <c r="B572" s="84" t="s">
        <v>15</v>
      </c>
      <c r="C572" s="121" t="s">
        <v>393</v>
      </c>
      <c r="D572" s="38"/>
      <c r="E572" s="80" t="s">
        <v>10</v>
      </c>
      <c r="F572" s="20" t="str">
        <f>IF(H573=1,IF(H571=H$2,H571,""),"")</f>
        <v/>
      </c>
      <c r="G572" s="24"/>
      <c r="H572" s="19" t="str">
        <f>IF(E$588="comprobar",COUNTIF(D571:D575,"x"),"")</f>
        <v/>
      </c>
    </row>
    <row r="573" spans="1:8" x14ac:dyDescent="0.25">
      <c r="B573" s="84" t="s">
        <v>15</v>
      </c>
      <c r="C573" s="121" t="s">
        <v>394</v>
      </c>
      <c r="D573" s="38"/>
      <c r="E573" s="80" t="s">
        <v>11</v>
      </c>
      <c r="F573" s="21" t="str">
        <f>IF(H573=-0.33,IF(H571=H$1,H571,""),"")</f>
        <v/>
      </c>
      <c r="G573" s="24"/>
      <c r="H573" s="22">
        <f t="shared" ref="H573" si="53">IF(H572=1,IF(H571=H$2,1,-0.33),0)</f>
        <v>0</v>
      </c>
    </row>
    <row r="574" spans="1:8" x14ac:dyDescent="0.25">
      <c r="B574" s="84" t="s">
        <v>15</v>
      </c>
      <c r="C574" s="121" t="s">
        <v>62</v>
      </c>
      <c r="D574" s="38"/>
      <c r="E574" s="80" t="s">
        <v>12</v>
      </c>
      <c r="F574" s="18"/>
      <c r="G574" s="24"/>
      <c r="H574" s="22"/>
    </row>
    <row r="575" spans="1:8" x14ac:dyDescent="0.25">
      <c r="B575" s="109"/>
      <c r="C575" s="24"/>
      <c r="D575" s="38"/>
      <c r="E575" s="80" t="s">
        <v>13</v>
      </c>
      <c r="F575" s="18"/>
      <c r="G575" s="17"/>
      <c r="H575" s="22"/>
    </row>
    <row r="576" spans="1:8" x14ac:dyDescent="0.25">
      <c r="B576" s="123" t="s">
        <v>29</v>
      </c>
      <c r="C576" s="85" t="s">
        <v>395</v>
      </c>
      <c r="D576" s="39"/>
      <c r="E576" s="12"/>
      <c r="F576" s="14"/>
      <c r="G576" s="26"/>
      <c r="H576" s="13"/>
    </row>
    <row r="577" spans="2:8" x14ac:dyDescent="0.25">
      <c r="B577" s="84" t="s">
        <v>15</v>
      </c>
      <c r="C577" s="121" t="s">
        <v>396</v>
      </c>
      <c r="D577" s="38"/>
      <c r="E577" s="122" t="s">
        <v>9</v>
      </c>
      <c r="F577" s="18"/>
      <c r="G577" s="24"/>
      <c r="H577" s="19" t="b">
        <f>IF(D577="x",H$2,H$1)</f>
        <v>0</v>
      </c>
    </row>
    <row r="578" spans="2:8" x14ac:dyDescent="0.25">
      <c r="B578" s="84" t="s">
        <v>15</v>
      </c>
      <c r="C578" s="121" t="s">
        <v>397</v>
      </c>
      <c r="D578" s="38"/>
      <c r="E578" s="122" t="s">
        <v>10</v>
      </c>
      <c r="F578" s="20" t="str">
        <f>IF(H579=1,IF(H577=H$2,H577,""),"")</f>
        <v/>
      </c>
      <c r="G578" s="24"/>
      <c r="H578" s="19" t="str">
        <f>IF(E$588="comprobar",COUNTIF(D577:D581,"x"),"")</f>
        <v/>
      </c>
    </row>
    <row r="579" spans="2:8" x14ac:dyDescent="0.25">
      <c r="B579" s="84" t="s">
        <v>15</v>
      </c>
      <c r="C579" s="121" t="s">
        <v>398</v>
      </c>
      <c r="D579" s="38"/>
      <c r="E579" s="122" t="s">
        <v>11</v>
      </c>
      <c r="F579" s="21" t="str">
        <f>IF(H579=-0.33,IF(H577=H$1,H577,""),"")</f>
        <v/>
      </c>
      <c r="G579" s="24"/>
      <c r="H579" s="22">
        <f t="shared" ref="H579" si="54">IF(H578=1,IF(H577=H$2,1,-0.33),0)</f>
        <v>0</v>
      </c>
    </row>
    <row r="580" spans="2:8" x14ac:dyDescent="0.25">
      <c r="B580" s="84" t="s">
        <v>15</v>
      </c>
      <c r="C580" s="121" t="s">
        <v>62</v>
      </c>
      <c r="D580" s="38"/>
      <c r="E580" s="122" t="s">
        <v>12</v>
      </c>
      <c r="F580" s="18"/>
      <c r="G580" s="24"/>
      <c r="H580" s="22"/>
    </row>
    <row r="581" spans="2:8" x14ac:dyDescent="0.25">
      <c r="B581" s="109"/>
      <c r="C581" s="24"/>
      <c r="D581" s="38"/>
      <c r="E581" s="122" t="s">
        <v>13</v>
      </c>
      <c r="F581" s="18"/>
      <c r="G581" s="17"/>
      <c r="H581" s="22"/>
    </row>
    <row r="582" spans="2:8" x14ac:dyDescent="0.25">
      <c r="B582" s="123" t="s">
        <v>27</v>
      </c>
      <c r="C582" s="85" t="s">
        <v>399</v>
      </c>
      <c r="D582" s="39"/>
      <c r="E582" s="12"/>
      <c r="F582" s="14"/>
      <c r="G582" s="26"/>
      <c r="H582" s="13"/>
    </row>
    <row r="583" spans="2:8" x14ac:dyDescent="0.25">
      <c r="B583" s="84" t="s">
        <v>15</v>
      </c>
      <c r="C583" s="121" t="s">
        <v>400</v>
      </c>
      <c r="D583" s="38"/>
      <c r="E583" s="122" t="s">
        <v>9</v>
      </c>
      <c r="F583" s="18"/>
      <c r="G583" s="24"/>
      <c r="H583" s="19" t="b">
        <f>IF(D585="x",H$2,H$1)</f>
        <v>0</v>
      </c>
    </row>
    <row r="584" spans="2:8" x14ac:dyDescent="0.25">
      <c r="B584" s="84" t="s">
        <v>15</v>
      </c>
      <c r="C584" s="121" t="s">
        <v>401</v>
      </c>
      <c r="D584" s="38"/>
      <c r="E584" s="122" t="s">
        <v>10</v>
      </c>
      <c r="F584" s="20" t="str">
        <f>IF(H585=1,IF(H583=H$2,H583,""),"")</f>
        <v/>
      </c>
      <c r="G584" s="24"/>
      <c r="H584" s="19" t="str">
        <f>IF(E$588="comprobar",COUNTIF(D583:D587,"x"),"")</f>
        <v/>
      </c>
    </row>
    <row r="585" spans="2:8" x14ac:dyDescent="0.25">
      <c r="B585" s="84" t="s">
        <v>15</v>
      </c>
      <c r="C585" s="121" t="s">
        <v>402</v>
      </c>
      <c r="D585" s="38"/>
      <c r="E585" s="122" t="s">
        <v>11</v>
      </c>
      <c r="F585" s="21" t="str">
        <f>IF(H585=-0.33,IF(H583=H$1,H583,""),"")</f>
        <v/>
      </c>
      <c r="G585" s="24"/>
      <c r="H585" s="22">
        <f t="shared" ref="H585" si="55">IF(H584=1,IF(H583=H$2,1,-0.33),0)</f>
        <v>0</v>
      </c>
    </row>
    <row r="586" spans="2:8" x14ac:dyDescent="0.25">
      <c r="B586" s="84" t="s">
        <v>15</v>
      </c>
      <c r="C586" s="121" t="s">
        <v>403</v>
      </c>
      <c r="D586" s="38"/>
      <c r="E586" s="122" t="s">
        <v>12</v>
      </c>
      <c r="F586" s="18"/>
      <c r="G586" s="24"/>
      <c r="H586" s="22"/>
    </row>
    <row r="587" spans="2:8" x14ac:dyDescent="0.25">
      <c r="B587" s="109"/>
      <c r="C587" s="24"/>
      <c r="D587" s="38"/>
      <c r="E587" s="122" t="s">
        <v>13</v>
      </c>
      <c r="F587" s="18"/>
      <c r="G587" s="17"/>
      <c r="H587" s="22"/>
    </row>
    <row r="588" spans="2:8" x14ac:dyDescent="0.25">
      <c r="B588" s="109"/>
      <c r="C588" s="16"/>
      <c r="D588" s="48"/>
      <c r="E588" s="54"/>
      <c r="F588" s="18"/>
      <c r="G588" s="17"/>
      <c r="H588" s="22"/>
    </row>
    <row r="589" spans="2:8" x14ac:dyDescent="0.25">
      <c r="B589" s="42"/>
      <c r="C589" s="8"/>
      <c r="D589" s="48"/>
      <c r="E589" s="59"/>
      <c r="F589" s="28" t="s">
        <v>8</v>
      </c>
      <c r="G589" s="17" t="s">
        <v>6</v>
      </c>
      <c r="H589" s="17" t="s">
        <v>7</v>
      </c>
    </row>
    <row r="590" spans="2:8" ht="19.5" x14ac:dyDescent="0.25">
      <c r="B590" s="42"/>
      <c r="C590" s="8"/>
      <c r="D590" s="131"/>
      <c r="E590" s="131"/>
      <c r="F590" s="29" t="str">
        <f>IF(E$588="comprobar",H573+H567+H561+H555+H549+H543+H537+H531+H579+H585,"")</f>
        <v/>
      </c>
      <c r="G590" s="17">
        <f>10/2</f>
        <v>5</v>
      </c>
      <c r="H590" s="17"/>
    </row>
    <row r="591" spans="2:8" ht="16.5" thickBot="1" x14ac:dyDescent="0.3">
      <c r="B591" s="65"/>
      <c r="C591" s="66"/>
      <c r="D591" s="31"/>
      <c r="E591" s="9"/>
      <c r="F591" s="32" t="str">
        <f>IF(F590&gt;G590,G589,H589)</f>
        <v>APROBADO</v>
      </c>
      <c r="G591" s="17"/>
      <c r="H591" s="17"/>
    </row>
    <row r="592" spans="2:8" ht="28.5" x14ac:dyDescent="0.45">
      <c r="B592" s="61" t="s">
        <v>33</v>
      </c>
      <c r="C592" s="125" t="s">
        <v>404</v>
      </c>
      <c r="D592" s="125"/>
      <c r="E592" s="125"/>
      <c r="F592" s="126"/>
    </row>
    <row r="593" spans="2:10" x14ac:dyDescent="0.25">
      <c r="B593" s="120" t="s">
        <v>18</v>
      </c>
      <c r="C593" s="85" t="s">
        <v>408</v>
      </c>
      <c r="D593" s="12"/>
      <c r="E593" s="12"/>
      <c r="F593" s="14"/>
      <c r="G593" s="26"/>
      <c r="H593" s="13"/>
      <c r="I593" s="15"/>
      <c r="J593" s="15"/>
    </row>
    <row r="594" spans="2:10" x14ac:dyDescent="0.25">
      <c r="B594" s="84" t="s">
        <v>15</v>
      </c>
      <c r="C594" s="121" t="s">
        <v>409</v>
      </c>
      <c r="D594" s="38"/>
      <c r="E594" s="124"/>
      <c r="F594" s="18"/>
      <c r="G594" s="24"/>
      <c r="H594" s="19" t="b">
        <f>IF(D594="x",H$2,H$1)</f>
        <v>0</v>
      </c>
    </row>
    <row r="595" spans="2:10" x14ac:dyDescent="0.25">
      <c r="B595" s="84" t="s">
        <v>15</v>
      </c>
      <c r="C595" s="121" t="s">
        <v>363</v>
      </c>
      <c r="D595" s="38"/>
      <c r="E595" s="124" t="s">
        <v>10</v>
      </c>
      <c r="F595" s="20" t="str">
        <f>IF(H596=1,IF(H594=H$2,H594,""),"")</f>
        <v/>
      </c>
      <c r="G595" s="24"/>
      <c r="H595" s="19" t="str">
        <f>IF(E$653="comprobar",COUNTIF(D594:D598,"x"),"")</f>
        <v/>
      </c>
    </row>
    <row r="596" spans="2:10" x14ac:dyDescent="0.25">
      <c r="B596" s="84" t="s">
        <v>15</v>
      </c>
      <c r="C596" s="121" t="s">
        <v>410</v>
      </c>
      <c r="D596" s="38"/>
      <c r="E596" s="124" t="s">
        <v>11</v>
      </c>
      <c r="F596" s="21" t="str">
        <f>IF(H596=-0.33,IF(H594=H$1,H594,""),"")</f>
        <v/>
      </c>
      <c r="G596" s="24"/>
      <c r="H596" s="22">
        <f>IF(H595=1,IF(H594=H$2,1,-0.33),0)</f>
        <v>0</v>
      </c>
    </row>
    <row r="597" spans="2:10" x14ac:dyDescent="0.25">
      <c r="B597" s="84" t="s">
        <v>15</v>
      </c>
      <c r="C597" s="121" t="s">
        <v>96</v>
      </c>
      <c r="D597" s="38"/>
      <c r="E597" s="124" t="s">
        <v>12</v>
      </c>
      <c r="F597" s="18"/>
      <c r="G597" s="24"/>
      <c r="H597" s="22"/>
    </row>
    <row r="598" spans="2:10" x14ac:dyDescent="0.25">
      <c r="B598" s="42"/>
      <c r="C598" s="24"/>
      <c r="D598" s="38"/>
      <c r="E598" s="124" t="s">
        <v>13</v>
      </c>
      <c r="F598" s="18"/>
      <c r="G598" s="17"/>
      <c r="H598" s="22"/>
    </row>
    <row r="599" spans="2:10" x14ac:dyDescent="0.25">
      <c r="B599" s="123" t="s">
        <v>17</v>
      </c>
      <c r="C599" s="85" t="s">
        <v>411</v>
      </c>
      <c r="D599" s="39"/>
      <c r="E599" s="12"/>
      <c r="F599" s="14"/>
      <c r="G599" s="26"/>
      <c r="H599" s="13"/>
      <c r="I599" s="15"/>
      <c r="J599" s="15"/>
    </row>
    <row r="600" spans="2:10" x14ac:dyDescent="0.25">
      <c r="B600" s="84" t="s">
        <v>15</v>
      </c>
      <c r="C600" s="121" t="s">
        <v>569</v>
      </c>
      <c r="D600" s="38"/>
      <c r="E600" s="124" t="s">
        <v>9</v>
      </c>
      <c r="F600" s="18"/>
      <c r="G600" s="24"/>
      <c r="H600" s="19" t="b">
        <f>IF(D602="x",H$2,H$1)</f>
        <v>0</v>
      </c>
    </row>
    <row r="601" spans="2:10" x14ac:dyDescent="0.25">
      <c r="B601" s="84" t="s">
        <v>15</v>
      </c>
      <c r="C601" s="121" t="s">
        <v>367</v>
      </c>
      <c r="D601" s="38"/>
      <c r="E601" s="124" t="s">
        <v>10</v>
      </c>
      <c r="F601" s="20" t="str">
        <f>IF(H602=1,IF(H600=H$2,H600,""),"")</f>
        <v/>
      </c>
      <c r="G601" s="24"/>
      <c r="H601" s="19" t="str">
        <f>IF(E$653="comprobar",COUNTIF(D600:D604,"x"),"")</f>
        <v/>
      </c>
    </row>
    <row r="602" spans="2:10" x14ac:dyDescent="0.25">
      <c r="B602" s="84" t="s">
        <v>15</v>
      </c>
      <c r="C602" s="121" t="s">
        <v>570</v>
      </c>
      <c r="D602" s="38"/>
      <c r="E602" s="124" t="s">
        <v>11</v>
      </c>
      <c r="F602" s="21" t="str">
        <f>IF(H602=-0.33,IF(H600=H$1,H600,""),"")</f>
        <v/>
      </c>
      <c r="G602" s="24"/>
      <c r="H602" s="22">
        <f t="shared" ref="H602" si="56">IF(H601=1,IF(H600=H$2,1,-0.33),0)</f>
        <v>0</v>
      </c>
    </row>
    <row r="603" spans="2:10" x14ac:dyDescent="0.25">
      <c r="B603" s="84" t="s">
        <v>15</v>
      </c>
      <c r="C603" s="121" t="s">
        <v>62</v>
      </c>
      <c r="D603" s="38"/>
      <c r="E603" s="124" t="s">
        <v>12</v>
      </c>
      <c r="F603" s="18"/>
      <c r="G603" s="24"/>
      <c r="H603" s="22"/>
    </row>
    <row r="604" spans="2:10" x14ac:dyDescent="0.25">
      <c r="B604" s="84"/>
      <c r="C604" s="24"/>
      <c r="D604" s="38"/>
      <c r="E604" s="124" t="s">
        <v>13</v>
      </c>
      <c r="F604" s="18"/>
      <c r="G604" s="17"/>
      <c r="H604" s="22"/>
    </row>
    <row r="605" spans="2:10" x14ac:dyDescent="0.25">
      <c r="B605" s="123" t="s">
        <v>19</v>
      </c>
      <c r="C605" s="85" t="s">
        <v>412</v>
      </c>
      <c r="D605" s="39"/>
      <c r="E605" s="12"/>
      <c r="F605" s="14"/>
      <c r="G605" s="26"/>
      <c r="H605" s="13"/>
      <c r="I605" s="15"/>
      <c r="J605" s="15"/>
    </row>
    <row r="606" spans="2:10" x14ac:dyDescent="0.25">
      <c r="B606" s="84" t="s">
        <v>15</v>
      </c>
      <c r="C606" s="121" t="s">
        <v>371</v>
      </c>
      <c r="D606" s="38"/>
      <c r="E606" s="124" t="s">
        <v>9</v>
      </c>
      <c r="F606" s="18"/>
      <c r="G606" s="24"/>
      <c r="H606" s="19" t="b">
        <f>IF(D606="x",H$2,H$1)</f>
        <v>0</v>
      </c>
    </row>
    <row r="607" spans="2:10" x14ac:dyDescent="0.25">
      <c r="B607" s="84" t="s">
        <v>15</v>
      </c>
      <c r="C607" s="121" t="s">
        <v>413</v>
      </c>
      <c r="D607" s="38"/>
      <c r="E607" s="124" t="s">
        <v>10</v>
      </c>
      <c r="F607" s="20" t="str">
        <f>IF(H608=1,IF(H606=H$2,H606,""),"")</f>
        <v/>
      </c>
      <c r="G607" s="24"/>
      <c r="H607" s="19" t="str">
        <f>IF(E$653="comprobar",COUNTIF(D606:D610,"x"),"")</f>
        <v/>
      </c>
    </row>
    <row r="608" spans="2:10" x14ac:dyDescent="0.25">
      <c r="B608" s="84" t="s">
        <v>15</v>
      </c>
      <c r="C608" s="121" t="s">
        <v>373</v>
      </c>
      <c r="D608" s="38"/>
      <c r="E608" s="124" t="s">
        <v>11</v>
      </c>
      <c r="F608" s="21" t="str">
        <f>IF(H608=-0.33,IF(H606=H$1,H606,""),"")</f>
        <v/>
      </c>
      <c r="G608" s="24"/>
      <c r="H608" s="22">
        <f t="shared" ref="H608" si="57">IF(H607=1,IF(H606=H$2,1,-0.33),0)</f>
        <v>0</v>
      </c>
    </row>
    <row r="609" spans="2:10" x14ac:dyDescent="0.25">
      <c r="B609" s="84" t="s">
        <v>15</v>
      </c>
      <c r="C609" s="121" t="s">
        <v>62</v>
      </c>
      <c r="D609" s="38"/>
      <c r="E609" s="124" t="s">
        <v>12</v>
      </c>
      <c r="F609" s="18"/>
      <c r="G609" s="24"/>
      <c r="H609" s="22"/>
    </row>
    <row r="610" spans="2:10" x14ac:dyDescent="0.25">
      <c r="B610" s="84"/>
      <c r="C610" s="24"/>
      <c r="D610" s="38"/>
      <c r="E610" s="124" t="s">
        <v>13</v>
      </c>
      <c r="F610" s="18"/>
      <c r="G610" s="17"/>
      <c r="H610" s="22"/>
    </row>
    <row r="611" spans="2:10" x14ac:dyDescent="0.25">
      <c r="B611" s="123" t="s">
        <v>20</v>
      </c>
      <c r="C611" s="85" t="s">
        <v>414</v>
      </c>
      <c r="D611" s="39"/>
      <c r="E611" s="12"/>
      <c r="F611" s="14"/>
      <c r="G611" s="26"/>
      <c r="H611" s="13"/>
      <c r="I611" s="15"/>
      <c r="J611" s="15"/>
    </row>
    <row r="612" spans="2:10" x14ac:dyDescent="0.25">
      <c r="B612" s="84" t="s">
        <v>15</v>
      </c>
      <c r="C612" s="121" t="s">
        <v>415</v>
      </c>
      <c r="D612" s="38"/>
      <c r="E612" s="124" t="s">
        <v>9</v>
      </c>
      <c r="F612" s="18"/>
      <c r="G612" s="24"/>
      <c r="H612" s="19" t="b">
        <f>IF(D613="x",H$2,H$1)</f>
        <v>0</v>
      </c>
    </row>
    <row r="613" spans="2:10" x14ac:dyDescent="0.25">
      <c r="B613" s="84" t="s">
        <v>15</v>
      </c>
      <c r="C613" s="121" t="s">
        <v>416</v>
      </c>
      <c r="D613" s="38"/>
      <c r="E613" s="124" t="s">
        <v>10</v>
      </c>
      <c r="F613" s="20" t="str">
        <f>IF(H614=1,IF(H612=H$2,H612,""),"")</f>
        <v/>
      </c>
      <c r="G613" s="24"/>
      <c r="H613" s="19" t="str">
        <f>IF(E$653="comprobar",COUNTIF(D612:D616,"x"),"")</f>
        <v/>
      </c>
    </row>
    <row r="614" spans="2:10" x14ac:dyDescent="0.25">
      <c r="B614" s="84" t="s">
        <v>15</v>
      </c>
      <c r="C614" s="121" t="s">
        <v>417</v>
      </c>
      <c r="D614" s="38"/>
      <c r="E614" s="124" t="s">
        <v>11</v>
      </c>
      <c r="F614" s="21" t="str">
        <f>IF(H614=-0.33,IF(H612=H$1,H612,""),"")</f>
        <v/>
      </c>
      <c r="G614" s="24"/>
      <c r="H614" s="22">
        <f t="shared" ref="H614" si="58">IF(H613=1,IF(H612=H$2,1,-0.33),0)</f>
        <v>0</v>
      </c>
    </row>
    <row r="615" spans="2:10" x14ac:dyDescent="0.25">
      <c r="B615" s="84" t="s">
        <v>15</v>
      </c>
      <c r="C615" s="121" t="s">
        <v>62</v>
      </c>
      <c r="D615" s="38"/>
      <c r="E615" s="124" t="s">
        <v>12</v>
      </c>
      <c r="F615" s="18"/>
      <c r="G615" s="24"/>
      <c r="H615" s="22"/>
    </row>
    <row r="616" spans="2:10" x14ac:dyDescent="0.25">
      <c r="B616" s="84"/>
      <c r="C616" s="24"/>
      <c r="D616" s="38"/>
      <c r="E616" s="124" t="s">
        <v>13</v>
      </c>
      <c r="F616" s="18"/>
      <c r="G616" s="17"/>
      <c r="H616" s="22"/>
    </row>
    <row r="617" spans="2:10" x14ac:dyDescent="0.25">
      <c r="B617" s="123" t="s">
        <v>21</v>
      </c>
      <c r="C617" s="85" t="s">
        <v>418</v>
      </c>
      <c r="D617" s="39"/>
      <c r="E617" s="12"/>
      <c r="F617" s="14"/>
      <c r="G617" s="26"/>
      <c r="H617" s="13"/>
      <c r="I617" s="15"/>
      <c r="J617" s="15"/>
    </row>
    <row r="618" spans="2:10" x14ac:dyDescent="0.25">
      <c r="B618" s="84" t="s">
        <v>15</v>
      </c>
      <c r="C618" s="121" t="s">
        <v>419</v>
      </c>
      <c r="D618" s="38"/>
      <c r="E618" s="124" t="s">
        <v>9</v>
      </c>
      <c r="F618" s="18"/>
      <c r="G618" s="24"/>
      <c r="H618" s="19" t="b">
        <f>IF(D619="x",H$2,H$1)</f>
        <v>0</v>
      </c>
    </row>
    <row r="619" spans="2:10" x14ac:dyDescent="0.25">
      <c r="B619" s="84" t="s">
        <v>15</v>
      </c>
      <c r="C619" s="121" t="s">
        <v>420</v>
      </c>
      <c r="D619" s="38"/>
      <c r="E619" s="124" t="s">
        <v>10</v>
      </c>
      <c r="F619" s="20" t="str">
        <f>IF(H620=1,IF(H618=H$2,H618,""),"")</f>
        <v/>
      </c>
      <c r="G619" s="24"/>
      <c r="H619" s="19" t="str">
        <f>IF(E$653="comprobar",COUNTIF(D618:D622,"x"),"")</f>
        <v/>
      </c>
    </row>
    <row r="620" spans="2:10" x14ac:dyDescent="0.25">
      <c r="B620" s="84" t="s">
        <v>15</v>
      </c>
      <c r="C620" s="121" t="s">
        <v>421</v>
      </c>
      <c r="D620" s="38"/>
      <c r="E620" s="124" t="s">
        <v>11</v>
      </c>
      <c r="F620" s="21" t="str">
        <f>IF(H620=-0.33,IF(H618=H$1,H618,""),"")</f>
        <v/>
      </c>
      <c r="G620" s="24"/>
      <c r="H620" s="22">
        <f t="shared" ref="H620" si="59">IF(H619=1,IF(H618=H$2,1,-0.33),0)</f>
        <v>0</v>
      </c>
    </row>
    <row r="621" spans="2:10" x14ac:dyDescent="0.25">
      <c r="B621" s="84" t="s">
        <v>15</v>
      </c>
      <c r="C621" s="121" t="s">
        <v>422</v>
      </c>
      <c r="D621" s="38"/>
      <c r="E621" s="124" t="s">
        <v>12</v>
      </c>
      <c r="F621" s="18"/>
      <c r="G621" s="24"/>
      <c r="H621" s="22"/>
    </row>
    <row r="622" spans="2:10" x14ac:dyDescent="0.25">
      <c r="B622" s="84"/>
      <c r="C622" s="24"/>
      <c r="D622" s="38"/>
      <c r="E622" s="124" t="s">
        <v>13</v>
      </c>
      <c r="F622" s="18"/>
      <c r="G622" s="17"/>
      <c r="H622" s="22"/>
    </row>
    <row r="623" spans="2:10" x14ac:dyDescent="0.25">
      <c r="B623" s="123" t="s">
        <v>22</v>
      </c>
      <c r="C623" s="85" t="s">
        <v>423</v>
      </c>
      <c r="D623" s="39"/>
      <c r="E623" s="12"/>
      <c r="F623" s="14"/>
      <c r="G623" s="26"/>
      <c r="H623" s="13"/>
      <c r="I623" s="15"/>
      <c r="J623" s="15"/>
    </row>
    <row r="624" spans="2:10" x14ac:dyDescent="0.25">
      <c r="B624" s="84" t="s">
        <v>15</v>
      </c>
      <c r="C624" s="121" t="s">
        <v>424</v>
      </c>
      <c r="D624" s="38"/>
      <c r="E624" s="124" t="s">
        <v>9</v>
      </c>
      <c r="F624" s="18"/>
      <c r="G624" s="24"/>
      <c r="H624" s="19" t="b">
        <f>IF(D624="x",H$2,H$1)</f>
        <v>0</v>
      </c>
    </row>
    <row r="625" spans="2:10" x14ac:dyDescent="0.25">
      <c r="B625" s="84" t="s">
        <v>15</v>
      </c>
      <c r="C625" s="121" t="s">
        <v>425</v>
      </c>
      <c r="D625" s="38"/>
      <c r="E625" s="124" t="s">
        <v>10</v>
      </c>
      <c r="F625" s="20" t="str">
        <f>IF(H626=1,IF(H624=H$2,H624,""),"")</f>
        <v/>
      </c>
      <c r="G625" s="24"/>
      <c r="H625" s="19" t="str">
        <f>IF(E$653="comprobar",COUNTIF(D624:D628,"x"),"")</f>
        <v/>
      </c>
    </row>
    <row r="626" spans="2:10" x14ac:dyDescent="0.25">
      <c r="B626" s="84" t="s">
        <v>15</v>
      </c>
      <c r="C626" s="121" t="s">
        <v>426</v>
      </c>
      <c r="D626" s="38"/>
      <c r="E626" s="124" t="s">
        <v>11</v>
      </c>
      <c r="F626" s="21" t="str">
        <f>IF(H626=-0.33,IF(H624=H$1,H624,""),"")</f>
        <v/>
      </c>
      <c r="G626" s="24"/>
      <c r="H626" s="22">
        <f t="shared" ref="H626" si="60">IF(H625=1,IF(H624=H$2,1,-0.33),0)</f>
        <v>0</v>
      </c>
    </row>
    <row r="627" spans="2:10" x14ac:dyDescent="0.25">
      <c r="B627" s="84" t="s">
        <v>15</v>
      </c>
      <c r="C627" s="121" t="s">
        <v>427</v>
      </c>
      <c r="D627" s="38"/>
      <c r="E627" s="124" t="s">
        <v>12</v>
      </c>
      <c r="F627" s="18"/>
      <c r="G627" s="24"/>
      <c r="H627" s="22"/>
    </row>
    <row r="628" spans="2:10" x14ac:dyDescent="0.25">
      <c r="B628" s="42"/>
      <c r="C628" s="24"/>
      <c r="D628" s="38"/>
      <c r="E628" s="124" t="s">
        <v>13</v>
      </c>
      <c r="F628" s="18"/>
      <c r="G628" s="17"/>
      <c r="H628" s="22"/>
    </row>
    <row r="629" spans="2:10" x14ac:dyDescent="0.25">
      <c r="B629" s="123" t="s">
        <v>23</v>
      </c>
      <c r="C629" s="85" t="s">
        <v>428</v>
      </c>
      <c r="D629" s="39"/>
      <c r="E629" s="12"/>
      <c r="F629" s="14"/>
      <c r="G629" s="26"/>
      <c r="H629" s="13"/>
      <c r="I629" s="15"/>
      <c r="J629" s="15"/>
    </row>
    <row r="630" spans="2:10" x14ac:dyDescent="0.25">
      <c r="B630" s="84" t="s">
        <v>15</v>
      </c>
      <c r="C630" s="121" t="s">
        <v>429</v>
      </c>
      <c r="D630" s="38"/>
      <c r="E630" s="124" t="s">
        <v>9</v>
      </c>
      <c r="F630" s="18"/>
      <c r="G630" s="24"/>
      <c r="H630" s="19" t="b">
        <f>IF(D630="x",H$2,H$1)</f>
        <v>0</v>
      </c>
    </row>
    <row r="631" spans="2:10" x14ac:dyDescent="0.25">
      <c r="B631" s="84" t="s">
        <v>15</v>
      </c>
      <c r="C631" s="121" t="s">
        <v>430</v>
      </c>
      <c r="D631" s="38"/>
      <c r="E631" s="124" t="s">
        <v>10</v>
      </c>
      <c r="F631" s="20" t="str">
        <f>IF(H632=1,IF(H630=H$2,H630,""),"")</f>
        <v/>
      </c>
      <c r="G631" s="24"/>
      <c r="H631" s="19" t="str">
        <f>IF(E$653="comprobar",COUNTIF(D630:D634,"x"),"")</f>
        <v/>
      </c>
    </row>
    <row r="632" spans="2:10" x14ac:dyDescent="0.25">
      <c r="B632" s="84" t="s">
        <v>15</v>
      </c>
      <c r="C632" s="121" t="s">
        <v>431</v>
      </c>
      <c r="D632" s="38"/>
      <c r="E632" s="124" t="s">
        <v>11</v>
      </c>
      <c r="F632" s="21" t="str">
        <f>IF(H632=-0.33,IF(H630=H$1,H630,""),"")</f>
        <v/>
      </c>
      <c r="G632" s="24"/>
      <c r="H632" s="22">
        <f t="shared" ref="H632" si="61">IF(H631=1,IF(H630=H$2,1,-0.33),0)</f>
        <v>0</v>
      </c>
    </row>
    <row r="633" spans="2:10" x14ac:dyDescent="0.25">
      <c r="B633" s="84" t="s">
        <v>15</v>
      </c>
      <c r="C633" s="121" t="s">
        <v>432</v>
      </c>
      <c r="D633" s="38"/>
      <c r="E633" s="124" t="s">
        <v>12</v>
      </c>
      <c r="F633" s="18"/>
      <c r="G633" s="24"/>
      <c r="H633" s="22"/>
    </row>
    <row r="634" spans="2:10" x14ac:dyDescent="0.25">
      <c r="B634" s="42"/>
      <c r="C634" s="24"/>
      <c r="D634" s="38"/>
      <c r="E634" s="124" t="s">
        <v>13</v>
      </c>
      <c r="F634" s="18"/>
      <c r="G634" s="17"/>
      <c r="H634" s="22"/>
    </row>
    <row r="635" spans="2:10" x14ac:dyDescent="0.25">
      <c r="B635" s="123" t="s">
        <v>24</v>
      </c>
      <c r="C635" s="85" t="s">
        <v>433</v>
      </c>
      <c r="D635" s="39"/>
      <c r="E635" s="12"/>
      <c r="F635" s="14"/>
      <c r="G635" s="26"/>
      <c r="H635" s="13"/>
      <c r="I635" s="15"/>
      <c r="J635" s="15"/>
    </row>
    <row r="636" spans="2:10" x14ac:dyDescent="0.25">
      <c r="B636" s="84" t="s">
        <v>15</v>
      </c>
      <c r="C636" s="121" t="s">
        <v>434</v>
      </c>
      <c r="D636" s="38"/>
      <c r="E636" s="124" t="s">
        <v>9</v>
      </c>
      <c r="F636" s="18"/>
      <c r="G636" s="24"/>
      <c r="H636" s="19" t="b">
        <f>IF(D638="x",H$2,H$1)</f>
        <v>0</v>
      </c>
    </row>
    <row r="637" spans="2:10" x14ac:dyDescent="0.25">
      <c r="B637" s="84" t="s">
        <v>15</v>
      </c>
      <c r="C637" s="121" t="s">
        <v>435</v>
      </c>
      <c r="D637" s="38"/>
      <c r="E637" s="124" t="s">
        <v>10</v>
      </c>
      <c r="F637" s="20" t="str">
        <f>IF(H638=1,IF(H636=H$2,H636,""),"")</f>
        <v/>
      </c>
      <c r="G637" s="24"/>
      <c r="H637" s="19" t="str">
        <f>IF(E$653="comprobar",COUNTIF(D636:D640,"x"),"")</f>
        <v/>
      </c>
    </row>
    <row r="638" spans="2:10" x14ac:dyDescent="0.25">
      <c r="B638" s="84" t="s">
        <v>15</v>
      </c>
      <c r="C638" s="121" t="s">
        <v>436</v>
      </c>
      <c r="D638" s="38"/>
      <c r="E638" s="124" t="s">
        <v>11</v>
      </c>
      <c r="F638" s="21" t="str">
        <f>IF(H638=-0.33,IF(H636=H$1,H636,""),"")</f>
        <v/>
      </c>
      <c r="G638" s="24"/>
      <c r="H638" s="22">
        <f t="shared" ref="H638" si="62">IF(H637=1,IF(H636=H$2,1,-0.33),0)</f>
        <v>0</v>
      </c>
    </row>
    <row r="639" spans="2:10" x14ac:dyDescent="0.25">
      <c r="B639" s="84" t="s">
        <v>15</v>
      </c>
      <c r="C639" s="121" t="s">
        <v>437</v>
      </c>
      <c r="D639" s="38"/>
      <c r="E639" s="124" t="s">
        <v>12</v>
      </c>
      <c r="F639" s="18"/>
      <c r="G639" s="24"/>
      <c r="H639" s="22"/>
    </row>
    <row r="640" spans="2:10" x14ac:dyDescent="0.25">
      <c r="B640" s="109"/>
      <c r="C640" s="24"/>
      <c r="D640" s="38"/>
      <c r="E640" s="124" t="s">
        <v>13</v>
      </c>
      <c r="F640" s="18"/>
      <c r="G640" s="17"/>
      <c r="H640" s="22"/>
    </row>
    <row r="641" spans="2:8" x14ac:dyDescent="0.25">
      <c r="B641" s="123" t="s">
        <v>29</v>
      </c>
      <c r="C641" s="85" t="s">
        <v>438</v>
      </c>
      <c r="D641" s="39"/>
      <c r="E641" s="12"/>
      <c r="F641" s="14"/>
      <c r="G641" s="26"/>
      <c r="H641" s="13"/>
    </row>
    <row r="642" spans="2:8" x14ac:dyDescent="0.25">
      <c r="B642" s="84" t="s">
        <v>15</v>
      </c>
      <c r="C642" s="121" t="s">
        <v>439</v>
      </c>
      <c r="D642" s="38"/>
      <c r="E642" s="124" t="s">
        <v>9</v>
      </c>
      <c r="F642" s="18"/>
      <c r="G642" s="24"/>
      <c r="H642" s="19" t="b">
        <f>IF(D643="x",H$2,H$1)</f>
        <v>0</v>
      </c>
    </row>
    <row r="643" spans="2:8" x14ac:dyDescent="0.25">
      <c r="B643" s="84" t="s">
        <v>15</v>
      </c>
      <c r="C643" s="121" t="s">
        <v>440</v>
      </c>
      <c r="D643" s="38"/>
      <c r="E643" s="124" t="s">
        <v>10</v>
      </c>
      <c r="F643" s="20" t="str">
        <f>IF(H644=1,IF(H642=H$2,H642,""),"")</f>
        <v/>
      </c>
      <c r="G643" s="24"/>
      <c r="H643" s="19" t="str">
        <f>IF(E$653="comprobar",COUNTIF(D642:D646,"x"),"")</f>
        <v/>
      </c>
    </row>
    <row r="644" spans="2:8" x14ac:dyDescent="0.25">
      <c r="B644" s="84" t="s">
        <v>15</v>
      </c>
      <c r="C644" s="121" t="s">
        <v>441</v>
      </c>
      <c r="D644" s="38"/>
      <c r="E644" s="124" t="s">
        <v>11</v>
      </c>
      <c r="F644" s="21" t="str">
        <f>IF(H644=-0.33,IF(H642=H$1,H642,""),"")</f>
        <v/>
      </c>
      <c r="G644" s="24"/>
      <c r="H644" s="22">
        <f t="shared" ref="H644" si="63">IF(H643=1,IF(H642=H$2,1,-0.33),0)</f>
        <v>0</v>
      </c>
    </row>
    <row r="645" spans="2:8" x14ac:dyDescent="0.25">
      <c r="B645" s="84" t="s">
        <v>15</v>
      </c>
      <c r="C645" s="121" t="s">
        <v>62</v>
      </c>
      <c r="D645" s="38"/>
      <c r="E645" s="124" t="s">
        <v>12</v>
      </c>
      <c r="F645" s="18"/>
      <c r="G645" s="24"/>
      <c r="H645" s="22"/>
    </row>
    <row r="646" spans="2:8" x14ac:dyDescent="0.25">
      <c r="B646" s="109"/>
      <c r="C646" s="24"/>
      <c r="D646" s="38"/>
      <c r="E646" s="124" t="s">
        <v>13</v>
      </c>
      <c r="F646" s="18"/>
      <c r="G646" s="17"/>
      <c r="H646" s="22"/>
    </row>
    <row r="647" spans="2:8" x14ac:dyDescent="0.25">
      <c r="B647" s="123" t="s">
        <v>27</v>
      </c>
      <c r="C647" s="85" t="s">
        <v>442</v>
      </c>
      <c r="D647" s="39"/>
      <c r="E647" s="12"/>
      <c r="F647" s="14"/>
      <c r="G647" s="26"/>
      <c r="H647" s="13"/>
    </row>
    <row r="648" spans="2:8" x14ac:dyDescent="0.25">
      <c r="B648" s="84" t="s">
        <v>15</v>
      </c>
      <c r="C648" s="121" t="s">
        <v>443</v>
      </c>
      <c r="D648" s="38"/>
      <c r="E648" s="124" t="s">
        <v>9</v>
      </c>
      <c r="F648" s="18"/>
      <c r="G648" s="24"/>
      <c r="H648" s="19" t="b">
        <f>IF(D648="x",H$2,H$1)</f>
        <v>0</v>
      </c>
    </row>
    <row r="649" spans="2:8" x14ac:dyDescent="0.25">
      <c r="B649" s="84" t="s">
        <v>15</v>
      </c>
      <c r="C649" s="121" t="s">
        <v>444</v>
      </c>
      <c r="D649" s="38"/>
      <c r="E649" s="124" t="s">
        <v>10</v>
      </c>
      <c r="F649" s="20" t="str">
        <f>IF(H650=1,IF(H648=H$2,H648,""),"")</f>
        <v/>
      </c>
      <c r="G649" s="24"/>
      <c r="H649" s="19" t="str">
        <f>IF(E$653="comprobar",COUNTIF(D648:D652,"x"),"")</f>
        <v/>
      </c>
    </row>
    <row r="650" spans="2:8" x14ac:dyDescent="0.25">
      <c r="B650" s="84" t="s">
        <v>15</v>
      </c>
      <c r="C650" s="121" t="s">
        <v>445</v>
      </c>
      <c r="D650" s="38"/>
      <c r="E650" s="124" t="s">
        <v>11</v>
      </c>
      <c r="F650" s="21" t="str">
        <f>IF(H650=-0.33,IF(H648=H$1,H648,""),"")</f>
        <v/>
      </c>
      <c r="G650" s="24"/>
      <c r="H650" s="22">
        <f t="shared" ref="H650" si="64">IF(H649=1,IF(H648=H$2,1,-0.33),0)</f>
        <v>0</v>
      </c>
    </row>
    <row r="651" spans="2:8" x14ac:dyDescent="0.25">
      <c r="B651" s="84" t="s">
        <v>15</v>
      </c>
      <c r="C651" s="121" t="s">
        <v>446</v>
      </c>
      <c r="D651" s="38"/>
      <c r="E651" s="124" t="s">
        <v>12</v>
      </c>
      <c r="F651" s="18"/>
      <c r="G651" s="24"/>
      <c r="H651" s="22"/>
    </row>
    <row r="652" spans="2:8" x14ac:dyDescent="0.25">
      <c r="B652" s="109"/>
      <c r="C652" s="24"/>
      <c r="D652" s="38"/>
      <c r="E652" s="124" t="s">
        <v>13</v>
      </c>
      <c r="F652" s="18"/>
      <c r="G652" s="17"/>
      <c r="H652" s="22"/>
    </row>
    <row r="653" spans="2:8" x14ac:dyDescent="0.25">
      <c r="B653" s="109"/>
      <c r="C653" s="16"/>
      <c r="D653" s="48"/>
      <c r="E653" s="54"/>
      <c r="F653" s="18"/>
      <c r="G653" s="17"/>
      <c r="H653" s="22"/>
    </row>
    <row r="654" spans="2:8" x14ac:dyDescent="0.25">
      <c r="B654" s="42"/>
      <c r="C654" s="8"/>
      <c r="D654" s="48"/>
      <c r="E654" s="59"/>
      <c r="F654" s="28" t="s">
        <v>8</v>
      </c>
      <c r="G654" s="17" t="s">
        <v>6</v>
      </c>
      <c r="H654" s="17" t="s">
        <v>7</v>
      </c>
    </row>
    <row r="655" spans="2:8" ht="19.5" x14ac:dyDescent="0.25">
      <c r="B655" s="42"/>
      <c r="C655" s="8"/>
      <c r="D655" s="131"/>
      <c r="E655" s="131"/>
      <c r="F655" s="29" t="str">
        <f>IF(E$653="comprobar",H638+H632+H626+H620+H614+H608+H602+H596+H644+H650,"")</f>
        <v/>
      </c>
      <c r="G655" s="17">
        <f>10/2</f>
        <v>5</v>
      </c>
      <c r="H655" s="17"/>
    </row>
    <row r="656" spans="2:8" ht="16.5" thickBot="1" x14ac:dyDescent="0.3">
      <c r="B656" s="65"/>
      <c r="C656" s="66"/>
      <c r="D656" s="31"/>
      <c r="E656" s="9"/>
      <c r="F656" s="32" t="str">
        <f>IF(F655&gt;G655,G654,H654)</f>
        <v>APROBADO</v>
      </c>
      <c r="G656" s="17"/>
      <c r="H656" s="17"/>
    </row>
    <row r="657" spans="2:10" ht="28.5" x14ac:dyDescent="0.45">
      <c r="B657" s="61" t="s">
        <v>33</v>
      </c>
      <c r="C657" s="125" t="s">
        <v>405</v>
      </c>
      <c r="D657" s="125"/>
      <c r="E657" s="125"/>
      <c r="F657" s="126"/>
    </row>
    <row r="658" spans="2:10" x14ac:dyDescent="0.25">
      <c r="B658" s="120" t="s">
        <v>18</v>
      </c>
      <c r="C658" s="85" t="s">
        <v>447</v>
      </c>
      <c r="D658" s="12"/>
      <c r="E658" s="12"/>
      <c r="F658" s="14"/>
      <c r="G658" s="26"/>
      <c r="H658" s="13"/>
      <c r="I658" s="15"/>
      <c r="J658" s="15"/>
    </row>
    <row r="659" spans="2:10" x14ac:dyDescent="0.25">
      <c r="B659" s="84" t="s">
        <v>15</v>
      </c>
      <c r="C659" s="121" t="s">
        <v>448</v>
      </c>
      <c r="D659" s="38"/>
      <c r="E659" s="124" t="s">
        <v>9</v>
      </c>
      <c r="F659" s="18"/>
      <c r="G659" s="24"/>
      <c r="H659" s="19" t="b">
        <f>IF(D660="x",H$2,H$1)</f>
        <v>0</v>
      </c>
    </row>
    <row r="660" spans="2:10" x14ac:dyDescent="0.25">
      <c r="B660" s="84" t="s">
        <v>15</v>
      </c>
      <c r="C660" s="121" t="s">
        <v>449</v>
      </c>
      <c r="D660" s="38"/>
      <c r="E660" s="124" t="s">
        <v>10</v>
      </c>
      <c r="F660" s="20" t="str">
        <f>IF(H661=1,IF(H659=H$2,H659,""),"")</f>
        <v/>
      </c>
      <c r="G660" s="24"/>
      <c r="H660" s="19" t="str">
        <f>IF(E$718="comprobar",COUNTIF(D659:D663,"x"),"")</f>
        <v/>
      </c>
    </row>
    <row r="661" spans="2:10" x14ac:dyDescent="0.25">
      <c r="B661" s="84" t="s">
        <v>15</v>
      </c>
      <c r="C661" s="121" t="s">
        <v>450</v>
      </c>
      <c r="D661" s="38"/>
      <c r="E661" s="124" t="s">
        <v>11</v>
      </c>
      <c r="F661" s="21" t="str">
        <f>IF(H661=-0.33,IF(H659=H$1,H659,""),"")</f>
        <v/>
      </c>
      <c r="G661" s="24"/>
      <c r="H661" s="22">
        <f>IF(H660=1,IF(H659=H$2,1,-0.33),0)</f>
        <v>0</v>
      </c>
    </row>
    <row r="662" spans="2:10" x14ac:dyDescent="0.25">
      <c r="B662" s="84" t="s">
        <v>15</v>
      </c>
      <c r="C662" s="121" t="s">
        <v>96</v>
      </c>
      <c r="D662" s="38"/>
      <c r="E662" s="124" t="s">
        <v>12</v>
      </c>
      <c r="F662" s="18"/>
      <c r="G662" s="24"/>
      <c r="H662" s="22"/>
    </row>
    <row r="663" spans="2:10" x14ac:dyDescent="0.25">
      <c r="B663" s="42"/>
      <c r="C663" s="24"/>
      <c r="D663" s="38"/>
      <c r="E663" s="124" t="s">
        <v>13</v>
      </c>
      <c r="F663" s="18"/>
      <c r="G663" s="17"/>
      <c r="H663" s="22"/>
    </row>
    <row r="664" spans="2:10" x14ac:dyDescent="0.25">
      <c r="B664" s="123" t="s">
        <v>17</v>
      </c>
      <c r="C664" s="85" t="s">
        <v>451</v>
      </c>
      <c r="D664" s="39"/>
      <c r="E664" s="12"/>
      <c r="F664" s="14"/>
      <c r="G664" s="26"/>
      <c r="H664" s="13"/>
      <c r="I664" s="15"/>
      <c r="J664" s="15"/>
    </row>
    <row r="665" spans="2:10" x14ac:dyDescent="0.25">
      <c r="B665" s="84" t="s">
        <v>15</v>
      </c>
      <c r="C665" s="121" t="s">
        <v>452</v>
      </c>
      <c r="D665" s="38"/>
      <c r="E665" s="124" t="s">
        <v>9</v>
      </c>
      <c r="F665" s="18"/>
      <c r="G665" s="24"/>
      <c r="H665" s="19" t="b">
        <f>IF(D666="x",H$2,H$1)</f>
        <v>0</v>
      </c>
    </row>
    <row r="666" spans="2:10" x14ac:dyDescent="0.25">
      <c r="B666" s="84" t="s">
        <v>15</v>
      </c>
      <c r="C666" s="121" t="s">
        <v>453</v>
      </c>
      <c r="D666" s="38"/>
      <c r="E666" s="124" t="s">
        <v>10</v>
      </c>
      <c r="F666" s="20" t="str">
        <f>IF(H667=1,IF(H665=H$2,H665,""),"")</f>
        <v/>
      </c>
      <c r="G666" s="24"/>
      <c r="H666" s="19" t="str">
        <f>IF(E$718="comprobar",COUNTIF(D665:D669,"x"),"")</f>
        <v/>
      </c>
    </row>
    <row r="667" spans="2:10" x14ac:dyDescent="0.25">
      <c r="B667" s="84" t="s">
        <v>15</v>
      </c>
      <c r="C667" s="121" t="s">
        <v>454</v>
      </c>
      <c r="D667" s="38"/>
      <c r="E667" s="124" t="s">
        <v>11</v>
      </c>
      <c r="F667" s="21" t="str">
        <f>IF(H667=-0.33,IF(H665=H$1,H665,""),"")</f>
        <v/>
      </c>
      <c r="G667" s="24"/>
      <c r="H667" s="22">
        <f t="shared" ref="H667" si="65">IF(H666=1,IF(H665=H$2,1,-0.33),0)</f>
        <v>0</v>
      </c>
    </row>
    <row r="668" spans="2:10" x14ac:dyDescent="0.25">
      <c r="B668" s="84" t="s">
        <v>15</v>
      </c>
      <c r="C668" s="121" t="s">
        <v>62</v>
      </c>
      <c r="D668" s="38"/>
      <c r="E668" s="124" t="s">
        <v>12</v>
      </c>
      <c r="F668" s="18"/>
      <c r="G668" s="24"/>
      <c r="H668" s="22"/>
    </row>
    <row r="669" spans="2:10" x14ac:dyDescent="0.25">
      <c r="B669" s="84"/>
      <c r="C669" s="24"/>
      <c r="D669" s="38"/>
      <c r="E669" s="124" t="s">
        <v>13</v>
      </c>
      <c r="F669" s="18"/>
      <c r="G669" s="17"/>
      <c r="H669" s="22"/>
    </row>
    <row r="670" spans="2:10" x14ac:dyDescent="0.25">
      <c r="B670" s="123" t="s">
        <v>19</v>
      </c>
      <c r="C670" s="85" t="s">
        <v>455</v>
      </c>
      <c r="D670" s="39"/>
      <c r="E670" s="12"/>
      <c r="F670" s="14"/>
      <c r="G670" s="26"/>
      <c r="H670" s="13"/>
      <c r="I670" s="15"/>
      <c r="J670" s="15"/>
    </row>
    <row r="671" spans="2:10" x14ac:dyDescent="0.25">
      <c r="B671" s="84" t="s">
        <v>15</v>
      </c>
      <c r="C671" s="121" t="s">
        <v>456</v>
      </c>
      <c r="D671" s="38"/>
      <c r="E671" s="124" t="s">
        <v>9</v>
      </c>
      <c r="F671" s="18"/>
      <c r="G671" s="24"/>
      <c r="H671" s="19" t="b">
        <f>IF(D674="x",H$2,H$1)</f>
        <v>0</v>
      </c>
    </row>
    <row r="672" spans="2:10" x14ac:dyDescent="0.25">
      <c r="B672" s="84" t="s">
        <v>15</v>
      </c>
      <c r="C672" s="121" t="s">
        <v>457</v>
      </c>
      <c r="D672" s="38"/>
      <c r="E672" s="124" t="s">
        <v>10</v>
      </c>
      <c r="F672" s="20" t="str">
        <f>IF(H673=1,IF(H671=H$2,H671,""),"")</f>
        <v/>
      </c>
      <c r="G672" s="24"/>
      <c r="H672" s="19" t="str">
        <f>IF(E$718="comprobar",COUNTIF(D671:D675,"x"),"")</f>
        <v/>
      </c>
    </row>
    <row r="673" spans="2:10" x14ac:dyDescent="0.25">
      <c r="B673" s="84" t="s">
        <v>15</v>
      </c>
      <c r="C673" s="121" t="s">
        <v>458</v>
      </c>
      <c r="D673" s="38"/>
      <c r="E673" s="124" t="s">
        <v>11</v>
      </c>
      <c r="F673" s="21" t="str">
        <f>IF(H673=-0.33,IF(H671=H$1,H671,""),"")</f>
        <v/>
      </c>
      <c r="G673" s="24"/>
      <c r="H673" s="22">
        <f t="shared" ref="H673" si="66">IF(H672=1,IF(H671=H$2,1,-0.33),0)</f>
        <v>0</v>
      </c>
    </row>
    <row r="674" spans="2:10" x14ac:dyDescent="0.25">
      <c r="B674" s="84" t="s">
        <v>15</v>
      </c>
      <c r="C674" s="121" t="s">
        <v>62</v>
      </c>
      <c r="D674" s="38"/>
      <c r="E674" s="124" t="s">
        <v>12</v>
      </c>
      <c r="F674" s="18"/>
      <c r="G674" s="24"/>
      <c r="H674" s="22"/>
    </row>
    <row r="675" spans="2:10" x14ac:dyDescent="0.25">
      <c r="B675" s="84"/>
      <c r="C675" s="24"/>
      <c r="D675" s="38"/>
      <c r="E675" s="124" t="s">
        <v>13</v>
      </c>
      <c r="F675" s="18"/>
      <c r="G675" s="17"/>
      <c r="H675" s="22"/>
    </row>
    <row r="676" spans="2:10" x14ac:dyDescent="0.25">
      <c r="B676" s="123" t="s">
        <v>20</v>
      </c>
      <c r="C676" s="85" t="s">
        <v>374</v>
      </c>
      <c r="D676" s="39"/>
      <c r="E676" s="12"/>
      <c r="F676" s="14"/>
      <c r="G676" s="26"/>
      <c r="H676" s="13"/>
      <c r="I676" s="15"/>
      <c r="J676" s="15"/>
    </row>
    <row r="677" spans="2:10" x14ac:dyDescent="0.25">
      <c r="B677" s="84" t="s">
        <v>15</v>
      </c>
      <c r="C677" s="121" t="s">
        <v>375</v>
      </c>
      <c r="D677" s="38"/>
      <c r="E677" s="124" t="s">
        <v>9</v>
      </c>
      <c r="F677" s="18"/>
      <c r="G677" s="24"/>
      <c r="H677" s="19" t="b">
        <f>IF(D680="x",H$2,H$1)</f>
        <v>0</v>
      </c>
    </row>
    <row r="678" spans="2:10" x14ac:dyDescent="0.25">
      <c r="B678" s="84" t="s">
        <v>15</v>
      </c>
      <c r="C678" s="121" t="s">
        <v>376</v>
      </c>
      <c r="D678" s="38"/>
      <c r="E678" s="124" t="s">
        <v>10</v>
      </c>
      <c r="F678" s="20" t="str">
        <f>IF(H679=1,IF(H677=H$2,H677,""),"")</f>
        <v/>
      </c>
      <c r="G678" s="24"/>
      <c r="H678" s="19" t="str">
        <f>IF(E$718="comprobar",COUNTIF(D677:D681,"x"),"")</f>
        <v/>
      </c>
    </row>
    <row r="679" spans="2:10" x14ac:dyDescent="0.25">
      <c r="B679" s="84" t="s">
        <v>15</v>
      </c>
      <c r="C679" s="121" t="s">
        <v>377</v>
      </c>
      <c r="D679" s="38"/>
      <c r="E679" s="124" t="s">
        <v>11</v>
      </c>
      <c r="F679" s="21" t="str">
        <f>IF(H679=-0.33,IF(H677=H$1,H677,""),"")</f>
        <v/>
      </c>
      <c r="G679" s="24"/>
      <c r="H679" s="22">
        <f t="shared" ref="H679" si="67">IF(H678=1,IF(H677=H$2,1,-0.33),0)</f>
        <v>0</v>
      </c>
    </row>
    <row r="680" spans="2:10" x14ac:dyDescent="0.25">
      <c r="B680" s="84" t="s">
        <v>15</v>
      </c>
      <c r="C680" s="121" t="s">
        <v>96</v>
      </c>
      <c r="D680" s="38"/>
      <c r="E680" s="124" t="s">
        <v>12</v>
      </c>
      <c r="F680" s="18"/>
      <c r="G680" s="24"/>
      <c r="H680" s="22"/>
    </row>
    <row r="681" spans="2:10" x14ac:dyDescent="0.25">
      <c r="B681" s="84"/>
      <c r="C681" s="24"/>
      <c r="D681" s="38"/>
      <c r="E681" s="124" t="s">
        <v>13</v>
      </c>
      <c r="F681" s="18"/>
      <c r="G681" s="17"/>
      <c r="H681" s="22"/>
    </row>
    <row r="682" spans="2:10" x14ac:dyDescent="0.25">
      <c r="B682" s="123" t="s">
        <v>21</v>
      </c>
      <c r="C682" s="85" t="s">
        <v>460</v>
      </c>
      <c r="D682" s="39"/>
      <c r="E682" s="12"/>
      <c r="F682" s="14"/>
      <c r="G682" s="26"/>
      <c r="H682" s="13"/>
      <c r="I682" s="15"/>
      <c r="J682" s="15"/>
    </row>
    <row r="683" spans="2:10" x14ac:dyDescent="0.25">
      <c r="B683" s="84" t="s">
        <v>15</v>
      </c>
      <c r="C683" s="121" t="s">
        <v>461</v>
      </c>
      <c r="D683" s="38"/>
      <c r="E683" s="124" t="s">
        <v>9</v>
      </c>
      <c r="F683" s="18"/>
      <c r="G683" s="24"/>
      <c r="H683" s="19" t="b">
        <f>IF(D684="x",H$2,H$1)</f>
        <v>0</v>
      </c>
    </row>
    <row r="684" spans="2:10" x14ac:dyDescent="0.25">
      <c r="B684" s="84" t="s">
        <v>15</v>
      </c>
      <c r="C684" s="121" t="s">
        <v>462</v>
      </c>
      <c r="D684" s="38"/>
      <c r="E684" s="124" t="s">
        <v>10</v>
      </c>
      <c r="F684" s="20" t="str">
        <f>IF(H685=1,IF(H683=H$2,H683,""),"")</f>
        <v/>
      </c>
      <c r="G684" s="24"/>
      <c r="H684" s="19" t="str">
        <f>IF(E$718="comprobar",COUNTIF(D683:D687,"x"),"")</f>
        <v/>
      </c>
    </row>
    <row r="685" spans="2:10" x14ac:dyDescent="0.25">
      <c r="B685" s="84" t="s">
        <v>15</v>
      </c>
      <c r="C685" s="121" t="s">
        <v>463</v>
      </c>
      <c r="D685" s="38"/>
      <c r="E685" s="124" t="s">
        <v>11</v>
      </c>
      <c r="F685" s="21" t="str">
        <f>IF(H685=-0.33,IF(H683=H$1,H683,""),"")</f>
        <v/>
      </c>
      <c r="G685" s="24"/>
      <c r="H685" s="22">
        <f t="shared" ref="H685" si="68">IF(H684=1,IF(H683=H$2,1,-0.33),0)</f>
        <v>0</v>
      </c>
    </row>
    <row r="686" spans="2:10" x14ac:dyDescent="0.25">
      <c r="B686" s="84" t="s">
        <v>15</v>
      </c>
      <c r="C686" s="121" t="s">
        <v>464</v>
      </c>
      <c r="D686" s="38"/>
      <c r="E686" s="124" t="s">
        <v>12</v>
      </c>
      <c r="F686" s="18"/>
      <c r="G686" s="24"/>
      <c r="H686" s="22"/>
    </row>
    <row r="687" spans="2:10" x14ac:dyDescent="0.25">
      <c r="B687" s="84"/>
      <c r="C687" s="24"/>
      <c r="D687" s="38"/>
      <c r="E687" s="124" t="s">
        <v>13</v>
      </c>
      <c r="F687" s="18"/>
      <c r="G687" s="17"/>
      <c r="H687" s="22"/>
    </row>
    <row r="688" spans="2:10" x14ac:dyDescent="0.25">
      <c r="B688" s="123" t="s">
        <v>22</v>
      </c>
      <c r="C688" s="85" t="s">
        <v>465</v>
      </c>
      <c r="D688" s="39"/>
      <c r="E688" s="12"/>
      <c r="F688" s="14"/>
      <c r="G688" s="26"/>
      <c r="H688" s="13"/>
      <c r="I688" s="15"/>
      <c r="J688" s="15"/>
    </row>
    <row r="689" spans="2:10" x14ac:dyDescent="0.25">
      <c r="B689" s="84" t="s">
        <v>15</v>
      </c>
      <c r="C689" s="121" t="s">
        <v>466</v>
      </c>
      <c r="D689" s="38"/>
      <c r="E689" s="124" t="s">
        <v>9</v>
      </c>
      <c r="F689" s="18"/>
      <c r="G689" s="24"/>
      <c r="H689" s="19" t="b">
        <f>IF(D692="x",H$2,H$1)</f>
        <v>0</v>
      </c>
    </row>
    <row r="690" spans="2:10" x14ac:dyDescent="0.25">
      <c r="B690" s="84" t="s">
        <v>15</v>
      </c>
      <c r="C690" s="121" t="s">
        <v>467</v>
      </c>
      <c r="D690" s="38"/>
      <c r="E690" s="124" t="s">
        <v>10</v>
      </c>
      <c r="F690" s="20" t="str">
        <f>IF(H691=1,IF(H689=H$2,H689,""),"")</f>
        <v/>
      </c>
      <c r="G690" s="24"/>
      <c r="H690" s="19" t="str">
        <f>IF(E$718="comprobar",COUNTIF(D689:D693,"x"),"")</f>
        <v/>
      </c>
    </row>
    <row r="691" spans="2:10" x14ac:dyDescent="0.25">
      <c r="B691" s="84" t="s">
        <v>15</v>
      </c>
      <c r="C691" s="121" t="s">
        <v>468</v>
      </c>
      <c r="D691" s="38"/>
      <c r="E691" s="124" t="s">
        <v>11</v>
      </c>
      <c r="F691" s="21" t="str">
        <f>IF(H691=-0.33,IF(H689=H$1,H689,""),"")</f>
        <v/>
      </c>
      <c r="G691" s="24"/>
      <c r="H691" s="22">
        <f t="shared" ref="H691" si="69">IF(H690=1,IF(H689=H$2,1,-0.33),0)</f>
        <v>0</v>
      </c>
    </row>
    <row r="692" spans="2:10" x14ac:dyDescent="0.25">
      <c r="B692" s="84" t="s">
        <v>15</v>
      </c>
      <c r="C692" s="121" t="s">
        <v>62</v>
      </c>
      <c r="D692" s="38"/>
      <c r="E692" s="124" t="s">
        <v>12</v>
      </c>
      <c r="F692" s="18"/>
      <c r="G692" s="24"/>
      <c r="H692" s="22"/>
    </row>
    <row r="693" spans="2:10" x14ac:dyDescent="0.25">
      <c r="B693" s="42"/>
      <c r="C693" s="24"/>
      <c r="D693" s="38"/>
      <c r="E693" s="124" t="s">
        <v>13</v>
      </c>
      <c r="F693" s="18"/>
      <c r="G693" s="17"/>
      <c r="H693" s="22"/>
    </row>
    <row r="694" spans="2:10" x14ac:dyDescent="0.25">
      <c r="B694" s="123" t="s">
        <v>23</v>
      </c>
      <c r="C694" s="85" t="s">
        <v>469</v>
      </c>
      <c r="D694" s="39"/>
      <c r="E694" s="12"/>
      <c r="F694" s="14"/>
      <c r="G694" s="26"/>
      <c r="H694" s="13"/>
      <c r="I694" s="15"/>
      <c r="J694" s="15"/>
    </row>
    <row r="695" spans="2:10" x14ac:dyDescent="0.25">
      <c r="B695" s="84" t="s">
        <v>15</v>
      </c>
      <c r="C695" s="121" t="s">
        <v>470</v>
      </c>
      <c r="D695" s="38"/>
      <c r="E695" s="124" t="s">
        <v>9</v>
      </c>
      <c r="F695" s="18"/>
      <c r="G695" s="24"/>
      <c r="H695" s="19" t="b">
        <f>IF(D695="x",H$2,H$1)</f>
        <v>0</v>
      </c>
    </row>
    <row r="696" spans="2:10" x14ac:dyDescent="0.25">
      <c r="B696" s="84" t="s">
        <v>15</v>
      </c>
      <c r="C696" s="121" t="s">
        <v>471</v>
      </c>
      <c r="D696" s="38"/>
      <c r="E696" s="124" t="s">
        <v>10</v>
      </c>
      <c r="F696" s="20" t="str">
        <f>IF(H697=1,IF(H695=H$2,H695,""),"")</f>
        <v/>
      </c>
      <c r="G696" s="24"/>
      <c r="H696" s="19" t="str">
        <f>IF(E$718="comprobar",COUNTIF(D695:D699,"x"),"")</f>
        <v/>
      </c>
    </row>
    <row r="697" spans="2:10" x14ac:dyDescent="0.25">
      <c r="B697" s="84" t="s">
        <v>15</v>
      </c>
      <c r="C697" s="121" t="s">
        <v>472</v>
      </c>
      <c r="D697" s="38"/>
      <c r="E697" s="124" t="s">
        <v>11</v>
      </c>
      <c r="F697" s="21" t="str">
        <f>IF(H697=-0.33,IF(H695=H$1,H695,""),"")</f>
        <v/>
      </c>
      <c r="G697" s="24"/>
      <c r="H697" s="22">
        <f t="shared" ref="H697" si="70">IF(H696=1,IF(H695=H$2,1,-0.33),0)</f>
        <v>0</v>
      </c>
    </row>
    <row r="698" spans="2:10" x14ac:dyDescent="0.25">
      <c r="B698" s="84" t="s">
        <v>15</v>
      </c>
      <c r="C698" s="121" t="s">
        <v>62</v>
      </c>
      <c r="D698" s="38"/>
      <c r="E698" s="124" t="s">
        <v>12</v>
      </c>
      <c r="F698" s="18"/>
      <c r="G698" s="24"/>
      <c r="H698" s="22"/>
    </row>
    <row r="699" spans="2:10" x14ac:dyDescent="0.25">
      <c r="B699" s="42"/>
      <c r="C699" s="24"/>
      <c r="D699" s="38"/>
      <c r="E699" s="124" t="s">
        <v>13</v>
      </c>
      <c r="F699" s="18"/>
      <c r="G699" s="17"/>
      <c r="H699" s="22"/>
    </row>
    <row r="700" spans="2:10" x14ac:dyDescent="0.25">
      <c r="B700" s="123" t="s">
        <v>24</v>
      </c>
      <c r="C700" s="85" t="s">
        <v>602</v>
      </c>
      <c r="D700" s="39"/>
      <c r="E700" s="12"/>
      <c r="F700" s="14"/>
      <c r="G700" s="26"/>
      <c r="H700" s="13"/>
      <c r="I700" s="15"/>
      <c r="J700" s="15"/>
    </row>
    <row r="701" spans="2:10" x14ac:dyDescent="0.25">
      <c r="B701" s="84" t="s">
        <v>15</v>
      </c>
      <c r="C701" s="121" t="s">
        <v>473</v>
      </c>
      <c r="D701" s="38"/>
      <c r="E701" s="124" t="s">
        <v>9</v>
      </c>
      <c r="F701" s="18"/>
      <c r="G701" s="24"/>
      <c r="H701" s="19" t="b">
        <f>IF(D702="x",H$2,H$1)</f>
        <v>0</v>
      </c>
    </row>
    <row r="702" spans="2:10" x14ac:dyDescent="0.25">
      <c r="B702" s="84" t="s">
        <v>15</v>
      </c>
      <c r="C702" s="121" t="s">
        <v>474</v>
      </c>
      <c r="D702" s="38"/>
      <c r="E702" s="124" t="s">
        <v>10</v>
      </c>
      <c r="F702" s="20" t="str">
        <f>IF(H703=1,IF(H701=H$2,H701,""),"")</f>
        <v/>
      </c>
      <c r="G702" s="24"/>
      <c r="H702" s="19" t="str">
        <f>IF(E$718="comprobar",COUNTIF(D701:D705,"x"),"")</f>
        <v/>
      </c>
    </row>
    <row r="703" spans="2:10" x14ac:dyDescent="0.25">
      <c r="B703" s="84" t="s">
        <v>15</v>
      </c>
      <c r="C703" s="121" t="s">
        <v>475</v>
      </c>
      <c r="D703" s="38"/>
      <c r="E703" s="124" t="s">
        <v>11</v>
      </c>
      <c r="F703" s="21" t="str">
        <f>IF(H703=-0.33,IF(H701=H$1,H701,""),"")</f>
        <v/>
      </c>
      <c r="G703" s="24"/>
      <c r="H703" s="22">
        <f t="shared" ref="H703" si="71">IF(H702=1,IF(H701=H$2,1,-0.33),0)</f>
        <v>0</v>
      </c>
    </row>
    <row r="704" spans="2:10" x14ac:dyDescent="0.25">
      <c r="B704" s="84" t="s">
        <v>15</v>
      </c>
      <c r="C704" s="121" t="s">
        <v>62</v>
      </c>
      <c r="D704" s="38"/>
      <c r="E704" s="124" t="s">
        <v>12</v>
      </c>
      <c r="F704" s="18"/>
      <c r="G704" s="24"/>
      <c r="H704" s="22"/>
    </row>
    <row r="705" spans="2:8" x14ac:dyDescent="0.25">
      <c r="B705" s="109"/>
      <c r="C705" s="24"/>
      <c r="D705" s="38"/>
      <c r="E705" s="124" t="s">
        <v>13</v>
      </c>
      <c r="F705" s="18"/>
      <c r="G705" s="17"/>
      <c r="H705" s="22"/>
    </row>
    <row r="706" spans="2:8" x14ac:dyDescent="0.25">
      <c r="B706" s="123" t="s">
        <v>29</v>
      </c>
      <c r="C706" s="85" t="s">
        <v>476</v>
      </c>
      <c r="D706" s="39"/>
      <c r="E706" s="12"/>
      <c r="F706" s="14"/>
      <c r="G706" s="26"/>
      <c r="H706" s="13"/>
    </row>
    <row r="707" spans="2:8" x14ac:dyDescent="0.25">
      <c r="B707" s="84" t="s">
        <v>15</v>
      </c>
      <c r="C707" s="121" t="s">
        <v>477</v>
      </c>
      <c r="D707" s="38"/>
      <c r="E707" s="124" t="s">
        <v>9</v>
      </c>
      <c r="F707" s="18"/>
      <c r="G707" s="24"/>
      <c r="H707" s="19" t="b">
        <f>IF(D707="x",H$2,H$1)</f>
        <v>0</v>
      </c>
    </row>
    <row r="708" spans="2:8" x14ac:dyDescent="0.25">
      <c r="B708" s="84" t="s">
        <v>15</v>
      </c>
      <c r="C708" s="121" t="s">
        <v>478</v>
      </c>
      <c r="D708" s="38"/>
      <c r="E708" s="124" t="s">
        <v>10</v>
      </c>
      <c r="F708" s="20" t="str">
        <f>IF(H709=1,IF(H707=H$2,H707,""),"")</f>
        <v/>
      </c>
      <c r="G708" s="24"/>
      <c r="H708" s="19" t="str">
        <f>IF(E$718="comprobar",COUNTIF(D707:D711,"x"),"")</f>
        <v/>
      </c>
    </row>
    <row r="709" spans="2:8" x14ac:dyDescent="0.25">
      <c r="B709" s="84" t="s">
        <v>15</v>
      </c>
      <c r="C709" s="121" t="s">
        <v>479</v>
      </c>
      <c r="D709" s="38"/>
      <c r="E709" s="124" t="s">
        <v>11</v>
      </c>
      <c r="F709" s="21" t="str">
        <f>IF(H709=-0.33,IF(H707=H$1,H707,""),"")</f>
        <v/>
      </c>
      <c r="G709" s="24"/>
      <c r="H709" s="22">
        <f t="shared" ref="H709" si="72">IF(H708=1,IF(H707=H$2,1,-0.33),0)</f>
        <v>0</v>
      </c>
    </row>
    <row r="710" spans="2:8" x14ac:dyDescent="0.25">
      <c r="B710" s="84" t="s">
        <v>15</v>
      </c>
      <c r="C710" s="121" t="s">
        <v>480</v>
      </c>
      <c r="D710" s="38"/>
      <c r="E710" s="124" t="s">
        <v>12</v>
      </c>
      <c r="F710" s="18"/>
      <c r="G710" s="24"/>
      <c r="H710" s="22"/>
    </row>
    <row r="711" spans="2:8" x14ac:dyDescent="0.25">
      <c r="B711" s="109"/>
      <c r="C711" s="24"/>
      <c r="D711" s="38"/>
      <c r="E711" s="124" t="s">
        <v>13</v>
      </c>
      <c r="F711" s="18"/>
      <c r="G711" s="17"/>
      <c r="H711" s="22"/>
    </row>
    <row r="712" spans="2:8" x14ac:dyDescent="0.25">
      <c r="B712" s="123" t="s">
        <v>27</v>
      </c>
      <c r="C712" s="85" t="s">
        <v>481</v>
      </c>
      <c r="D712" s="39"/>
      <c r="E712" s="12"/>
      <c r="F712" s="14"/>
      <c r="G712" s="26"/>
      <c r="H712" s="13"/>
    </row>
    <row r="713" spans="2:8" x14ac:dyDescent="0.25">
      <c r="B713" s="84" t="s">
        <v>15</v>
      </c>
      <c r="C713" s="121" t="s">
        <v>482</v>
      </c>
      <c r="D713" s="38"/>
      <c r="E713" s="124" t="s">
        <v>9</v>
      </c>
      <c r="F713" s="18"/>
      <c r="G713" s="24"/>
      <c r="H713" s="19" t="b">
        <f>IF(D713="x",H$2,H$1)</f>
        <v>0</v>
      </c>
    </row>
    <row r="714" spans="2:8" x14ac:dyDescent="0.25">
      <c r="B714" s="84" t="s">
        <v>15</v>
      </c>
      <c r="C714" s="121" t="s">
        <v>483</v>
      </c>
      <c r="D714" s="38"/>
      <c r="E714" s="124" t="s">
        <v>10</v>
      </c>
      <c r="F714" s="20" t="str">
        <f>IF(H715=1,IF(H713=H$2,H713,""),"")</f>
        <v/>
      </c>
      <c r="G714" s="24"/>
      <c r="H714" s="19" t="str">
        <f>IF(E$718="comprobar",COUNTIF(D713:D717,"x"),"")</f>
        <v/>
      </c>
    </row>
    <row r="715" spans="2:8" x14ac:dyDescent="0.25">
      <c r="B715" s="84" t="s">
        <v>15</v>
      </c>
      <c r="C715" s="121" t="s">
        <v>484</v>
      </c>
      <c r="D715" s="38"/>
      <c r="E715" s="124" t="s">
        <v>11</v>
      </c>
      <c r="F715" s="21" t="str">
        <f>IF(H715=-0.33,IF(H713=H$1,H713,""),"")</f>
        <v/>
      </c>
      <c r="G715" s="24"/>
      <c r="H715" s="22">
        <f t="shared" ref="H715" si="73">IF(H714=1,IF(H713=H$2,1,-0.33),0)</f>
        <v>0</v>
      </c>
    </row>
    <row r="716" spans="2:8" x14ac:dyDescent="0.25">
      <c r="B716" s="84" t="s">
        <v>15</v>
      </c>
      <c r="C716" s="121" t="s">
        <v>485</v>
      </c>
      <c r="D716" s="38"/>
      <c r="E716" s="124" t="s">
        <v>12</v>
      </c>
      <c r="F716" s="18"/>
      <c r="G716" s="24"/>
      <c r="H716" s="22"/>
    </row>
    <row r="717" spans="2:8" x14ac:dyDescent="0.25">
      <c r="B717" s="109"/>
      <c r="C717" s="24"/>
      <c r="D717" s="38"/>
      <c r="E717" s="124" t="s">
        <v>13</v>
      </c>
      <c r="F717" s="18"/>
      <c r="G717" s="17"/>
      <c r="H717" s="22"/>
    </row>
    <row r="718" spans="2:8" x14ac:dyDescent="0.25">
      <c r="B718" s="109"/>
      <c r="C718" s="16"/>
      <c r="D718" s="48"/>
      <c r="E718" s="54"/>
      <c r="F718" s="18"/>
      <c r="G718" s="17"/>
      <c r="H718" s="22"/>
    </row>
    <row r="719" spans="2:8" x14ac:dyDescent="0.25">
      <c r="B719" s="42"/>
      <c r="C719" s="8"/>
      <c r="D719" s="48"/>
      <c r="E719" s="59"/>
      <c r="F719" s="28" t="s">
        <v>8</v>
      </c>
      <c r="G719" s="17" t="s">
        <v>6</v>
      </c>
      <c r="H719" s="17" t="s">
        <v>7</v>
      </c>
    </row>
    <row r="720" spans="2:8" ht="19.5" x14ac:dyDescent="0.25">
      <c r="B720" s="42"/>
      <c r="C720" s="8"/>
      <c r="D720" s="131"/>
      <c r="E720" s="131"/>
      <c r="F720" s="29" t="str">
        <f>IF(E$718="comprobar",H703+H697+H691+H685+H679+H673+H667+H661+H709+H715,"")</f>
        <v/>
      </c>
      <c r="G720" s="17">
        <f>10/2</f>
        <v>5</v>
      </c>
      <c r="H720" s="17"/>
    </row>
    <row r="721" spans="2:10" ht="16.5" thickBot="1" x14ac:dyDescent="0.3">
      <c r="B721" s="65"/>
      <c r="C721" s="66"/>
      <c r="D721" s="31"/>
      <c r="E721" s="9"/>
      <c r="F721" s="32" t="str">
        <f>IF(F720&gt;G720,G719,H719)</f>
        <v>APROBADO</v>
      </c>
      <c r="G721" s="17"/>
      <c r="H721" s="17"/>
    </row>
    <row r="722" spans="2:10" ht="28.5" x14ac:dyDescent="0.45">
      <c r="B722" s="61" t="s">
        <v>33</v>
      </c>
      <c r="C722" s="125" t="s">
        <v>406</v>
      </c>
      <c r="D722" s="125"/>
      <c r="E722" s="125"/>
      <c r="F722" s="126"/>
    </row>
    <row r="723" spans="2:10" x14ac:dyDescent="0.25">
      <c r="B723" s="120" t="s">
        <v>18</v>
      </c>
      <c r="C723" s="85" t="s">
        <v>486</v>
      </c>
      <c r="D723" s="12"/>
      <c r="E723" s="12"/>
      <c r="F723" s="14"/>
      <c r="G723" s="26"/>
      <c r="H723" s="13"/>
      <c r="I723" s="15"/>
      <c r="J723" s="15"/>
    </row>
    <row r="724" spans="2:10" x14ac:dyDescent="0.25">
      <c r="B724" s="84" t="s">
        <v>15</v>
      </c>
      <c r="C724" s="121" t="s">
        <v>487</v>
      </c>
      <c r="D724" s="38"/>
      <c r="E724" s="124"/>
      <c r="F724" s="18"/>
      <c r="G724" s="24"/>
      <c r="H724" s="19" t="b">
        <f>IF(D724="x",H$2,H$1)</f>
        <v>0</v>
      </c>
    </row>
    <row r="725" spans="2:10" x14ac:dyDescent="0.25">
      <c r="B725" s="84" t="s">
        <v>15</v>
      </c>
      <c r="C725" s="121" t="s">
        <v>488</v>
      </c>
      <c r="D725" s="38"/>
      <c r="E725" s="124" t="s">
        <v>10</v>
      </c>
      <c r="F725" s="20" t="str">
        <f>IF(H726=1,IF(H724=H$2,H724,""),"")</f>
        <v/>
      </c>
      <c r="G725" s="24"/>
      <c r="H725" s="19" t="str">
        <f>IF(E$783="comprobar",COUNTIF(D724:D728,"x"),"")</f>
        <v/>
      </c>
    </row>
    <row r="726" spans="2:10" x14ac:dyDescent="0.25">
      <c r="B726" s="84" t="s">
        <v>15</v>
      </c>
      <c r="C726" s="121" t="s">
        <v>489</v>
      </c>
      <c r="D726" s="38"/>
      <c r="E726" s="124" t="s">
        <v>11</v>
      </c>
      <c r="F726" s="21" t="str">
        <f>IF(H726=-0.33,IF(H724=H$1,H724,""),"")</f>
        <v/>
      </c>
      <c r="G726" s="24"/>
      <c r="H726" s="22">
        <f>IF(H725=1,IF(H724=H$2,1,-0.33),0)</f>
        <v>0</v>
      </c>
    </row>
    <row r="727" spans="2:10" x14ac:dyDescent="0.25">
      <c r="B727" s="84" t="s">
        <v>15</v>
      </c>
      <c r="C727" s="121" t="s">
        <v>490</v>
      </c>
      <c r="D727" s="38"/>
      <c r="E727" s="124" t="s">
        <v>12</v>
      </c>
      <c r="F727" s="18"/>
      <c r="G727" s="24"/>
      <c r="H727" s="22"/>
    </row>
    <row r="728" spans="2:10" x14ac:dyDescent="0.25">
      <c r="B728" s="42"/>
      <c r="C728" s="24"/>
      <c r="D728" s="38"/>
      <c r="E728" s="124" t="s">
        <v>13</v>
      </c>
      <c r="F728" s="18"/>
      <c r="G728" s="17"/>
      <c r="H728" s="22"/>
    </row>
    <row r="729" spans="2:10" x14ac:dyDescent="0.25">
      <c r="B729" s="123" t="s">
        <v>17</v>
      </c>
      <c r="C729" s="85" t="s">
        <v>491</v>
      </c>
      <c r="D729" s="39"/>
      <c r="E729" s="12"/>
      <c r="F729" s="14"/>
      <c r="G729" s="26"/>
      <c r="H729" s="13"/>
      <c r="I729" s="15"/>
      <c r="J729" s="15"/>
    </row>
    <row r="730" spans="2:10" x14ac:dyDescent="0.25">
      <c r="B730" s="84" t="s">
        <v>15</v>
      </c>
      <c r="C730" s="121" t="s">
        <v>492</v>
      </c>
      <c r="D730" s="38"/>
      <c r="E730" s="124" t="s">
        <v>9</v>
      </c>
      <c r="F730" s="18"/>
      <c r="G730" s="24"/>
      <c r="H730" s="19" t="b">
        <f>IF(D731="x",H$2,H$1)</f>
        <v>0</v>
      </c>
    </row>
    <row r="731" spans="2:10" x14ac:dyDescent="0.25">
      <c r="B731" s="84" t="s">
        <v>15</v>
      </c>
      <c r="C731" s="121" t="s">
        <v>493</v>
      </c>
      <c r="D731" s="38"/>
      <c r="E731" s="124" t="s">
        <v>10</v>
      </c>
      <c r="F731" s="20" t="str">
        <f>IF(H732=1,IF(H730=H$2,H730,""),"")</f>
        <v/>
      </c>
      <c r="G731" s="24"/>
      <c r="H731" s="19" t="str">
        <f>IF(E$783="comprobar",COUNTIF(D730:D734,"x"),"")</f>
        <v/>
      </c>
    </row>
    <row r="732" spans="2:10" x14ac:dyDescent="0.25">
      <c r="B732" s="84" t="s">
        <v>15</v>
      </c>
      <c r="C732" s="121" t="s">
        <v>494</v>
      </c>
      <c r="D732" s="38"/>
      <c r="E732" s="124" t="s">
        <v>11</v>
      </c>
      <c r="F732" s="21" t="str">
        <f>IF(H732=-0.33,IF(H730=H$1,H730,""),"")</f>
        <v/>
      </c>
      <c r="G732" s="24"/>
      <c r="H732" s="22">
        <f t="shared" ref="H732" si="74">IF(H731=1,IF(H730=H$2,1,-0.33),0)</f>
        <v>0</v>
      </c>
    </row>
    <row r="733" spans="2:10" x14ac:dyDescent="0.25">
      <c r="B733" s="84" t="s">
        <v>15</v>
      </c>
      <c r="C733" s="121" t="s">
        <v>495</v>
      </c>
      <c r="D733" s="38"/>
      <c r="E733" s="124" t="s">
        <v>12</v>
      </c>
      <c r="F733" s="18"/>
      <c r="G733" s="24"/>
      <c r="H733" s="22"/>
    </row>
    <row r="734" spans="2:10" x14ac:dyDescent="0.25">
      <c r="B734" s="84"/>
      <c r="C734" s="24"/>
      <c r="D734" s="38"/>
      <c r="E734" s="124" t="s">
        <v>13</v>
      </c>
      <c r="F734" s="18"/>
      <c r="G734" s="17"/>
      <c r="H734" s="22"/>
    </row>
    <row r="735" spans="2:10" x14ac:dyDescent="0.25">
      <c r="B735" s="123" t="s">
        <v>19</v>
      </c>
      <c r="C735" s="85" t="s">
        <v>496</v>
      </c>
      <c r="D735" s="39"/>
      <c r="E735" s="12"/>
      <c r="F735" s="14"/>
      <c r="G735" s="26"/>
      <c r="H735" s="13"/>
      <c r="I735" s="15"/>
      <c r="J735" s="15"/>
    </row>
    <row r="736" spans="2:10" x14ac:dyDescent="0.25">
      <c r="B736" s="84" t="s">
        <v>15</v>
      </c>
      <c r="C736" s="121" t="s">
        <v>497</v>
      </c>
      <c r="D736" s="38"/>
      <c r="E736" s="124" t="s">
        <v>9</v>
      </c>
      <c r="F736" s="18"/>
      <c r="G736" s="24"/>
      <c r="H736" s="19" t="b">
        <f>IF(D739="x",H$2,H$1)</f>
        <v>0</v>
      </c>
    </row>
    <row r="737" spans="2:10" x14ac:dyDescent="0.25">
      <c r="B737" s="84" t="s">
        <v>15</v>
      </c>
      <c r="C737" s="121" t="s">
        <v>498</v>
      </c>
      <c r="D737" s="38"/>
      <c r="E737" s="124" t="s">
        <v>10</v>
      </c>
      <c r="F737" s="20" t="str">
        <f>IF(H738=1,IF(H736=H$2,H736,""),"")</f>
        <v/>
      </c>
      <c r="G737" s="24"/>
      <c r="H737" s="19" t="str">
        <f>IF(E$783="comprobar",COUNTIF(D736:D740,"x"),"")</f>
        <v/>
      </c>
    </row>
    <row r="738" spans="2:10" x14ac:dyDescent="0.25">
      <c r="B738" s="84" t="s">
        <v>15</v>
      </c>
      <c r="C738" s="121" t="s">
        <v>499</v>
      </c>
      <c r="D738" s="38"/>
      <c r="E738" s="124" t="s">
        <v>11</v>
      </c>
      <c r="F738" s="21" t="str">
        <f>IF(H738=-0.33,IF(H736=H$1,H736,""),"")</f>
        <v/>
      </c>
      <c r="G738" s="24"/>
      <c r="H738" s="22">
        <f t="shared" ref="H738" si="75">IF(H737=1,IF(H736=H$2,1,-0.33),0)</f>
        <v>0</v>
      </c>
    </row>
    <row r="739" spans="2:10" x14ac:dyDescent="0.25">
      <c r="B739" s="84" t="s">
        <v>15</v>
      </c>
      <c r="C739" s="121" t="s">
        <v>38</v>
      </c>
      <c r="D739" s="38"/>
      <c r="E739" s="124" t="s">
        <v>12</v>
      </c>
      <c r="F739" s="18"/>
      <c r="G739" s="24"/>
      <c r="H739" s="22"/>
    </row>
    <row r="740" spans="2:10" x14ac:dyDescent="0.25">
      <c r="B740" s="84"/>
      <c r="C740" s="24"/>
      <c r="D740" s="38"/>
      <c r="E740" s="124" t="s">
        <v>13</v>
      </c>
      <c r="F740" s="18"/>
      <c r="G740" s="17"/>
      <c r="H740" s="22"/>
    </row>
    <row r="741" spans="2:10" x14ac:dyDescent="0.25">
      <c r="B741" s="123" t="s">
        <v>20</v>
      </c>
      <c r="C741" s="85" t="s">
        <v>500</v>
      </c>
      <c r="D741" s="39"/>
      <c r="E741" s="12"/>
      <c r="F741" s="14"/>
      <c r="G741" s="26"/>
      <c r="H741" s="13"/>
      <c r="I741" s="15"/>
      <c r="J741" s="15"/>
    </row>
    <row r="742" spans="2:10" x14ac:dyDescent="0.25">
      <c r="B742" s="84" t="s">
        <v>15</v>
      </c>
      <c r="C742" s="121" t="s">
        <v>501</v>
      </c>
      <c r="D742" s="38"/>
      <c r="E742" s="124" t="s">
        <v>9</v>
      </c>
      <c r="F742" s="18"/>
      <c r="G742" s="24"/>
      <c r="H742" s="19" t="b">
        <f>IF(D742="x",H$2,H$1)</f>
        <v>0</v>
      </c>
    </row>
    <row r="743" spans="2:10" x14ac:dyDescent="0.25">
      <c r="B743" s="84" t="s">
        <v>15</v>
      </c>
      <c r="C743" s="121" t="s">
        <v>502</v>
      </c>
      <c r="D743" s="38"/>
      <c r="E743" s="124" t="s">
        <v>10</v>
      </c>
      <c r="F743" s="20" t="str">
        <f>IF(H744=1,IF(H742=H$2,H742,""),"")</f>
        <v/>
      </c>
      <c r="G743" s="24"/>
      <c r="H743" s="19" t="str">
        <f>IF(E$783="comprobar",COUNTIF(D742:D746,"x"),"")</f>
        <v/>
      </c>
    </row>
    <row r="744" spans="2:10" x14ac:dyDescent="0.25">
      <c r="B744" s="84" t="s">
        <v>15</v>
      </c>
      <c r="C744" s="121" t="s">
        <v>503</v>
      </c>
      <c r="D744" s="38"/>
      <c r="E744" s="124" t="s">
        <v>11</v>
      </c>
      <c r="F744" s="21" t="str">
        <f>IF(H744=-0.33,IF(H742=H$1,H742,""),"")</f>
        <v/>
      </c>
      <c r="G744" s="24"/>
      <c r="H744" s="22">
        <f t="shared" ref="H744" si="76">IF(H743=1,IF(H742=H$2,1,-0.33),0)</f>
        <v>0</v>
      </c>
    </row>
    <row r="745" spans="2:10" x14ac:dyDescent="0.25">
      <c r="B745" s="84" t="s">
        <v>15</v>
      </c>
      <c r="C745" s="121" t="s">
        <v>504</v>
      </c>
      <c r="D745" s="38"/>
      <c r="E745" s="124" t="s">
        <v>12</v>
      </c>
      <c r="F745" s="18"/>
      <c r="G745" s="24"/>
      <c r="H745" s="22"/>
    </row>
    <row r="746" spans="2:10" x14ac:dyDescent="0.25">
      <c r="B746" s="84"/>
      <c r="C746" s="24"/>
      <c r="D746" s="38"/>
      <c r="E746" s="124" t="s">
        <v>13</v>
      </c>
      <c r="F746" s="18"/>
      <c r="G746" s="17"/>
      <c r="H746" s="22"/>
    </row>
    <row r="747" spans="2:10" x14ac:dyDescent="0.25">
      <c r="B747" s="123" t="s">
        <v>21</v>
      </c>
      <c r="C747" s="85" t="s">
        <v>505</v>
      </c>
      <c r="D747" s="39"/>
      <c r="E747" s="12"/>
      <c r="F747" s="14"/>
      <c r="G747" s="26"/>
      <c r="H747" s="13"/>
      <c r="I747" s="15"/>
      <c r="J747" s="15"/>
    </row>
    <row r="748" spans="2:10" x14ac:dyDescent="0.25">
      <c r="B748" s="84" t="s">
        <v>15</v>
      </c>
      <c r="C748" s="121" t="s">
        <v>506</v>
      </c>
      <c r="D748" s="38"/>
      <c r="E748" s="124" t="s">
        <v>9</v>
      </c>
      <c r="F748" s="18"/>
      <c r="G748" s="24"/>
      <c r="H748" s="19" t="b">
        <f>IF(D751="x",H$2,H$1)</f>
        <v>0</v>
      </c>
    </row>
    <row r="749" spans="2:10" x14ac:dyDescent="0.25">
      <c r="B749" s="84" t="s">
        <v>15</v>
      </c>
      <c r="C749" s="121" t="s">
        <v>507</v>
      </c>
      <c r="D749" s="38"/>
      <c r="E749" s="124" t="s">
        <v>10</v>
      </c>
      <c r="F749" s="20" t="str">
        <f>IF(H750=1,IF(H748=H$2,H748,""),"")</f>
        <v/>
      </c>
      <c r="G749" s="24"/>
      <c r="H749" s="19" t="str">
        <f>IF(E$783="comprobar",COUNTIF(D748:D752,"x"),"")</f>
        <v/>
      </c>
    </row>
    <row r="750" spans="2:10" x14ac:dyDescent="0.25">
      <c r="B750" s="84" t="s">
        <v>15</v>
      </c>
      <c r="C750" s="121" t="s">
        <v>508</v>
      </c>
      <c r="D750" s="38"/>
      <c r="E750" s="124" t="s">
        <v>11</v>
      </c>
      <c r="F750" s="21" t="str">
        <f>IF(H750=-0.33,IF(H748=H$1,H748,""),"")</f>
        <v/>
      </c>
      <c r="G750" s="24"/>
      <c r="H750" s="22">
        <f t="shared" ref="H750" si="77">IF(H749=1,IF(H748=H$2,1,-0.33),0)</f>
        <v>0</v>
      </c>
    </row>
    <row r="751" spans="2:10" x14ac:dyDescent="0.25">
      <c r="B751" s="84" t="s">
        <v>15</v>
      </c>
      <c r="C751" s="121" t="s">
        <v>509</v>
      </c>
      <c r="D751" s="38"/>
      <c r="E751" s="124" t="s">
        <v>12</v>
      </c>
      <c r="F751" s="18"/>
      <c r="G751" s="24"/>
      <c r="H751" s="22"/>
    </row>
    <row r="752" spans="2:10" x14ac:dyDescent="0.25">
      <c r="B752" s="84"/>
      <c r="C752" s="24"/>
      <c r="D752" s="38"/>
      <c r="E752" s="124" t="s">
        <v>13</v>
      </c>
      <c r="F752" s="18"/>
      <c r="G752" s="17"/>
      <c r="H752" s="22"/>
    </row>
    <row r="753" spans="2:10" x14ac:dyDescent="0.25">
      <c r="B753" s="123" t="s">
        <v>22</v>
      </c>
      <c r="C753" s="85" t="s">
        <v>510</v>
      </c>
      <c r="D753" s="39"/>
      <c r="E753" s="12"/>
      <c r="F753" s="14"/>
      <c r="G753" s="26"/>
      <c r="H753" s="13"/>
      <c r="I753" s="15"/>
      <c r="J753" s="15"/>
    </row>
    <row r="754" spans="2:10" x14ac:dyDescent="0.25">
      <c r="B754" s="84" t="s">
        <v>15</v>
      </c>
      <c r="C754" s="121" t="s">
        <v>511</v>
      </c>
      <c r="D754" s="38"/>
      <c r="E754" s="124" t="s">
        <v>9</v>
      </c>
      <c r="F754" s="18"/>
      <c r="G754" s="24"/>
      <c r="H754" s="19" t="b">
        <f>IF(D756="x",H$2,H$1)</f>
        <v>0</v>
      </c>
    </row>
    <row r="755" spans="2:10" x14ac:dyDescent="0.25">
      <c r="B755" s="84" t="s">
        <v>15</v>
      </c>
      <c r="C755" s="121" t="s">
        <v>512</v>
      </c>
      <c r="D755" s="38"/>
      <c r="E755" s="124" t="s">
        <v>10</v>
      </c>
      <c r="F755" s="20" t="str">
        <f>IF(H756=1,IF(H754=H$2,H754,""),"")</f>
        <v/>
      </c>
      <c r="G755" s="24"/>
      <c r="H755" s="19" t="str">
        <f>IF(E$783="comprobar",COUNTIF(D754:D758,"x"),"")</f>
        <v/>
      </c>
    </row>
    <row r="756" spans="2:10" x14ac:dyDescent="0.25">
      <c r="B756" s="84" t="s">
        <v>15</v>
      </c>
      <c r="C756" s="121" t="s">
        <v>513</v>
      </c>
      <c r="D756" s="38"/>
      <c r="E756" s="124" t="s">
        <v>11</v>
      </c>
      <c r="F756" s="21" t="str">
        <f>IF(H756=-0.33,IF(H754=H$1,H754,""),"")</f>
        <v/>
      </c>
      <c r="G756" s="24"/>
      <c r="H756" s="22">
        <f t="shared" ref="H756" si="78">IF(H755=1,IF(H754=H$2,1,-0.33),0)</f>
        <v>0</v>
      </c>
    </row>
    <row r="757" spans="2:10" x14ac:dyDescent="0.25">
      <c r="B757" s="84" t="s">
        <v>15</v>
      </c>
      <c r="C757" s="121" t="s">
        <v>62</v>
      </c>
      <c r="D757" s="38"/>
      <c r="E757" s="124" t="s">
        <v>12</v>
      </c>
      <c r="F757" s="18"/>
      <c r="G757" s="24"/>
      <c r="H757" s="22"/>
    </row>
    <row r="758" spans="2:10" x14ac:dyDescent="0.25">
      <c r="B758" s="42"/>
      <c r="C758" s="24"/>
      <c r="D758" s="38"/>
      <c r="E758" s="124" t="s">
        <v>13</v>
      </c>
      <c r="F758" s="18"/>
      <c r="G758" s="17"/>
      <c r="H758" s="22"/>
    </row>
    <row r="759" spans="2:10" x14ac:dyDescent="0.25">
      <c r="B759" s="123" t="s">
        <v>23</v>
      </c>
      <c r="C759" s="85" t="s">
        <v>514</v>
      </c>
      <c r="D759" s="39"/>
      <c r="E759" s="12"/>
      <c r="F759" s="14"/>
      <c r="G759" s="26"/>
      <c r="H759" s="13"/>
      <c r="I759" s="15"/>
      <c r="J759" s="15"/>
    </row>
    <row r="760" spans="2:10" x14ac:dyDescent="0.25">
      <c r="B760" s="84" t="s">
        <v>15</v>
      </c>
      <c r="C760" s="121" t="s">
        <v>603</v>
      </c>
      <c r="D760" s="38"/>
      <c r="E760" s="124" t="s">
        <v>9</v>
      </c>
      <c r="F760" s="18"/>
      <c r="G760" s="24"/>
      <c r="H760" s="19" t="b">
        <f>IF(D762="x",H$2,H$1)</f>
        <v>0</v>
      </c>
    </row>
    <row r="761" spans="2:10" x14ac:dyDescent="0.25">
      <c r="B761" s="84" t="s">
        <v>15</v>
      </c>
      <c r="C761" s="121" t="s">
        <v>604</v>
      </c>
      <c r="D761" s="38"/>
      <c r="E761" s="124" t="s">
        <v>10</v>
      </c>
      <c r="F761" s="20" t="str">
        <f>IF(H762=1,IF(H760=H$2,H760,""),"")</f>
        <v/>
      </c>
      <c r="G761" s="24"/>
      <c r="H761" s="19" t="str">
        <f>IF(E$783="comprobar",COUNTIF(D760:D764,"x"),"")</f>
        <v/>
      </c>
    </row>
    <row r="762" spans="2:10" x14ac:dyDescent="0.25">
      <c r="B762" s="84" t="s">
        <v>15</v>
      </c>
      <c r="C762" s="121" t="s">
        <v>605</v>
      </c>
      <c r="D762" s="38"/>
      <c r="E762" s="124" t="s">
        <v>11</v>
      </c>
      <c r="F762" s="21" t="str">
        <f>IF(H762=-0.33,IF(H760=H$1,H760,""),"")</f>
        <v/>
      </c>
      <c r="G762" s="24"/>
      <c r="H762" s="22">
        <f t="shared" ref="H762" si="79">IF(H761=1,IF(H760=H$2,1,-0.33),0)</f>
        <v>0</v>
      </c>
    </row>
    <row r="763" spans="2:10" x14ac:dyDescent="0.25">
      <c r="B763" s="84" t="s">
        <v>15</v>
      </c>
      <c r="C763" s="121" t="s">
        <v>547</v>
      </c>
      <c r="D763" s="38"/>
      <c r="E763" s="124" t="s">
        <v>12</v>
      </c>
      <c r="F763" s="18"/>
      <c r="G763" s="24"/>
      <c r="H763" s="22"/>
    </row>
    <row r="764" spans="2:10" x14ac:dyDescent="0.25">
      <c r="B764" s="42"/>
      <c r="C764" s="24"/>
      <c r="D764" s="38"/>
      <c r="E764" s="124" t="s">
        <v>13</v>
      </c>
      <c r="F764" s="18"/>
      <c r="G764" s="17"/>
      <c r="H764" s="22"/>
    </row>
    <row r="765" spans="2:10" x14ac:dyDescent="0.25">
      <c r="B765" s="123" t="s">
        <v>24</v>
      </c>
      <c r="C765" s="85" t="s">
        <v>515</v>
      </c>
      <c r="D765" s="39"/>
      <c r="E765" s="12"/>
      <c r="F765" s="14"/>
      <c r="G765" s="26"/>
      <c r="H765" s="13"/>
      <c r="I765" s="15"/>
      <c r="J765" s="15"/>
    </row>
    <row r="766" spans="2:10" x14ac:dyDescent="0.25">
      <c r="B766" s="84" t="s">
        <v>15</v>
      </c>
      <c r="C766" s="121" t="s">
        <v>516</v>
      </c>
      <c r="D766" s="38"/>
      <c r="E766" s="124" t="s">
        <v>9</v>
      </c>
      <c r="F766" s="18"/>
      <c r="G766" s="24"/>
      <c r="H766" s="19" t="b">
        <f>IF(D767="x",H$2,H$1)</f>
        <v>0</v>
      </c>
    </row>
    <row r="767" spans="2:10" x14ac:dyDescent="0.25">
      <c r="B767" s="84" t="s">
        <v>15</v>
      </c>
      <c r="C767" s="121" t="s">
        <v>517</v>
      </c>
      <c r="D767" s="38"/>
      <c r="E767" s="124" t="s">
        <v>10</v>
      </c>
      <c r="F767" s="20" t="str">
        <f>IF(H768=1,IF(H766=H$2,H766,""),"")</f>
        <v/>
      </c>
      <c r="G767" s="24"/>
      <c r="H767" s="19" t="str">
        <f>IF(E$783="comprobar",COUNTIF(D766:D770,"x"),"")</f>
        <v/>
      </c>
    </row>
    <row r="768" spans="2:10" x14ac:dyDescent="0.25">
      <c r="B768" s="84" t="s">
        <v>15</v>
      </c>
      <c r="C768" s="121" t="s">
        <v>511</v>
      </c>
      <c r="D768" s="38"/>
      <c r="E768" s="124" t="s">
        <v>11</v>
      </c>
      <c r="F768" s="21" t="str">
        <f>IF(H768=-0.33,IF(H766=H$1,H766,""),"")</f>
        <v/>
      </c>
      <c r="G768" s="24"/>
      <c r="H768" s="22">
        <f t="shared" ref="H768" si="80">IF(H767=1,IF(H766=H$2,1,-0.33),0)</f>
        <v>0</v>
      </c>
    </row>
    <row r="769" spans="2:8" x14ac:dyDescent="0.25">
      <c r="B769" s="84" t="s">
        <v>15</v>
      </c>
      <c r="C769" s="121" t="s">
        <v>512</v>
      </c>
      <c r="D769" s="38"/>
      <c r="E769" s="124" t="s">
        <v>12</v>
      </c>
      <c r="F769" s="18"/>
      <c r="G769" s="24"/>
      <c r="H769" s="22"/>
    </row>
    <row r="770" spans="2:8" x14ac:dyDescent="0.25">
      <c r="B770" s="109"/>
      <c r="C770" s="24"/>
      <c r="D770" s="38"/>
      <c r="E770" s="124" t="s">
        <v>13</v>
      </c>
      <c r="F770" s="18"/>
      <c r="G770" s="17"/>
      <c r="H770" s="22"/>
    </row>
    <row r="771" spans="2:8" x14ac:dyDescent="0.25">
      <c r="B771" s="123" t="s">
        <v>29</v>
      </c>
      <c r="C771" s="85" t="s">
        <v>518</v>
      </c>
      <c r="D771" s="39"/>
      <c r="E771" s="12"/>
      <c r="F771" s="14"/>
      <c r="G771" s="26"/>
      <c r="H771" s="13"/>
    </row>
    <row r="772" spans="2:8" x14ac:dyDescent="0.25">
      <c r="B772" s="84" t="s">
        <v>15</v>
      </c>
      <c r="C772" s="121" t="s">
        <v>519</v>
      </c>
      <c r="D772" s="38"/>
      <c r="E772" s="124" t="s">
        <v>9</v>
      </c>
      <c r="F772" s="18"/>
      <c r="G772" s="24"/>
      <c r="H772" s="19" t="b">
        <f>IF(D773="x",H$2,H$1)</f>
        <v>0</v>
      </c>
    </row>
    <row r="773" spans="2:8" x14ac:dyDescent="0.25">
      <c r="B773" s="84" t="s">
        <v>15</v>
      </c>
      <c r="C773" s="121" t="s">
        <v>520</v>
      </c>
      <c r="D773" s="38"/>
      <c r="E773" s="124" t="s">
        <v>10</v>
      </c>
      <c r="F773" s="20" t="str">
        <f>IF(H774=1,IF(H772=H$2,H772,""),"")</f>
        <v/>
      </c>
      <c r="G773" s="24"/>
      <c r="H773" s="19" t="str">
        <f>IF(E$783="comprobar",COUNTIF(D772:D776,"x"),"")</f>
        <v/>
      </c>
    </row>
    <row r="774" spans="2:8" x14ac:dyDescent="0.25">
      <c r="B774" s="84" t="s">
        <v>15</v>
      </c>
      <c r="C774" s="121" t="s">
        <v>521</v>
      </c>
      <c r="D774" s="38"/>
      <c r="E774" s="124" t="s">
        <v>11</v>
      </c>
      <c r="F774" s="21" t="str">
        <f>IF(H774=-0.33,IF(H772=H$1,H772,""),"")</f>
        <v/>
      </c>
      <c r="G774" s="24"/>
      <c r="H774" s="22">
        <f t="shared" ref="H774" si="81">IF(H773=1,IF(H772=H$2,1,-0.33),0)</f>
        <v>0</v>
      </c>
    </row>
    <row r="775" spans="2:8" x14ac:dyDescent="0.25">
      <c r="B775" s="84" t="s">
        <v>15</v>
      </c>
      <c r="C775" s="121" t="s">
        <v>62</v>
      </c>
      <c r="D775" s="38"/>
      <c r="E775" s="124" t="s">
        <v>12</v>
      </c>
      <c r="F775" s="18"/>
      <c r="G775" s="24"/>
      <c r="H775" s="22"/>
    </row>
    <row r="776" spans="2:8" x14ac:dyDescent="0.25">
      <c r="B776" s="109"/>
      <c r="C776" s="24"/>
      <c r="D776" s="38"/>
      <c r="E776" s="124" t="s">
        <v>13</v>
      </c>
      <c r="F776" s="18"/>
      <c r="G776" s="17"/>
      <c r="H776" s="22"/>
    </row>
    <row r="777" spans="2:8" x14ac:dyDescent="0.25">
      <c r="B777" s="123" t="s">
        <v>27</v>
      </c>
      <c r="C777" s="85" t="s">
        <v>522</v>
      </c>
      <c r="D777" s="39"/>
      <c r="E777" s="12"/>
      <c r="F777" s="14"/>
      <c r="G777" s="26"/>
      <c r="H777" s="13"/>
    </row>
    <row r="778" spans="2:8" x14ac:dyDescent="0.25">
      <c r="B778" s="84" t="s">
        <v>15</v>
      </c>
      <c r="C778" s="121" t="s">
        <v>523</v>
      </c>
      <c r="D778" s="38"/>
      <c r="E778" s="124" t="s">
        <v>9</v>
      </c>
      <c r="F778" s="18"/>
      <c r="G778" s="24"/>
      <c r="H778" s="19" t="b">
        <f>IF(D779="x",H$2,H$1)</f>
        <v>0</v>
      </c>
    </row>
    <row r="779" spans="2:8" x14ac:dyDescent="0.25">
      <c r="B779" s="84" t="s">
        <v>15</v>
      </c>
      <c r="C779" s="121" t="s">
        <v>484</v>
      </c>
      <c r="D779" s="38"/>
      <c r="E779" s="124" t="s">
        <v>10</v>
      </c>
      <c r="F779" s="20" t="str">
        <f>IF(H780=1,IF(H778=H$2,H778,""),"")</f>
        <v/>
      </c>
      <c r="G779" s="24"/>
      <c r="H779" s="19" t="str">
        <f>IF(E$783="comprobar",COUNTIF(D778:D782,"x"),"")</f>
        <v/>
      </c>
    </row>
    <row r="780" spans="2:8" x14ac:dyDescent="0.25">
      <c r="B780" s="84" t="s">
        <v>15</v>
      </c>
      <c r="C780" s="121" t="s">
        <v>524</v>
      </c>
      <c r="D780" s="38"/>
      <c r="E780" s="124" t="s">
        <v>11</v>
      </c>
      <c r="F780" s="21" t="str">
        <f>IF(H780=-0.33,IF(H778=H$1,H778,""),"")</f>
        <v/>
      </c>
      <c r="G780" s="24"/>
      <c r="H780" s="22">
        <f t="shared" ref="H780" si="82">IF(H779=1,IF(H778=H$2,1,-0.33),0)</f>
        <v>0</v>
      </c>
    </row>
    <row r="781" spans="2:8" x14ac:dyDescent="0.25">
      <c r="B781" s="84" t="s">
        <v>15</v>
      </c>
      <c r="C781" s="121" t="s">
        <v>525</v>
      </c>
      <c r="D781" s="38"/>
      <c r="E781" s="124" t="s">
        <v>12</v>
      </c>
      <c r="F781" s="18"/>
      <c r="G781" s="24"/>
      <c r="H781" s="22"/>
    </row>
    <row r="782" spans="2:8" x14ac:dyDescent="0.25">
      <c r="B782" s="109"/>
      <c r="C782" s="24"/>
      <c r="D782" s="38"/>
      <c r="E782" s="124" t="s">
        <v>13</v>
      </c>
      <c r="F782" s="18"/>
      <c r="G782" s="17"/>
      <c r="H782" s="22"/>
    </row>
    <row r="783" spans="2:8" x14ac:dyDescent="0.25">
      <c r="B783" s="109"/>
      <c r="C783" s="16"/>
      <c r="D783" s="48"/>
      <c r="E783" s="54"/>
      <c r="F783" s="18"/>
      <c r="G783" s="17"/>
      <c r="H783" s="22"/>
    </row>
    <row r="784" spans="2:8" x14ac:dyDescent="0.25">
      <c r="B784" s="42"/>
      <c r="C784" s="8"/>
      <c r="D784" s="48"/>
      <c r="E784" s="59"/>
      <c r="F784" s="28" t="s">
        <v>8</v>
      </c>
      <c r="G784" s="17" t="s">
        <v>6</v>
      </c>
      <c r="H784" s="17" t="s">
        <v>7</v>
      </c>
    </row>
    <row r="785" spans="2:10" ht="19.5" x14ac:dyDescent="0.25">
      <c r="B785" s="42"/>
      <c r="C785" s="8"/>
      <c r="D785" s="131"/>
      <c r="E785" s="131"/>
      <c r="F785" s="29" t="str">
        <f>IF(E$783="comprobar",H768+H762+H756+H750+H744+H738+H732+H726+H774+H780,"")</f>
        <v/>
      </c>
      <c r="G785" s="17">
        <f>10/2</f>
        <v>5</v>
      </c>
      <c r="H785" s="17"/>
    </row>
    <row r="786" spans="2:10" ht="16.5" thickBot="1" x14ac:dyDescent="0.3">
      <c r="B786" s="65"/>
      <c r="C786" s="66"/>
      <c r="D786" s="31"/>
      <c r="E786" s="9"/>
      <c r="F786" s="32" t="str">
        <f>IF(F785&gt;G785,G784,H784)</f>
        <v>APROBADO</v>
      </c>
      <c r="G786" s="17"/>
      <c r="H786" s="17"/>
    </row>
    <row r="787" spans="2:10" ht="28.5" x14ac:dyDescent="0.45">
      <c r="B787" s="61" t="s">
        <v>33</v>
      </c>
      <c r="C787" s="125" t="s">
        <v>407</v>
      </c>
      <c r="D787" s="125"/>
      <c r="E787" s="125"/>
      <c r="F787" s="126"/>
    </row>
    <row r="788" spans="2:10" x14ac:dyDescent="0.25">
      <c r="B788" s="120" t="s">
        <v>18</v>
      </c>
      <c r="C788" s="85" t="s">
        <v>526</v>
      </c>
      <c r="D788" s="12"/>
      <c r="E788" s="12"/>
      <c r="F788" s="14"/>
      <c r="G788" s="26"/>
      <c r="H788" s="13"/>
      <c r="I788" s="15"/>
      <c r="J788" s="15"/>
    </row>
    <row r="789" spans="2:10" x14ac:dyDescent="0.25">
      <c r="B789" s="84" t="s">
        <v>15</v>
      </c>
      <c r="C789" s="121" t="s">
        <v>527</v>
      </c>
      <c r="D789" s="38"/>
      <c r="E789" s="124" t="s">
        <v>9</v>
      </c>
      <c r="F789" s="18"/>
      <c r="G789" s="24"/>
      <c r="H789" s="19" t="b">
        <f>IF(D791="x",H$2,H$1)</f>
        <v>0</v>
      </c>
    </row>
    <row r="790" spans="2:10" x14ac:dyDescent="0.25">
      <c r="B790" s="84" t="s">
        <v>15</v>
      </c>
      <c r="C790" s="121" t="s">
        <v>528</v>
      </c>
      <c r="D790" s="38"/>
      <c r="E790" s="124" t="s">
        <v>10</v>
      </c>
      <c r="F790" s="20" t="str">
        <f>IF(H791=1,IF(H789=H$2,H789,""),"")</f>
        <v/>
      </c>
      <c r="G790" s="24"/>
      <c r="H790" s="19" t="str">
        <f>IF(E$848="comprobar",COUNTIF(D789:D793,"x"),"")</f>
        <v/>
      </c>
    </row>
    <row r="791" spans="2:10" x14ac:dyDescent="0.25">
      <c r="B791" s="84" t="s">
        <v>15</v>
      </c>
      <c r="C791" s="121" t="s">
        <v>529</v>
      </c>
      <c r="D791" s="38"/>
      <c r="E791" s="124" t="s">
        <v>11</v>
      </c>
      <c r="F791" s="21" t="str">
        <f>IF(H791=-0.33,IF(H789=H$1,H789,""),"")</f>
        <v/>
      </c>
      <c r="G791" s="24"/>
      <c r="H791" s="22">
        <f>IF(H790=1,IF(H789=H$2,1,-0.33),0)</f>
        <v>0</v>
      </c>
    </row>
    <row r="792" spans="2:10" x14ac:dyDescent="0.25">
      <c r="B792" s="84" t="s">
        <v>15</v>
      </c>
      <c r="C792" s="121" t="s">
        <v>62</v>
      </c>
      <c r="D792" s="38"/>
      <c r="E792" s="124" t="s">
        <v>12</v>
      </c>
      <c r="F792" s="18"/>
      <c r="G792" s="24"/>
      <c r="H792" s="22"/>
    </row>
    <row r="793" spans="2:10" x14ac:dyDescent="0.25">
      <c r="B793" s="42"/>
      <c r="C793" s="24"/>
      <c r="D793" s="38"/>
      <c r="E793" s="124" t="s">
        <v>13</v>
      </c>
      <c r="F793" s="18"/>
      <c r="G793" s="17"/>
      <c r="H793" s="22"/>
    </row>
    <row r="794" spans="2:10" x14ac:dyDescent="0.25">
      <c r="B794" s="123" t="s">
        <v>17</v>
      </c>
      <c r="C794" s="85" t="s">
        <v>530</v>
      </c>
      <c r="D794" s="39"/>
      <c r="E794" s="12"/>
      <c r="F794" s="14"/>
      <c r="G794" s="26"/>
      <c r="H794" s="13"/>
      <c r="I794" s="15"/>
      <c r="J794" s="15"/>
    </row>
    <row r="795" spans="2:10" x14ac:dyDescent="0.25">
      <c r="B795" s="84" t="s">
        <v>15</v>
      </c>
      <c r="C795" s="121" t="s">
        <v>531</v>
      </c>
      <c r="D795" s="38"/>
      <c r="E795" s="124" t="s">
        <v>9</v>
      </c>
      <c r="F795" s="18"/>
      <c r="G795" s="24"/>
      <c r="H795" s="19" t="b">
        <f>IF(D797="x",H$2,H$1)</f>
        <v>0</v>
      </c>
    </row>
    <row r="796" spans="2:10" x14ac:dyDescent="0.25">
      <c r="B796" s="84" t="s">
        <v>15</v>
      </c>
      <c r="C796" s="121" t="s">
        <v>532</v>
      </c>
      <c r="D796" s="38"/>
      <c r="E796" s="124" t="s">
        <v>10</v>
      </c>
      <c r="F796" s="20" t="str">
        <f>IF(H797=1,IF(H795=H$2,H795,""),"")</f>
        <v/>
      </c>
      <c r="G796" s="24"/>
      <c r="H796" s="19" t="str">
        <f>IF(E$848="comprobar",COUNTIF(D795:D799,"x"),"")</f>
        <v/>
      </c>
    </row>
    <row r="797" spans="2:10" x14ac:dyDescent="0.25">
      <c r="B797" s="84" t="s">
        <v>15</v>
      </c>
      <c r="C797" s="121" t="s">
        <v>533</v>
      </c>
      <c r="D797" s="38"/>
      <c r="E797" s="124" t="s">
        <v>11</v>
      </c>
      <c r="F797" s="21" t="str">
        <f>IF(H797=-0.33,IF(H795=H$1,H795,""),"")</f>
        <v/>
      </c>
      <c r="G797" s="24"/>
      <c r="H797" s="22">
        <f t="shared" ref="H797" si="83">IF(H796=1,IF(H795=H$2,1,-0.33),0)</f>
        <v>0</v>
      </c>
    </row>
    <row r="798" spans="2:10" x14ac:dyDescent="0.25">
      <c r="B798" s="84" t="s">
        <v>15</v>
      </c>
      <c r="C798" s="121" t="s">
        <v>534</v>
      </c>
      <c r="D798" s="38"/>
      <c r="E798" s="124" t="s">
        <v>12</v>
      </c>
      <c r="F798" s="18"/>
      <c r="G798" s="24"/>
      <c r="H798" s="22"/>
    </row>
    <row r="799" spans="2:10" x14ac:dyDescent="0.25">
      <c r="B799" s="84"/>
      <c r="C799" s="24"/>
      <c r="D799" s="38"/>
      <c r="E799" s="124" t="s">
        <v>13</v>
      </c>
      <c r="F799" s="18"/>
      <c r="G799" s="17"/>
      <c r="H799" s="22"/>
    </row>
    <row r="800" spans="2:10" x14ac:dyDescent="0.25">
      <c r="B800" s="123" t="s">
        <v>19</v>
      </c>
      <c r="C800" s="85" t="s">
        <v>535</v>
      </c>
      <c r="D800" s="39"/>
      <c r="E800" s="12"/>
      <c r="F800" s="14"/>
      <c r="G800" s="26"/>
      <c r="H800" s="13"/>
      <c r="I800" s="15"/>
      <c r="J800" s="15"/>
    </row>
    <row r="801" spans="2:10" x14ac:dyDescent="0.25">
      <c r="B801" s="84" t="s">
        <v>15</v>
      </c>
      <c r="C801" s="121" t="s">
        <v>536</v>
      </c>
      <c r="D801" s="38"/>
      <c r="E801" s="124" t="s">
        <v>9</v>
      </c>
      <c r="F801" s="18"/>
      <c r="G801" s="24"/>
      <c r="H801" s="19" t="b">
        <f>IF(D801="x",H$2,H$1)</f>
        <v>0</v>
      </c>
    </row>
    <row r="802" spans="2:10" x14ac:dyDescent="0.25">
      <c r="B802" s="84" t="s">
        <v>15</v>
      </c>
      <c r="C802" s="121" t="s">
        <v>537</v>
      </c>
      <c r="D802" s="38"/>
      <c r="E802" s="124" t="s">
        <v>10</v>
      </c>
      <c r="F802" s="20" t="str">
        <f>IF(H803=1,IF(H801=H$2,H801,""),"")</f>
        <v/>
      </c>
      <c r="G802" s="24"/>
      <c r="H802" s="19" t="str">
        <f>IF(E$848="comprobar",COUNTIF(D801:D805,"x"),"")</f>
        <v/>
      </c>
    </row>
    <row r="803" spans="2:10" x14ac:dyDescent="0.25">
      <c r="B803" s="84" t="s">
        <v>15</v>
      </c>
      <c r="C803" s="121" t="s">
        <v>538</v>
      </c>
      <c r="D803" s="38"/>
      <c r="E803" s="124" t="s">
        <v>11</v>
      </c>
      <c r="F803" s="21" t="str">
        <f>IF(H803=-0.33,IF(H801=H$1,H801,""),"")</f>
        <v/>
      </c>
      <c r="G803" s="24"/>
      <c r="H803" s="22">
        <f t="shared" ref="H803" si="84">IF(H802=1,IF(H801=H$2,1,-0.33),0)</f>
        <v>0</v>
      </c>
    </row>
    <row r="804" spans="2:10" x14ac:dyDescent="0.25">
      <c r="B804" s="84" t="s">
        <v>15</v>
      </c>
      <c r="C804" s="121" t="s">
        <v>96</v>
      </c>
      <c r="D804" s="38"/>
      <c r="E804" s="124" t="s">
        <v>12</v>
      </c>
      <c r="F804" s="18"/>
      <c r="G804" s="24"/>
      <c r="H804" s="22"/>
    </row>
    <row r="805" spans="2:10" x14ac:dyDescent="0.25">
      <c r="B805" s="84"/>
      <c r="C805" s="24"/>
      <c r="D805" s="38"/>
      <c r="E805" s="124" t="s">
        <v>13</v>
      </c>
      <c r="F805" s="18"/>
      <c r="G805" s="17"/>
      <c r="H805" s="22"/>
    </row>
    <row r="806" spans="2:10" x14ac:dyDescent="0.25">
      <c r="B806" s="123" t="s">
        <v>20</v>
      </c>
      <c r="C806" s="85" t="s">
        <v>539</v>
      </c>
      <c r="D806" s="39"/>
      <c r="E806" s="12"/>
      <c r="F806" s="14"/>
      <c r="G806" s="26"/>
      <c r="H806" s="13"/>
      <c r="I806" s="15"/>
      <c r="J806" s="15"/>
    </row>
    <row r="807" spans="2:10" x14ac:dyDescent="0.25">
      <c r="B807" s="84" t="s">
        <v>15</v>
      </c>
      <c r="C807" s="121" t="s">
        <v>540</v>
      </c>
      <c r="D807" s="38"/>
      <c r="E807" s="124" t="s">
        <v>9</v>
      </c>
      <c r="F807" s="18"/>
      <c r="G807" s="24"/>
      <c r="H807" s="19" t="b">
        <f>IF(D810="x",H$2,H$1)</f>
        <v>0</v>
      </c>
    </row>
    <row r="808" spans="2:10" x14ac:dyDescent="0.25">
      <c r="B808" s="84" t="s">
        <v>15</v>
      </c>
      <c r="C808" s="121" t="s">
        <v>541</v>
      </c>
      <c r="D808" s="38"/>
      <c r="E808" s="124" t="s">
        <v>10</v>
      </c>
      <c r="F808" s="20" t="str">
        <f>IF(H809=1,IF(H807=H$2,H807,""),"")</f>
        <v/>
      </c>
      <c r="G808" s="24"/>
      <c r="H808" s="19" t="str">
        <f>IF(E$848="comprobar",COUNTIF(D807:D811,"x"),"")</f>
        <v/>
      </c>
    </row>
    <row r="809" spans="2:10" x14ac:dyDescent="0.25">
      <c r="B809" s="84" t="s">
        <v>15</v>
      </c>
      <c r="C809" s="121" t="s">
        <v>542</v>
      </c>
      <c r="D809" s="38"/>
      <c r="E809" s="124" t="s">
        <v>11</v>
      </c>
      <c r="F809" s="21" t="str">
        <f>IF(H809=-0.33,IF(H807=H$1,H807,""),"")</f>
        <v/>
      </c>
      <c r="G809" s="24"/>
      <c r="H809" s="22">
        <f t="shared" ref="H809" si="85">IF(H808=1,IF(H807=H$2,1,-0.33),0)</f>
        <v>0</v>
      </c>
    </row>
    <row r="810" spans="2:10" x14ac:dyDescent="0.25">
      <c r="B810" s="84" t="s">
        <v>15</v>
      </c>
      <c r="C810" s="121" t="s">
        <v>543</v>
      </c>
      <c r="D810" s="38"/>
      <c r="E810" s="124" t="s">
        <v>12</v>
      </c>
      <c r="F810" s="18"/>
      <c r="G810" s="24"/>
      <c r="H810" s="22"/>
    </row>
    <row r="811" spans="2:10" x14ac:dyDescent="0.25">
      <c r="B811" s="84"/>
      <c r="C811" s="24"/>
      <c r="D811" s="38"/>
      <c r="E811" s="124" t="s">
        <v>13</v>
      </c>
      <c r="F811" s="18"/>
      <c r="G811" s="17"/>
      <c r="H811" s="22"/>
    </row>
    <row r="812" spans="2:10" x14ac:dyDescent="0.25">
      <c r="B812" s="123" t="s">
        <v>21</v>
      </c>
      <c r="C812" s="85" t="s">
        <v>544</v>
      </c>
      <c r="D812" s="39"/>
      <c r="E812" s="12"/>
      <c r="F812" s="14"/>
      <c r="G812" s="26"/>
      <c r="H812" s="13"/>
      <c r="I812" s="15"/>
      <c r="J812" s="15"/>
    </row>
    <row r="813" spans="2:10" x14ac:dyDescent="0.25">
      <c r="B813" s="84" t="s">
        <v>15</v>
      </c>
      <c r="C813" s="121" t="s">
        <v>545</v>
      </c>
      <c r="D813" s="38"/>
      <c r="E813" s="124" t="s">
        <v>9</v>
      </c>
      <c r="F813" s="18"/>
      <c r="G813" s="24"/>
      <c r="H813" s="19" t="b">
        <f>IF(D815="x",H$2,H$1)</f>
        <v>0</v>
      </c>
    </row>
    <row r="814" spans="2:10" x14ac:dyDescent="0.25">
      <c r="B814" s="84" t="s">
        <v>15</v>
      </c>
      <c r="C814" s="121" t="s">
        <v>546</v>
      </c>
      <c r="D814" s="38"/>
      <c r="E814" s="124" t="s">
        <v>10</v>
      </c>
      <c r="F814" s="20" t="str">
        <f>IF(H815=1,IF(H813=H$2,H813,""),"")</f>
        <v/>
      </c>
      <c r="G814" s="24"/>
      <c r="H814" s="19" t="str">
        <f>IF(E$848="comprobar",COUNTIF(D813:D817,"x"),"")</f>
        <v/>
      </c>
    </row>
    <row r="815" spans="2:10" x14ac:dyDescent="0.25">
      <c r="B815" s="84" t="s">
        <v>15</v>
      </c>
      <c r="C815" s="121" t="s">
        <v>547</v>
      </c>
      <c r="D815" s="38"/>
      <c r="E815" s="124" t="s">
        <v>11</v>
      </c>
      <c r="F815" s="21" t="str">
        <f>IF(H815=-0.33,IF(H813=H$1,H813,""),"")</f>
        <v/>
      </c>
      <c r="G815" s="24"/>
      <c r="H815" s="22">
        <f t="shared" ref="H815" si="86">IF(H814=1,IF(H813=H$2,1,-0.33),0)</f>
        <v>0</v>
      </c>
    </row>
    <row r="816" spans="2:10" x14ac:dyDescent="0.25">
      <c r="B816" s="84" t="s">
        <v>15</v>
      </c>
      <c r="C816" s="121" t="s">
        <v>509</v>
      </c>
      <c r="D816" s="38"/>
      <c r="E816" s="124" t="s">
        <v>12</v>
      </c>
      <c r="F816" s="18"/>
      <c r="G816" s="24"/>
      <c r="H816" s="22"/>
    </row>
    <row r="817" spans="2:10" x14ac:dyDescent="0.25">
      <c r="B817" s="84"/>
      <c r="C817" s="24"/>
      <c r="D817" s="38"/>
      <c r="E817" s="124" t="s">
        <v>13</v>
      </c>
      <c r="F817" s="18"/>
      <c r="G817" s="17"/>
      <c r="H817" s="22"/>
    </row>
    <row r="818" spans="2:10" x14ac:dyDescent="0.25">
      <c r="B818" s="123" t="s">
        <v>22</v>
      </c>
      <c r="C818" s="85" t="s">
        <v>548</v>
      </c>
      <c r="D818" s="39"/>
      <c r="E818" s="12"/>
      <c r="F818" s="14"/>
      <c r="G818" s="26"/>
      <c r="H818" s="13"/>
      <c r="I818" s="15"/>
      <c r="J818" s="15"/>
    </row>
    <row r="819" spans="2:10" x14ac:dyDescent="0.25">
      <c r="B819" s="84" t="s">
        <v>15</v>
      </c>
      <c r="C819" s="121" t="s">
        <v>549</v>
      </c>
      <c r="D819" s="38"/>
      <c r="E819" s="124" t="s">
        <v>9</v>
      </c>
      <c r="F819" s="18"/>
      <c r="G819" s="24"/>
      <c r="H819" s="19" t="b">
        <f>IF(D820="x",H$2,H$1)</f>
        <v>0</v>
      </c>
    </row>
    <row r="820" spans="2:10" x14ac:dyDescent="0.25">
      <c r="B820" s="84" t="s">
        <v>15</v>
      </c>
      <c r="C820" s="121" t="s">
        <v>550</v>
      </c>
      <c r="D820" s="38"/>
      <c r="E820" s="124" t="s">
        <v>10</v>
      </c>
      <c r="F820" s="20" t="str">
        <f>IF(H821=1,IF(H819=H$2,H819,""),"")</f>
        <v/>
      </c>
      <c r="G820" s="24"/>
      <c r="H820" s="19" t="str">
        <f>IF(E$848="comprobar",COUNTIF(D819:D823,"x"),"")</f>
        <v/>
      </c>
    </row>
    <row r="821" spans="2:10" x14ac:dyDescent="0.25">
      <c r="B821" s="84" t="s">
        <v>15</v>
      </c>
      <c r="C821" s="121" t="s">
        <v>551</v>
      </c>
      <c r="D821" s="38"/>
      <c r="E821" s="124" t="s">
        <v>11</v>
      </c>
      <c r="F821" s="21" t="str">
        <f>IF(H821=-0.33,IF(H819=H$1,H819,""),"")</f>
        <v/>
      </c>
      <c r="G821" s="24"/>
      <c r="H821" s="22">
        <f t="shared" ref="H821" si="87">IF(H820=1,IF(H819=H$2,1,-0.33),0)</f>
        <v>0</v>
      </c>
    </row>
    <row r="822" spans="2:10" x14ac:dyDescent="0.25">
      <c r="B822" s="84" t="s">
        <v>15</v>
      </c>
      <c r="C822" s="121" t="s">
        <v>62</v>
      </c>
      <c r="D822" s="38"/>
      <c r="E822" s="124" t="s">
        <v>12</v>
      </c>
      <c r="F822" s="18"/>
      <c r="G822" s="24"/>
      <c r="H822" s="22"/>
    </row>
    <row r="823" spans="2:10" x14ac:dyDescent="0.25">
      <c r="B823" s="42"/>
      <c r="C823" s="24"/>
      <c r="D823" s="38"/>
      <c r="E823" s="124" t="s">
        <v>13</v>
      </c>
      <c r="F823" s="18"/>
      <c r="G823" s="17"/>
      <c r="H823" s="22"/>
    </row>
    <row r="824" spans="2:10" x14ac:dyDescent="0.25">
      <c r="B824" s="123" t="s">
        <v>23</v>
      </c>
      <c r="C824" s="85" t="s">
        <v>552</v>
      </c>
      <c r="D824" s="39"/>
      <c r="E824" s="12"/>
      <c r="F824" s="14"/>
      <c r="G824" s="26"/>
      <c r="H824" s="13"/>
      <c r="I824" s="15"/>
      <c r="J824" s="15"/>
    </row>
    <row r="825" spans="2:10" x14ac:dyDescent="0.25">
      <c r="B825" s="84" t="s">
        <v>15</v>
      </c>
      <c r="C825" s="121" t="s">
        <v>553</v>
      </c>
      <c r="D825" s="38"/>
      <c r="E825" s="124" t="s">
        <v>9</v>
      </c>
      <c r="F825" s="18"/>
      <c r="G825" s="24"/>
      <c r="H825" s="19" t="b">
        <f>IF(D825="x",H$2,H$1)</f>
        <v>0</v>
      </c>
    </row>
    <row r="826" spans="2:10" x14ac:dyDescent="0.25">
      <c r="B826" s="84" t="s">
        <v>15</v>
      </c>
      <c r="C826" s="121" t="s">
        <v>554</v>
      </c>
      <c r="D826" s="38"/>
      <c r="E826" s="124" t="s">
        <v>10</v>
      </c>
      <c r="F826" s="20" t="str">
        <f>IF(H827=1,IF(H825=H$2,H825,""),"")</f>
        <v/>
      </c>
      <c r="G826" s="24"/>
      <c r="H826" s="19" t="str">
        <f>IF(E$848="comprobar",COUNTIF(D825:D829,"x"),"")</f>
        <v/>
      </c>
    </row>
    <row r="827" spans="2:10" x14ac:dyDescent="0.25">
      <c r="B827" s="84" t="s">
        <v>15</v>
      </c>
      <c r="C827" s="121" t="s">
        <v>555</v>
      </c>
      <c r="D827" s="38"/>
      <c r="E827" s="124" t="s">
        <v>11</v>
      </c>
      <c r="F827" s="21" t="str">
        <f>IF(H827=-0.33,IF(H825=H$1,H825,""),"")</f>
        <v/>
      </c>
      <c r="G827" s="24"/>
      <c r="H827" s="22">
        <f t="shared" ref="H827" si="88">IF(H826=1,IF(H825=H$2,1,-0.33),0)</f>
        <v>0</v>
      </c>
    </row>
    <row r="828" spans="2:10" x14ac:dyDescent="0.25">
      <c r="B828" s="84" t="s">
        <v>15</v>
      </c>
      <c r="C828" s="121" t="s">
        <v>96</v>
      </c>
      <c r="D828" s="38"/>
      <c r="E828" s="124" t="s">
        <v>12</v>
      </c>
      <c r="F828" s="18"/>
      <c r="G828" s="24"/>
      <c r="H828" s="22"/>
    </row>
    <row r="829" spans="2:10" x14ac:dyDescent="0.25">
      <c r="B829" s="42"/>
      <c r="C829" s="24"/>
      <c r="D829" s="38"/>
      <c r="E829" s="124" t="s">
        <v>13</v>
      </c>
      <c r="F829" s="18"/>
      <c r="G829" s="17"/>
      <c r="H829" s="22"/>
    </row>
    <row r="830" spans="2:10" x14ac:dyDescent="0.25">
      <c r="B830" s="123" t="s">
        <v>24</v>
      </c>
      <c r="C830" s="85" t="s">
        <v>556</v>
      </c>
      <c r="D830" s="39"/>
      <c r="E830" s="12"/>
      <c r="F830" s="14"/>
      <c r="G830" s="26"/>
      <c r="H830" s="13"/>
      <c r="I830" s="15"/>
      <c r="J830" s="15"/>
    </row>
    <row r="831" spans="2:10" x14ac:dyDescent="0.25">
      <c r="B831" s="84" t="s">
        <v>15</v>
      </c>
      <c r="C831" s="121" t="s">
        <v>557</v>
      </c>
      <c r="D831" s="38"/>
      <c r="E831" s="124" t="s">
        <v>9</v>
      </c>
      <c r="F831" s="18"/>
      <c r="G831" s="24"/>
      <c r="H831" s="19" t="b">
        <f>IF(D834="x",H$2,H$1)</f>
        <v>0</v>
      </c>
    </row>
    <row r="832" spans="2:10" x14ac:dyDescent="0.25">
      <c r="B832" s="84" t="s">
        <v>15</v>
      </c>
      <c r="C832" s="121" t="s">
        <v>558</v>
      </c>
      <c r="D832" s="38"/>
      <c r="E832" s="124" t="s">
        <v>10</v>
      </c>
      <c r="F832" s="20" t="str">
        <f>IF(H833=1,IF(H831=H$2,H831,""),"")</f>
        <v/>
      </c>
      <c r="G832" s="24"/>
      <c r="H832" s="19" t="str">
        <f>IF(E$848="comprobar",COUNTIF(D831:D835,"x"),"")</f>
        <v/>
      </c>
    </row>
    <row r="833" spans="2:8" x14ac:dyDescent="0.25">
      <c r="B833" s="84" t="s">
        <v>15</v>
      </c>
      <c r="C833" s="121" t="s">
        <v>559</v>
      </c>
      <c r="D833" s="38"/>
      <c r="E833" s="124" t="s">
        <v>11</v>
      </c>
      <c r="F833" s="21" t="str">
        <f>IF(H833=-0.33,IF(H831=H$1,H831,""),"")</f>
        <v/>
      </c>
      <c r="G833" s="24"/>
      <c r="H833" s="22">
        <f t="shared" ref="H833" si="89">IF(H832=1,IF(H831=H$2,1,-0.33),0)</f>
        <v>0</v>
      </c>
    </row>
    <row r="834" spans="2:8" x14ac:dyDescent="0.25">
      <c r="B834" s="84" t="s">
        <v>15</v>
      </c>
      <c r="C834" s="121" t="s">
        <v>459</v>
      </c>
      <c r="D834" s="38"/>
      <c r="E834" s="124" t="s">
        <v>12</v>
      </c>
      <c r="F834" s="18"/>
      <c r="G834" s="24"/>
      <c r="H834" s="22"/>
    </row>
    <row r="835" spans="2:8" x14ac:dyDescent="0.25">
      <c r="B835" s="109"/>
      <c r="C835" s="24"/>
      <c r="D835" s="38"/>
      <c r="E835" s="124" t="s">
        <v>13</v>
      </c>
      <c r="F835" s="18"/>
      <c r="G835" s="17"/>
      <c r="H835" s="22"/>
    </row>
    <row r="836" spans="2:8" x14ac:dyDescent="0.25">
      <c r="B836" s="123" t="s">
        <v>29</v>
      </c>
      <c r="C836" s="85" t="s">
        <v>560</v>
      </c>
      <c r="D836" s="39"/>
      <c r="E836" s="12"/>
      <c r="F836" s="14"/>
      <c r="G836" s="26"/>
      <c r="H836" s="13"/>
    </row>
    <row r="837" spans="2:8" x14ac:dyDescent="0.25">
      <c r="B837" s="84" t="s">
        <v>15</v>
      </c>
      <c r="C837" s="121" t="s">
        <v>561</v>
      </c>
      <c r="D837" s="38"/>
      <c r="E837" s="124" t="s">
        <v>9</v>
      </c>
      <c r="F837" s="18"/>
      <c r="G837" s="24"/>
      <c r="H837" s="19" t="b">
        <f>IF(D837="x",H$2,H$1)</f>
        <v>0</v>
      </c>
    </row>
    <row r="838" spans="2:8" x14ac:dyDescent="0.25">
      <c r="B838" s="84" t="s">
        <v>15</v>
      </c>
      <c r="C838" s="121" t="s">
        <v>562</v>
      </c>
      <c r="D838" s="38"/>
      <c r="E838" s="124" t="s">
        <v>10</v>
      </c>
      <c r="F838" s="20" t="str">
        <f>IF(H839=1,IF(H837=H$2,H837,""),"")</f>
        <v/>
      </c>
      <c r="G838" s="24"/>
      <c r="H838" s="19" t="str">
        <f>IF(E$848="comprobar",COUNTIF(D837:D841,"x"),"")</f>
        <v/>
      </c>
    </row>
    <row r="839" spans="2:8" x14ac:dyDescent="0.25">
      <c r="B839" s="84" t="s">
        <v>15</v>
      </c>
      <c r="C839" s="121" t="s">
        <v>563</v>
      </c>
      <c r="D839" s="38"/>
      <c r="E839" s="124" t="s">
        <v>11</v>
      </c>
      <c r="F839" s="21" t="str">
        <f>IF(H839=-0.33,IF(H837=H$1,H837,""),"")</f>
        <v/>
      </c>
      <c r="G839" s="24"/>
      <c r="H839" s="22">
        <f t="shared" ref="H839" si="90">IF(H838=1,IF(H837=H$2,1,-0.33),0)</f>
        <v>0</v>
      </c>
    </row>
    <row r="840" spans="2:8" x14ac:dyDescent="0.25">
      <c r="B840" s="84" t="s">
        <v>15</v>
      </c>
      <c r="C840" s="121" t="s">
        <v>564</v>
      </c>
      <c r="D840" s="38"/>
      <c r="E840" s="124" t="s">
        <v>12</v>
      </c>
      <c r="F840" s="18"/>
      <c r="G840" s="24"/>
      <c r="H840" s="22"/>
    </row>
    <row r="841" spans="2:8" x14ac:dyDescent="0.25">
      <c r="B841" s="109"/>
      <c r="C841" s="24"/>
      <c r="D841" s="38"/>
      <c r="E841" s="124" t="s">
        <v>13</v>
      </c>
      <c r="F841" s="18"/>
      <c r="G841" s="17"/>
      <c r="H841" s="22"/>
    </row>
    <row r="842" spans="2:8" x14ac:dyDescent="0.25">
      <c r="B842" s="123" t="s">
        <v>27</v>
      </c>
      <c r="C842" s="85" t="s">
        <v>565</v>
      </c>
      <c r="D842" s="39"/>
      <c r="E842" s="12"/>
      <c r="F842" s="14"/>
      <c r="G842" s="26"/>
      <c r="H842" s="13"/>
    </row>
    <row r="843" spans="2:8" x14ac:dyDescent="0.25">
      <c r="B843" s="84" t="s">
        <v>15</v>
      </c>
      <c r="C843" s="121" t="s">
        <v>566</v>
      </c>
      <c r="D843" s="38"/>
      <c r="E843" s="124" t="s">
        <v>9</v>
      </c>
      <c r="F843" s="18"/>
      <c r="G843" s="24"/>
      <c r="H843" s="19" t="b">
        <f>IF(D846="x",H$2,H$1)</f>
        <v>0</v>
      </c>
    </row>
    <row r="844" spans="2:8" x14ac:dyDescent="0.25">
      <c r="B844" s="84" t="s">
        <v>15</v>
      </c>
      <c r="C844" s="121" t="s">
        <v>567</v>
      </c>
      <c r="D844" s="38"/>
      <c r="E844" s="124" t="s">
        <v>10</v>
      </c>
      <c r="F844" s="20" t="str">
        <f>IF(H845=1,IF(H843=H$2,H843,""),"")</f>
        <v/>
      </c>
      <c r="G844" s="24"/>
      <c r="H844" s="19" t="str">
        <f>IF(E$848="comprobar",COUNTIF(D843:D847,"x"),"")</f>
        <v/>
      </c>
    </row>
    <row r="845" spans="2:8" x14ac:dyDescent="0.25">
      <c r="B845" s="84" t="s">
        <v>15</v>
      </c>
      <c r="C845" s="121" t="s">
        <v>568</v>
      </c>
      <c r="D845" s="38"/>
      <c r="E845" s="124" t="s">
        <v>11</v>
      </c>
      <c r="F845" s="21" t="str">
        <f>IF(H845=-0.33,IF(H843=H$1,H843,""),"")</f>
        <v/>
      </c>
      <c r="G845" s="24"/>
      <c r="H845" s="22">
        <f t="shared" ref="H845" si="91">IF(H844=1,IF(H843=H$2,1,-0.33),0)</f>
        <v>0</v>
      </c>
    </row>
    <row r="846" spans="2:8" x14ac:dyDescent="0.25">
      <c r="B846" s="84" t="s">
        <v>15</v>
      </c>
      <c r="C846" s="121" t="s">
        <v>96</v>
      </c>
      <c r="D846" s="38"/>
      <c r="E846" s="124" t="s">
        <v>12</v>
      </c>
      <c r="F846" s="18"/>
      <c r="G846" s="24"/>
      <c r="H846" s="22"/>
    </row>
    <row r="847" spans="2:8" x14ac:dyDescent="0.25">
      <c r="B847" s="109"/>
      <c r="C847" s="24"/>
      <c r="D847" s="38"/>
      <c r="E847" s="124" t="s">
        <v>13</v>
      </c>
      <c r="F847" s="18"/>
      <c r="G847" s="17"/>
      <c r="H847" s="22"/>
    </row>
    <row r="848" spans="2:8" x14ac:dyDescent="0.25">
      <c r="B848" s="109"/>
      <c r="C848" s="16"/>
      <c r="D848" s="48"/>
      <c r="E848" s="54"/>
      <c r="F848" s="18"/>
      <c r="G848" s="17"/>
      <c r="H848" s="22"/>
    </row>
    <row r="849" spans="2:8" x14ac:dyDescent="0.25">
      <c r="B849" s="42"/>
      <c r="C849" s="8"/>
      <c r="D849" s="48"/>
      <c r="E849" s="59"/>
      <c r="F849" s="28" t="s">
        <v>8</v>
      </c>
      <c r="G849" s="17" t="s">
        <v>6</v>
      </c>
      <c r="H849" s="17" t="s">
        <v>7</v>
      </c>
    </row>
    <row r="850" spans="2:8" ht="19.5" x14ac:dyDescent="0.25">
      <c r="B850" s="42"/>
      <c r="C850" s="8"/>
      <c r="D850" s="131"/>
      <c r="E850" s="131"/>
      <c r="F850" s="29" t="str">
        <f>IF(E$848="comprobar",H833+H827+H821+H815+H809+H803+H797+H791+H839+H845,"")</f>
        <v/>
      </c>
      <c r="G850" s="17">
        <f>10/2</f>
        <v>5</v>
      </c>
      <c r="H850" s="17"/>
    </row>
    <row r="851" spans="2:8" ht="16.5" thickBot="1" x14ac:dyDescent="0.3">
      <c r="B851" s="65"/>
      <c r="C851" s="66"/>
      <c r="D851" s="31"/>
      <c r="E851" s="9"/>
      <c r="F851" s="32" t="str">
        <f>IF(F850&gt;G850,G849,H849)</f>
        <v>APROBADO</v>
      </c>
      <c r="G851" s="17"/>
      <c r="H851" s="17"/>
    </row>
  </sheetData>
  <sheetProtection algorithmName="SHA-512" hashValue="TAs07y5E+smL42EmyzTLDcAqGNy1vavlPD5HU8Cdc5thZLagB8LyXj/6E/oqikK/9+PSNmaDqtc3be+c2pZr7A==" saltValue="mrRGYC6+9pxBiM6iG4g5yA==" spinCount="100000" sheet="1" objects="1" scenarios="1" selectLockedCells="1"/>
  <mergeCells count="8">
    <mergeCell ref="D850:E850"/>
    <mergeCell ref="D590:E590"/>
    <mergeCell ref="D69:E69"/>
    <mergeCell ref="C6:F6"/>
    <mergeCell ref="C71:F71"/>
    <mergeCell ref="D655:E655"/>
    <mergeCell ref="D720:E720"/>
    <mergeCell ref="D785:E785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391</xdr:row>
                    <xdr:rowOff>47625</xdr:rowOff>
                  </from>
                  <to>
                    <xdr:col>2</xdr:col>
                    <xdr:colOff>9991725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459</xdr:row>
                    <xdr:rowOff>0</xdr:rowOff>
                  </from>
                  <to>
                    <xdr:col>2</xdr:col>
                    <xdr:colOff>9820275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523</xdr:row>
                    <xdr:rowOff>190500</xdr:rowOff>
                  </from>
                  <to>
                    <xdr:col>2</xdr:col>
                    <xdr:colOff>9791700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523</xdr:row>
                    <xdr:rowOff>200025</xdr:rowOff>
                  </from>
                  <to>
                    <xdr:col>2</xdr:col>
                    <xdr:colOff>9096375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459</xdr:row>
                    <xdr:rowOff>9525</xdr:rowOff>
                  </from>
                  <to>
                    <xdr:col>2</xdr:col>
                    <xdr:colOff>9096375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391</xdr:row>
                    <xdr:rowOff>66675</xdr:rowOff>
                  </from>
                  <to>
                    <xdr:col>2</xdr:col>
                    <xdr:colOff>9296400</xdr:colOff>
                    <xdr:row>392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588</xdr:row>
                    <xdr:rowOff>76200</xdr:rowOff>
                  </from>
                  <to>
                    <xdr:col>2</xdr:col>
                    <xdr:colOff>10563225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588</xdr:row>
                    <xdr:rowOff>76200</xdr:rowOff>
                  </from>
                  <to>
                    <xdr:col>2</xdr:col>
                    <xdr:colOff>9877425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653</xdr:row>
                    <xdr:rowOff>76200</xdr:rowOff>
                  </from>
                  <to>
                    <xdr:col>2</xdr:col>
                    <xdr:colOff>10563225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653</xdr:row>
                    <xdr:rowOff>76200</xdr:rowOff>
                  </from>
                  <to>
                    <xdr:col>2</xdr:col>
                    <xdr:colOff>9877425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718</xdr:row>
                    <xdr:rowOff>76200</xdr:rowOff>
                  </from>
                  <to>
                    <xdr:col>2</xdr:col>
                    <xdr:colOff>10563225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718</xdr:row>
                    <xdr:rowOff>76200</xdr:rowOff>
                  </from>
                  <to>
                    <xdr:col>2</xdr:col>
                    <xdr:colOff>9877425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783</xdr:row>
                    <xdr:rowOff>76200</xdr:rowOff>
                  </from>
                  <to>
                    <xdr:col>2</xdr:col>
                    <xdr:colOff>10563225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783</xdr:row>
                    <xdr:rowOff>76200</xdr:rowOff>
                  </from>
                  <to>
                    <xdr:col>2</xdr:col>
                    <xdr:colOff>9877425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48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848</xdr:row>
                    <xdr:rowOff>76200</xdr:rowOff>
                  </from>
                  <to>
                    <xdr:col>2</xdr:col>
                    <xdr:colOff>10563225</xdr:colOff>
                    <xdr:row>849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49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848</xdr:row>
                    <xdr:rowOff>76200</xdr:rowOff>
                  </from>
                  <to>
                    <xdr:col>2</xdr:col>
                    <xdr:colOff>9877425</xdr:colOff>
                    <xdr:row>849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redes</vt:lpstr>
      <vt:lpstr>redes!Área_de_impresión</vt:lpstr>
      <vt:lpstr>redes!OLE_LINK2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2018-05-20T12:14:44Z</dcterms:modified>
  <cp:category/>
  <cp:contentStatus/>
</cp:coreProperties>
</file>