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D:\Gitkraken\ASIR_UNED_AVANZADO\"/>
    </mc:Choice>
  </mc:AlternateContent>
  <xr:revisionPtr revIDLastSave="0" documentId="13_ncr:1_{1C80F2DC-25C0-46D0-BAEB-373323B6A4E8}" xr6:coauthVersionLast="32" xr6:coauthVersionMax="32" xr10:uidLastSave="{00000000-0000-0000-0000-000000000000}"/>
  <bookViews>
    <workbookView xWindow="0" yWindow="0" windowWidth="28800" windowHeight="11610" tabRatio="500" xr2:uid="{00000000-000D-0000-FFFF-FFFF00000000}"/>
  </bookViews>
  <sheets>
    <sheet name="Empresa_finalizada" sheetId="10" r:id="rId1"/>
  </sheets>
  <calcPr calcId="179017" concurrentCalc="0"/>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H1233" i="10" l="1"/>
  <c r="H1227" i="10"/>
  <c r="H1221" i="10"/>
  <c r="H1215" i="10"/>
  <c r="H1209" i="10"/>
  <c r="H1203" i="10"/>
  <c r="H1197" i="10"/>
  <c r="H1191" i="10"/>
  <c r="H1185" i="10"/>
  <c r="H1179" i="10"/>
  <c r="H1173" i="10"/>
  <c r="H1167" i="10"/>
  <c r="H1161" i="10"/>
  <c r="H1155" i="10"/>
  <c r="H1137" i="10"/>
  <c r="H1043" i="10"/>
  <c r="H1037" i="10"/>
  <c r="H1031" i="10"/>
  <c r="H1025" i="10"/>
  <c r="H1019" i="10"/>
  <c r="H1013" i="10"/>
  <c r="H1007" i="10"/>
  <c r="H1001" i="10"/>
  <c r="H995" i="10"/>
  <c r="H989" i="10"/>
  <c r="H983" i="10"/>
  <c r="H977" i="10"/>
  <c r="H971" i="10"/>
  <c r="H965" i="10"/>
  <c r="H959" i="10"/>
  <c r="H948" i="10"/>
  <c r="H942" i="10"/>
  <c r="H936" i="10"/>
  <c r="H930" i="10"/>
  <c r="H924" i="10"/>
  <c r="H918" i="10"/>
  <c r="H881" i="10"/>
  <c r="H912" i="10"/>
  <c r="H906" i="10"/>
  <c r="H900" i="10"/>
  <c r="H894" i="10"/>
  <c r="H888" i="10"/>
  <c r="H882" i="10"/>
  <c r="H876" i="10"/>
  <c r="H870" i="10"/>
  <c r="H864" i="10"/>
  <c r="H853" i="10"/>
  <c r="H847" i="10"/>
  <c r="H841" i="10"/>
  <c r="H835" i="10"/>
  <c r="H829" i="10"/>
  <c r="H823" i="10"/>
  <c r="H817" i="10"/>
  <c r="H811" i="10"/>
  <c r="H805" i="10"/>
  <c r="H799" i="10"/>
  <c r="H793" i="10"/>
  <c r="H787" i="10"/>
  <c r="H781" i="10"/>
  <c r="H775" i="10"/>
  <c r="H769" i="10"/>
  <c r="H758" i="10"/>
  <c r="H752" i="10"/>
  <c r="H746" i="10"/>
  <c r="H740" i="10"/>
  <c r="H734" i="10"/>
  <c r="H673" i="10"/>
  <c r="H728" i="10"/>
  <c r="H722" i="10"/>
  <c r="H716" i="10"/>
  <c r="H710" i="10"/>
  <c r="H704" i="10"/>
  <c r="H698" i="10"/>
  <c r="H692" i="10"/>
  <c r="H686" i="10"/>
  <c r="H680" i="10"/>
  <c r="H674" i="10"/>
  <c r="H645" i="10"/>
  <c r="H651" i="10"/>
  <c r="H657" i="10"/>
  <c r="H663" i="10"/>
  <c r="H639" i="10"/>
  <c r="H633" i="10"/>
  <c r="H627" i="10"/>
  <c r="H621" i="10"/>
  <c r="H615" i="10"/>
  <c r="H609" i="10"/>
  <c r="H603" i="10"/>
  <c r="H597" i="10"/>
  <c r="H591" i="10"/>
  <c r="H590" i="10"/>
  <c r="H592" i="10"/>
  <c r="H596" i="10"/>
  <c r="H598" i="10"/>
  <c r="H602" i="10"/>
  <c r="H604" i="10"/>
  <c r="H608" i="10"/>
  <c r="H610" i="10"/>
  <c r="H614" i="10"/>
  <c r="H616" i="10"/>
  <c r="H620" i="10"/>
  <c r="H622" i="10"/>
  <c r="H626" i="10"/>
  <c r="H628" i="10"/>
  <c r="H632" i="10"/>
  <c r="H634" i="10"/>
  <c r="H585" i="10"/>
  <c r="H579" i="10"/>
  <c r="H584" i="10"/>
  <c r="H586" i="10"/>
  <c r="H638" i="10"/>
  <c r="H640" i="10"/>
  <c r="H644" i="10"/>
  <c r="H646" i="10"/>
  <c r="H650" i="10"/>
  <c r="H652" i="10"/>
  <c r="H656" i="10"/>
  <c r="H658" i="10"/>
  <c r="H662" i="10"/>
  <c r="H664" i="10"/>
  <c r="H568" i="10"/>
  <c r="H562" i="10"/>
  <c r="H556" i="10"/>
  <c r="H550" i="10"/>
  <c r="H544" i="10"/>
  <c r="H538" i="10"/>
  <c r="H525" i="10"/>
  <c r="H532" i="10"/>
  <c r="H526" i="10"/>
  <c r="H520" i="10"/>
  <c r="H514" i="10"/>
  <c r="H508" i="10"/>
  <c r="H502" i="10"/>
  <c r="H496" i="10"/>
  <c r="H490" i="10"/>
  <c r="H484" i="10"/>
  <c r="H473" i="10"/>
  <c r="H467" i="10"/>
  <c r="H461" i="10"/>
  <c r="H455" i="10"/>
  <c r="H449" i="10"/>
  <c r="H443" i="10"/>
  <c r="H437" i="10"/>
  <c r="H431" i="10"/>
  <c r="H425" i="10"/>
  <c r="H419" i="10"/>
  <c r="H413" i="10"/>
  <c r="H407" i="10"/>
  <c r="H401" i="10"/>
  <c r="H395" i="10"/>
  <c r="H389" i="10"/>
  <c r="H300" i="10"/>
  <c r="H306" i="10"/>
  <c r="H312" i="10"/>
  <c r="H318" i="10"/>
  <c r="H324" i="10"/>
  <c r="H330" i="10"/>
  <c r="H336" i="10"/>
  <c r="H342" i="10"/>
  <c r="H348" i="10"/>
  <c r="H354" i="10"/>
  <c r="H360" i="10"/>
  <c r="H366" i="10"/>
  <c r="H372" i="10"/>
  <c r="H378" i="10"/>
  <c r="H377" i="10"/>
  <c r="H1226" i="10"/>
  <c r="H1202" i="10"/>
  <c r="H1214" i="10"/>
  <c r="H1220" i="10"/>
  <c r="H1208" i="10"/>
  <c r="H1196" i="10"/>
  <c r="H1190" i="10"/>
  <c r="H1160" i="10"/>
  <c r="H1166" i="10"/>
  <c r="H1172" i="10"/>
  <c r="H1178" i="10"/>
  <c r="H1184" i="10"/>
  <c r="H1154" i="10"/>
  <c r="H1148" i="10"/>
  <c r="H1975" i="10"/>
  <c r="H1969" i="10"/>
  <c r="H1963" i="10"/>
  <c r="H1957" i="10"/>
  <c r="H1951" i="10"/>
  <c r="H1939" i="10"/>
  <c r="H1945" i="10"/>
  <c r="H1933" i="10"/>
  <c r="H1927" i="10"/>
  <c r="H1921" i="10"/>
  <c r="H1915" i="10"/>
  <c r="H1903" i="10"/>
  <c r="H1909" i="10"/>
  <c r="H1880" i="10"/>
  <c r="H1897" i="10"/>
  <c r="H1891" i="10"/>
  <c r="H1885" i="10"/>
  <c r="H1879" i="10"/>
  <c r="H1873" i="10"/>
  <c r="H1849" i="10"/>
  <c r="H1855" i="10"/>
  <c r="H1861" i="10"/>
  <c r="H1867" i="10"/>
  <c r="H1843" i="10"/>
  <c r="H1837" i="10"/>
  <c r="H1831" i="10"/>
  <c r="H1825" i="10"/>
  <c r="H1819" i="10"/>
  <c r="H1813" i="10"/>
  <c r="H1807" i="10"/>
  <c r="H1801" i="10"/>
  <c r="H1910" i="10"/>
  <c r="H1911" i="10"/>
  <c r="H1922" i="10"/>
  <c r="H1923" i="10"/>
  <c r="H1940" i="10"/>
  <c r="H1946" i="10"/>
  <c r="H1947" i="10"/>
  <c r="H1952" i="10"/>
  <c r="H1953" i="10"/>
  <c r="H1958" i="10"/>
  <c r="H1959" i="10"/>
  <c r="H1964" i="10"/>
  <c r="H1965" i="10"/>
  <c r="F1964" i="10"/>
  <c r="H1970" i="10"/>
  <c r="H1971" i="10"/>
  <c r="H1976" i="10"/>
  <c r="H1977" i="10"/>
  <c r="H1802" i="10"/>
  <c r="H1803" i="10"/>
  <c r="H1808" i="10"/>
  <c r="H1809" i="10"/>
  <c r="H1814" i="10"/>
  <c r="H1815" i="10"/>
  <c r="H1820" i="10"/>
  <c r="H1821" i="10"/>
  <c r="F1820" i="10"/>
  <c r="H1826" i="10"/>
  <c r="H1827" i="10"/>
  <c r="H1832" i="10"/>
  <c r="H1833" i="10"/>
  <c r="H1838" i="10"/>
  <c r="H1839" i="10"/>
  <c r="H1844" i="10"/>
  <c r="H1845" i="10"/>
  <c r="F1844" i="10"/>
  <c r="H1850" i="10"/>
  <c r="H1851" i="10"/>
  <c r="H1856" i="10"/>
  <c r="H1857" i="10"/>
  <c r="H1862" i="10"/>
  <c r="H1863" i="10"/>
  <c r="H1868" i="10"/>
  <c r="H1869" i="10"/>
  <c r="F1868" i="10"/>
  <c r="H1874" i="10"/>
  <c r="H1875" i="10"/>
  <c r="H1881" i="10"/>
  <c r="H1886" i="10"/>
  <c r="H1887" i="10"/>
  <c r="H1892" i="10"/>
  <c r="H1893" i="10"/>
  <c r="F1892" i="10"/>
  <c r="H1898" i="10"/>
  <c r="H1899" i="10"/>
  <c r="H1904" i="10"/>
  <c r="H1905" i="10"/>
  <c r="H1916" i="10"/>
  <c r="H1917" i="10"/>
  <c r="F1916" i="10"/>
  <c r="H1928" i="10"/>
  <c r="H1929" i="10"/>
  <c r="H1934" i="10"/>
  <c r="H1935" i="10"/>
  <c r="H1941" i="10"/>
  <c r="F1940" i="10"/>
  <c r="G1983" i="10"/>
  <c r="F1983" i="10"/>
  <c r="F1984" i="10"/>
  <c r="F1886" i="10"/>
  <c r="F1887" i="10"/>
  <c r="F1839" i="10"/>
  <c r="F1838" i="10"/>
  <c r="F1815" i="10"/>
  <c r="F1814" i="10"/>
  <c r="F1862" i="10"/>
  <c r="F1863" i="10"/>
  <c r="F1910" i="10"/>
  <c r="F1911" i="10"/>
  <c r="F1809" i="10"/>
  <c r="F1808" i="10"/>
  <c r="F1929" i="10"/>
  <c r="F1928" i="10"/>
  <c r="F1857" i="10"/>
  <c r="F1856" i="10"/>
  <c r="F1833" i="10"/>
  <c r="F1832" i="10"/>
  <c r="F1959" i="10"/>
  <c r="F1958" i="10"/>
  <c r="F1946" i="10"/>
  <c r="F1947" i="10"/>
  <c r="F1802" i="10"/>
  <c r="F1803" i="10"/>
  <c r="F1953" i="10"/>
  <c r="F1952" i="10"/>
  <c r="F1970" i="10"/>
  <c r="F1971" i="10"/>
  <c r="F1905" i="10"/>
  <c r="F1904" i="10"/>
  <c r="F1881" i="10"/>
  <c r="F1880" i="10"/>
  <c r="F1977" i="10"/>
  <c r="F1976" i="10"/>
  <c r="F1935" i="10"/>
  <c r="F1934" i="10"/>
  <c r="F1922" i="10"/>
  <c r="F1923" i="10"/>
  <c r="F1898" i="10"/>
  <c r="F1899" i="10"/>
  <c r="F1874" i="10"/>
  <c r="F1875" i="10"/>
  <c r="F1850" i="10"/>
  <c r="F1851" i="10"/>
  <c r="F1826" i="10"/>
  <c r="F1827" i="10"/>
  <c r="F1965" i="10"/>
  <c r="F1941" i="10"/>
  <c r="F1917" i="10"/>
  <c r="F1893" i="10"/>
  <c r="F1869" i="10"/>
  <c r="F1845" i="10"/>
  <c r="F1821" i="10"/>
  <c r="H1789" i="10"/>
  <c r="H1783" i="10"/>
  <c r="H1777" i="10"/>
  <c r="H1771" i="10"/>
  <c r="H1765" i="10"/>
  <c r="H1759" i="10"/>
  <c r="H1753" i="10"/>
  <c r="H1741" i="10"/>
  <c r="H1735" i="10"/>
  <c r="H1717" i="10"/>
  <c r="H1711" i="10"/>
  <c r="H1705" i="10"/>
  <c r="H1699" i="10"/>
  <c r="H1687" i="10"/>
  <c r="H1675" i="10"/>
  <c r="H1669" i="10"/>
  <c r="H1663" i="10"/>
  <c r="H1651" i="10"/>
  <c r="H1645" i="10"/>
  <c r="H1633" i="10"/>
  <c r="H1627" i="10"/>
  <c r="H1621" i="10"/>
  <c r="H1615" i="10"/>
  <c r="H1790" i="10"/>
  <c r="H1791" i="10"/>
  <c r="H1784" i="10"/>
  <c r="H1778" i="10"/>
  <c r="H1772" i="10"/>
  <c r="H1766" i="10"/>
  <c r="H1767" i="10"/>
  <c r="H1760" i="10"/>
  <c r="H1761" i="10"/>
  <c r="H1754" i="10"/>
  <c r="H1748" i="10"/>
  <c r="H1742" i="10"/>
  <c r="H1743" i="10"/>
  <c r="H1736" i="10"/>
  <c r="H1737" i="10"/>
  <c r="H1730" i="10"/>
  <c r="H1731" i="10"/>
  <c r="F1730" i="10"/>
  <c r="H1724" i="10"/>
  <c r="H1718" i="10"/>
  <c r="H1719" i="10"/>
  <c r="H1712" i="10"/>
  <c r="H1706" i="10"/>
  <c r="H1700" i="10"/>
  <c r="H1701" i="10"/>
  <c r="H1694" i="10"/>
  <c r="H1695" i="10"/>
  <c r="H1688" i="10"/>
  <c r="H1682" i="10"/>
  <c r="H1676" i="10"/>
  <c r="H1677" i="10"/>
  <c r="H1670" i="10"/>
  <c r="H1671" i="10"/>
  <c r="H1664" i="10"/>
  <c r="H1658" i="10"/>
  <c r="H1652" i="10"/>
  <c r="H1653" i="10"/>
  <c r="H1646" i="10"/>
  <c r="H1647" i="10"/>
  <c r="H1640" i="10"/>
  <c r="H1634" i="10"/>
  <c r="H1628" i="10"/>
  <c r="H1629" i="10"/>
  <c r="F1629" i="10"/>
  <c r="H1622" i="10"/>
  <c r="H1623" i="10"/>
  <c r="H1616" i="10"/>
  <c r="H1429" i="10"/>
  <c r="H1441" i="10"/>
  <c r="H1447" i="10"/>
  <c r="H1453" i="10"/>
  <c r="H1459" i="10"/>
  <c r="H1477" i="10"/>
  <c r="H1483" i="10"/>
  <c r="H1489" i="10"/>
  <c r="H1501" i="10"/>
  <c r="H1513" i="10"/>
  <c r="H1519" i="10"/>
  <c r="H1525" i="10"/>
  <c r="H1531" i="10"/>
  <c r="H1537" i="10"/>
  <c r="H1543" i="10"/>
  <c r="H1549" i="10"/>
  <c r="H1555" i="10"/>
  <c r="H1561" i="10"/>
  <c r="H1567" i="10"/>
  <c r="H1585" i="10"/>
  <c r="H1591" i="10"/>
  <c r="H1597" i="10"/>
  <c r="H1603" i="10"/>
  <c r="H1538" i="10"/>
  <c r="H1532" i="10"/>
  <c r="H1520" i="10"/>
  <c r="H1526" i="10"/>
  <c r="H1514" i="10"/>
  <c r="H1508" i="10"/>
  <c r="H1502" i="10"/>
  <c r="H1496" i="10"/>
  <c r="H1490" i="10"/>
  <c r="H1484" i="10"/>
  <c r="H1478" i="10"/>
  <c r="H1479" i="10"/>
  <c r="H1472" i="10"/>
  <c r="H1473" i="10"/>
  <c r="F1472" i="10"/>
  <c r="H1466" i="10"/>
  <c r="H1467" i="10"/>
  <c r="F1467" i="10"/>
  <c r="H1460" i="10"/>
  <c r="H1454" i="10"/>
  <c r="H1448" i="10"/>
  <c r="H1449" i="10"/>
  <c r="F1448" i="10"/>
  <c r="H1436" i="10"/>
  <c r="H1437" i="10"/>
  <c r="H1442" i="10"/>
  <c r="H1443" i="10"/>
  <c r="H1435" i="10"/>
  <c r="H1550" i="10"/>
  <c r="H1544" i="10"/>
  <c r="H1556" i="10"/>
  <c r="H1562" i="10"/>
  <c r="H1568" i="10"/>
  <c r="H1574" i="10"/>
  <c r="H1580" i="10"/>
  <c r="H1581" i="10"/>
  <c r="H1586" i="10"/>
  <c r="H1592" i="10"/>
  <c r="H1598" i="10"/>
  <c r="H1604" i="10"/>
  <c r="H1249" i="10"/>
  <c r="H1255" i="10"/>
  <c r="H1261" i="10"/>
  <c r="H1267" i="10"/>
  <c r="H1273" i="10"/>
  <c r="H1279" i="10"/>
  <c r="H1285" i="10"/>
  <c r="H1291" i="10"/>
  <c r="H1297" i="10"/>
  <c r="H1303" i="10"/>
  <c r="H1309" i="10"/>
  <c r="H1315" i="10"/>
  <c r="H1321" i="10"/>
  <c r="H1339" i="10"/>
  <c r="H1351" i="10"/>
  <c r="H1357" i="10"/>
  <c r="H1363" i="10"/>
  <c r="H1399" i="10"/>
  <c r="H1411" i="10"/>
  <c r="H1417" i="10"/>
  <c r="H1244" i="10"/>
  <c r="H1245" i="10"/>
  <c r="H1250" i="10"/>
  <c r="H1251" i="10"/>
  <c r="H1256" i="10"/>
  <c r="H1262" i="10"/>
  <c r="H1263" i="10"/>
  <c r="F1262" i="10"/>
  <c r="H1268" i="10"/>
  <c r="H1274" i="10"/>
  <c r="H1280" i="10"/>
  <c r="H1286" i="10"/>
  <c r="H1287" i="10"/>
  <c r="F1286" i="10"/>
  <c r="H1292" i="10"/>
  <c r="H1293" i="10"/>
  <c r="H1298" i="10"/>
  <c r="H1304" i="10"/>
  <c r="H1310" i="10"/>
  <c r="H1316" i="10"/>
  <c r="H1317" i="10"/>
  <c r="H1322" i="10"/>
  <c r="H1323" i="10"/>
  <c r="H1328" i="10"/>
  <c r="H1329" i="10"/>
  <c r="F1329" i="10"/>
  <c r="H1334" i="10"/>
  <c r="H1335" i="10"/>
  <c r="H1340" i="10"/>
  <c r="H1341" i="10"/>
  <c r="H1346" i="10"/>
  <c r="H1347" i="10"/>
  <c r="H1352" i="10"/>
  <c r="H1353" i="10"/>
  <c r="F1353" i="10"/>
  <c r="H1358" i="10"/>
  <c r="H1359" i="10"/>
  <c r="F1358" i="10"/>
  <c r="H1364" i="10"/>
  <c r="H1365" i="10"/>
  <c r="H1370" i="10"/>
  <c r="H1371" i="10"/>
  <c r="H1376" i="10"/>
  <c r="H1377" i="10"/>
  <c r="F1377" i="10"/>
  <c r="H1382" i="10"/>
  <c r="H1383" i="10"/>
  <c r="H1388" i="10"/>
  <c r="H1389" i="10"/>
  <c r="H1394" i="10"/>
  <c r="H1395" i="10"/>
  <c r="H1400" i="10"/>
  <c r="H1406" i="10"/>
  <c r="H1407" i="10"/>
  <c r="H1412" i="10"/>
  <c r="H1418" i="10"/>
  <c r="H1639" i="10"/>
  <c r="H1657" i="10"/>
  <c r="H1665" i="10"/>
  <c r="H1681" i="10"/>
  <c r="H1689" i="10"/>
  <c r="F1688" i="10"/>
  <c r="H1693" i="10"/>
  <c r="H1723" i="10"/>
  <c r="H1729" i="10"/>
  <c r="H1747" i="10"/>
  <c r="H1755" i="10"/>
  <c r="F1754" i="10"/>
  <c r="H1785" i="10"/>
  <c r="G1797" i="10"/>
  <c r="H1430" i="10"/>
  <c r="H1465" i="10"/>
  <c r="H1471" i="10"/>
  <c r="H1485" i="10"/>
  <c r="H1495" i="10"/>
  <c r="H1507" i="10"/>
  <c r="H1545" i="10"/>
  <c r="F1544" i="10"/>
  <c r="H1573" i="10"/>
  <c r="H1579" i="10"/>
  <c r="G1611" i="10"/>
  <c r="H1405" i="10"/>
  <c r="H1393" i="10"/>
  <c r="H1387" i="10"/>
  <c r="H1381" i="10"/>
  <c r="H1375" i="10"/>
  <c r="H1369" i="10"/>
  <c r="H1345" i="10"/>
  <c r="H1333" i="10"/>
  <c r="H1138" i="10"/>
  <c r="H1139" i="10"/>
  <c r="F1139" i="10"/>
  <c r="H1132" i="10"/>
  <c r="H1131" i="10"/>
  <c r="H1133" i="10"/>
  <c r="H1126" i="10"/>
  <c r="H1125" i="10"/>
  <c r="H1127" i="10"/>
  <c r="H1120" i="10"/>
  <c r="H1119" i="10"/>
  <c r="H1121" i="10"/>
  <c r="F1120" i="10"/>
  <c r="H1114" i="10"/>
  <c r="H1113" i="10"/>
  <c r="H1115" i="10"/>
  <c r="H1108" i="10"/>
  <c r="H1107" i="10"/>
  <c r="H1109" i="10"/>
  <c r="H1102" i="10"/>
  <c r="H1101" i="10"/>
  <c r="H1103" i="10"/>
  <c r="H1096" i="10"/>
  <c r="H1095" i="10"/>
  <c r="H1097" i="10"/>
  <c r="F1096" i="10"/>
  <c r="H1090" i="10"/>
  <c r="H1089" i="10"/>
  <c r="H1091" i="10"/>
  <c r="H1084" i="10"/>
  <c r="H1083" i="10"/>
  <c r="H1085" i="10"/>
  <c r="H1078" i="10"/>
  <c r="H1077" i="10"/>
  <c r="H1079" i="10"/>
  <c r="H1072" i="10"/>
  <c r="H1071" i="10"/>
  <c r="H1073" i="10"/>
  <c r="F1072" i="10"/>
  <c r="H1066" i="10"/>
  <c r="H1065" i="10"/>
  <c r="H1067" i="10"/>
  <c r="H1060" i="10"/>
  <c r="H1059" i="10"/>
  <c r="H1061" i="10"/>
  <c r="H1053" i="10"/>
  <c r="H1054" i="10"/>
  <c r="H1055" i="10"/>
  <c r="G1144" i="10"/>
  <c r="H1149" i="10"/>
  <c r="H1150" i="10"/>
  <c r="F1150" i="10"/>
  <c r="H1156" i="10"/>
  <c r="F1155" i="10"/>
  <c r="H1162" i="10"/>
  <c r="H1168" i="10"/>
  <c r="H1174" i="10"/>
  <c r="F1174" i="10"/>
  <c r="H1180" i="10"/>
  <c r="F1179" i="10"/>
  <c r="H1186" i="10"/>
  <c r="H1192" i="10"/>
  <c r="H1198" i="10"/>
  <c r="F1198" i="10"/>
  <c r="H1204" i="10"/>
  <c r="F1203" i="10"/>
  <c r="H1210" i="10"/>
  <c r="H1216" i="10"/>
  <c r="H1222" i="10"/>
  <c r="H1228" i="10"/>
  <c r="F1227" i="10"/>
  <c r="H1232" i="10"/>
  <c r="H1234" i="10"/>
  <c r="F1239" i="10"/>
  <c r="G1239" i="10"/>
  <c r="H1243" i="10"/>
  <c r="H1269" i="10"/>
  <c r="H1327" i="10"/>
  <c r="G1425" i="10"/>
  <c r="H994" i="10"/>
  <c r="H1006" i="10"/>
  <c r="H1012" i="10"/>
  <c r="H1018" i="10"/>
  <c r="H1024" i="10"/>
  <c r="H1030" i="10"/>
  <c r="H1036" i="10"/>
  <c r="H958" i="10"/>
  <c r="H964" i="10"/>
  <c r="H970" i="10"/>
  <c r="H976" i="10"/>
  <c r="H982" i="10"/>
  <c r="H988" i="10"/>
  <c r="H917" i="10"/>
  <c r="H923" i="10"/>
  <c r="H929" i="10"/>
  <c r="H935" i="10"/>
  <c r="H941" i="10"/>
  <c r="H947" i="10"/>
  <c r="H863" i="10"/>
  <c r="H875" i="10"/>
  <c r="H887" i="10"/>
  <c r="H893" i="10"/>
  <c r="H899" i="10"/>
  <c r="H822" i="10"/>
  <c r="H828" i="10"/>
  <c r="H834" i="10"/>
  <c r="H846" i="10"/>
  <c r="H852" i="10"/>
  <c r="H816" i="10"/>
  <c r="H768" i="10"/>
  <c r="H774" i="10"/>
  <c r="H786" i="10"/>
  <c r="H798" i="10"/>
  <c r="H804" i="10"/>
  <c r="H757" i="10"/>
  <c r="H751" i="10"/>
  <c r="H739" i="10"/>
  <c r="H733" i="10"/>
  <c r="H727" i="10"/>
  <c r="H721" i="10"/>
  <c r="H715" i="10"/>
  <c r="H709" i="10"/>
  <c r="H697" i="10"/>
  <c r="H691" i="10"/>
  <c r="H685" i="10"/>
  <c r="H679" i="10"/>
  <c r="H578" i="10"/>
  <c r="H567" i="10"/>
  <c r="H543" i="10"/>
  <c r="H549" i="10"/>
  <c r="H555" i="10"/>
  <c r="H531" i="10"/>
  <c r="H537" i="10"/>
  <c r="H519" i="10"/>
  <c r="H501" i="10"/>
  <c r="H513" i="10"/>
  <c r="H507" i="10"/>
  <c r="H495" i="10"/>
  <c r="H489" i="10"/>
  <c r="H483" i="10"/>
  <c r="H388" i="10"/>
  <c r="H400" i="10"/>
  <c r="H406" i="10"/>
  <c r="H412" i="10"/>
  <c r="H418" i="10"/>
  <c r="H424" i="10"/>
  <c r="H430" i="10"/>
  <c r="H436" i="10"/>
  <c r="H442" i="10"/>
  <c r="H448" i="10"/>
  <c r="H460" i="10"/>
  <c r="H472" i="10"/>
  <c r="H293" i="10"/>
  <c r="H299" i="10"/>
  <c r="H323" i="10"/>
  <c r="H329" i="10"/>
  <c r="H335" i="10"/>
  <c r="H359" i="10"/>
  <c r="H347" i="10"/>
  <c r="H341" i="10"/>
  <c r="H365" i="10"/>
  <c r="H371" i="10"/>
  <c r="H276" i="10"/>
  <c r="H270" i="10"/>
  <c r="H264" i="10"/>
  <c r="H252" i="10"/>
  <c r="H246" i="10"/>
  <c r="H234" i="10"/>
  <c r="H228" i="10"/>
  <c r="H222" i="10"/>
  <c r="H216" i="10"/>
  <c r="H210" i="10"/>
  <c r="H204" i="10"/>
  <c r="H188" i="10"/>
  <c r="H181" i="10"/>
  <c r="H182" i="10"/>
  <c r="H176" i="10"/>
  <c r="H170" i="10"/>
  <c r="H164" i="10"/>
  <c r="H158" i="10"/>
  <c r="H152" i="10"/>
  <c r="H146" i="10"/>
  <c r="H140" i="10"/>
  <c r="H134" i="10"/>
  <c r="H128" i="10"/>
  <c r="H122" i="10"/>
  <c r="H116" i="10"/>
  <c r="H110" i="10"/>
  <c r="H109" i="10"/>
  <c r="H104" i="10"/>
  <c r="H103" i="10"/>
  <c r="H115" i="10"/>
  <c r="H127" i="10"/>
  <c r="H133" i="10"/>
  <c r="H139" i="10"/>
  <c r="H145" i="10"/>
  <c r="H151" i="10"/>
  <c r="H157" i="10"/>
  <c r="H169" i="10"/>
  <c r="H175" i="10"/>
  <c r="H1617" i="10"/>
  <c r="H1779" i="10"/>
  <c r="F1778" i="10"/>
  <c r="H1749" i="10"/>
  <c r="F1749" i="10"/>
  <c r="H1635" i="10"/>
  <c r="F1634" i="10"/>
  <c r="H1659" i="10"/>
  <c r="F1658" i="10"/>
  <c r="H1683" i="10"/>
  <c r="F1682" i="10"/>
  <c r="H1707" i="10"/>
  <c r="F1706" i="10"/>
  <c r="H1725" i="10"/>
  <c r="F1724" i="10"/>
  <c r="H1773" i="10"/>
  <c r="H1641" i="10"/>
  <c r="H1713" i="10"/>
  <c r="F1712" i="10"/>
  <c r="H1509" i="10"/>
  <c r="F1509" i="10"/>
  <c r="H1497" i="10"/>
  <c r="F1496" i="10"/>
  <c r="H1539" i="10"/>
  <c r="F1538" i="10"/>
  <c r="H1557" i="10"/>
  <c r="F1557" i="10"/>
  <c r="H1491" i="10"/>
  <c r="F1491" i="10"/>
  <c r="H1599" i="10"/>
  <c r="F1598" i="10"/>
  <c r="H1575" i="10"/>
  <c r="F1575" i="10"/>
  <c r="H1587" i="10"/>
  <c r="F1586" i="10"/>
  <c r="H1563" i="10"/>
  <c r="F1562" i="10"/>
  <c r="H1551" i="10"/>
  <c r="F1550" i="10"/>
  <c r="H1527" i="10"/>
  <c r="F1526" i="10"/>
  <c r="H1593" i="10"/>
  <c r="F1592" i="10"/>
  <c r="H1569" i="10"/>
  <c r="F1568" i="10"/>
  <c r="H1455" i="10"/>
  <c r="F1455" i="10"/>
  <c r="H1503" i="10"/>
  <c r="F1502" i="10"/>
  <c r="H1521" i="10"/>
  <c r="F1520" i="10"/>
  <c r="H1461" i="10"/>
  <c r="F1460" i="10"/>
  <c r="H1533" i="10"/>
  <c r="F1533" i="10"/>
  <c r="H1431" i="10"/>
  <c r="F1430" i="10"/>
  <c r="H1605" i="10"/>
  <c r="F1604" i="10"/>
  <c r="H1515" i="10"/>
  <c r="F1515" i="10"/>
  <c r="F1689" i="10"/>
  <c r="H1419" i="10"/>
  <c r="H1257" i="10"/>
  <c r="F1257" i="10"/>
  <c r="H1275" i="10"/>
  <c r="F1274" i="10"/>
  <c r="H1281" i="10"/>
  <c r="F1281" i="10"/>
  <c r="H1299" i="10"/>
  <c r="H1305" i="10"/>
  <c r="F1305" i="10"/>
  <c r="H1311" i="10"/>
  <c r="F1310" i="10"/>
  <c r="H1401" i="10"/>
  <c r="F1401" i="10"/>
  <c r="H1413" i="10"/>
  <c r="F1412" i="10"/>
  <c r="F1382" i="10"/>
  <c r="F1383" i="10"/>
  <c r="F1406" i="10"/>
  <c r="F1407" i="10"/>
  <c r="F1784" i="10"/>
  <c r="F1785" i="10"/>
  <c r="F1359" i="10"/>
  <c r="F1574" i="10"/>
  <c r="F1443" i="10"/>
  <c r="F1442" i="10"/>
  <c r="F1527" i="10"/>
  <c r="F1466" i="10"/>
  <c r="F1760" i="10"/>
  <c r="F1761" i="10"/>
  <c r="F1736" i="10"/>
  <c r="F1737" i="10"/>
  <c r="F1664" i="10"/>
  <c r="F1665" i="10"/>
  <c r="F1653" i="10"/>
  <c r="F1652" i="10"/>
  <c r="F1713" i="10"/>
  <c r="F1628" i="10"/>
  <c r="F1767" i="10"/>
  <c r="F1766" i="10"/>
  <c r="F1671" i="10"/>
  <c r="F1670" i="10"/>
  <c r="F1623" i="10"/>
  <c r="F1622" i="10"/>
  <c r="F1791" i="10"/>
  <c r="F1790" i="10"/>
  <c r="F1695" i="10"/>
  <c r="F1694" i="10"/>
  <c r="F1647" i="10"/>
  <c r="F1646" i="10"/>
  <c r="F1773" i="10"/>
  <c r="F1772" i="10"/>
  <c r="F1719" i="10"/>
  <c r="F1718" i="10"/>
  <c r="F1677" i="10"/>
  <c r="F1676" i="10"/>
  <c r="F1616" i="10"/>
  <c r="F1617" i="10"/>
  <c r="F1743" i="10"/>
  <c r="F1742" i="10"/>
  <c r="F1700" i="10"/>
  <c r="F1701" i="10"/>
  <c r="F1779" i="10"/>
  <c r="F1755" i="10"/>
  <c r="F1731" i="10"/>
  <c r="F1683" i="10"/>
  <c r="F1659" i="10"/>
  <c r="F1581" i="10"/>
  <c r="F1580" i="10"/>
  <c r="F1478" i="10"/>
  <c r="F1479" i="10"/>
  <c r="F1437" i="10"/>
  <c r="F1436" i="10"/>
  <c r="F1334" i="10"/>
  <c r="F1335" i="10"/>
  <c r="F1485" i="10"/>
  <c r="F1484" i="10"/>
  <c r="F1545" i="10"/>
  <c r="F1497" i="10"/>
  <c r="F1473" i="10"/>
  <c r="F1449" i="10"/>
  <c r="F1340" i="10"/>
  <c r="F1341" i="10"/>
  <c r="F1395" i="10"/>
  <c r="F1394" i="10"/>
  <c r="F1371" i="10"/>
  <c r="F1370" i="10"/>
  <c r="F1347" i="10"/>
  <c r="F1346" i="10"/>
  <c r="F1388" i="10"/>
  <c r="F1389" i="10"/>
  <c r="F1364" i="10"/>
  <c r="F1365" i="10"/>
  <c r="F1419" i="10"/>
  <c r="F1418" i="10"/>
  <c r="F1352" i="10"/>
  <c r="F1376" i="10"/>
  <c r="F1328" i="10"/>
  <c r="F1240" i="10"/>
  <c r="F1197" i="10"/>
  <c r="F1067" i="10"/>
  <c r="F1066" i="10"/>
  <c r="F1144" i="10"/>
  <c r="F1145" i="10"/>
  <c r="F1115" i="10"/>
  <c r="F1114" i="10"/>
  <c r="F1138" i="10"/>
  <c r="F1091" i="10"/>
  <c r="F1090" i="10"/>
  <c r="F1222" i="10"/>
  <c r="F1221" i="10"/>
  <c r="F1149" i="10"/>
  <c r="F1173" i="10"/>
  <c r="F1251" i="10"/>
  <c r="F1250" i="10"/>
  <c r="F1102" i="10"/>
  <c r="F1103" i="10"/>
  <c r="F1061" i="10"/>
  <c r="F1060" i="10"/>
  <c r="F1245" i="10"/>
  <c r="F1244" i="10"/>
  <c r="F1210" i="10"/>
  <c r="F1209" i="10"/>
  <c r="F1168" i="10"/>
  <c r="F1167" i="10"/>
  <c r="F1109" i="10"/>
  <c r="F1108" i="10"/>
  <c r="F1054" i="10"/>
  <c r="F1055" i="10"/>
  <c r="F1292" i="10"/>
  <c r="F1293" i="10"/>
  <c r="F1216" i="10"/>
  <c r="F1215" i="10"/>
  <c r="F1162" i="10"/>
  <c r="F1161" i="10"/>
  <c r="F1316" i="10"/>
  <c r="F1317" i="10"/>
  <c r="F1185" i="10"/>
  <c r="F1186" i="10"/>
  <c r="F1126" i="10"/>
  <c r="F1127" i="10"/>
  <c r="F1085" i="10"/>
  <c r="F1084" i="10"/>
  <c r="F1323" i="10"/>
  <c r="F1322" i="10"/>
  <c r="F1268" i="10"/>
  <c r="F1269" i="10"/>
  <c r="F1234" i="10"/>
  <c r="F1233" i="10"/>
  <c r="F1192" i="10"/>
  <c r="F1191" i="10"/>
  <c r="F1133" i="10"/>
  <c r="F1132" i="10"/>
  <c r="F1079" i="10"/>
  <c r="F1078" i="10"/>
  <c r="F1287" i="10"/>
  <c r="F1263" i="10"/>
  <c r="F1228" i="10"/>
  <c r="F1204" i="10"/>
  <c r="F1180" i="10"/>
  <c r="F1156" i="10"/>
  <c r="F1121" i="10"/>
  <c r="F1097" i="10"/>
  <c r="F1073" i="10"/>
  <c r="H111" i="10"/>
  <c r="F110" i="10"/>
  <c r="H198" i="10"/>
  <c r="H675" i="10"/>
  <c r="H681" i="10"/>
  <c r="H687" i="10"/>
  <c r="H693" i="10"/>
  <c r="F692" i="10"/>
  <c r="H699" i="10"/>
  <c r="H703" i="10"/>
  <c r="H711" i="10"/>
  <c r="F711" i="10"/>
  <c r="H717" i="10"/>
  <c r="F716" i="10"/>
  <c r="H723" i="10"/>
  <c r="H729" i="10"/>
  <c r="H735" i="10"/>
  <c r="H741" i="10"/>
  <c r="F740" i="10"/>
  <c r="H745" i="10"/>
  <c r="H753" i="10"/>
  <c r="H759" i="10"/>
  <c r="H705" i="10"/>
  <c r="H747" i="10"/>
  <c r="F764" i="10"/>
  <c r="G764" i="10"/>
  <c r="H770" i="10"/>
  <c r="H776" i="10"/>
  <c r="H782" i="10"/>
  <c r="H788" i="10"/>
  <c r="H794" i="10"/>
  <c r="H800" i="10"/>
  <c r="H806" i="10"/>
  <c r="H812" i="10"/>
  <c r="H818" i="10"/>
  <c r="H830" i="10"/>
  <c r="H824" i="10"/>
  <c r="H836" i="10"/>
  <c r="H842" i="10"/>
  <c r="H848" i="10"/>
  <c r="H854" i="10"/>
  <c r="F859" i="10"/>
  <c r="F775" i="10"/>
  <c r="H780" i="10"/>
  <c r="H792" i="10"/>
  <c r="F794" i="10"/>
  <c r="F799" i="10"/>
  <c r="H810" i="10"/>
  <c r="F823" i="10"/>
  <c r="H840" i="10"/>
  <c r="F842" i="10"/>
  <c r="F847" i="10"/>
  <c r="G859" i="10"/>
  <c r="H865" i="10"/>
  <c r="H871" i="10"/>
  <c r="H877" i="10"/>
  <c r="H883" i="10"/>
  <c r="H889" i="10"/>
  <c r="H895" i="10"/>
  <c r="H901" i="10"/>
  <c r="H907" i="10"/>
  <c r="H911" i="10"/>
  <c r="H913" i="10"/>
  <c r="H919" i="10"/>
  <c r="H949" i="10"/>
  <c r="H925" i="10"/>
  <c r="H931" i="10"/>
  <c r="H937" i="10"/>
  <c r="H943" i="10"/>
  <c r="F954" i="10"/>
  <c r="H869" i="10"/>
  <c r="F877" i="10"/>
  <c r="F882" i="10"/>
  <c r="H905" i="10"/>
  <c r="F930" i="10"/>
  <c r="G954" i="10"/>
  <c r="H960" i="10"/>
  <c r="H966" i="10"/>
  <c r="H972" i="10"/>
  <c r="H978" i="10"/>
  <c r="H984" i="10"/>
  <c r="H990" i="10"/>
  <c r="H996" i="10"/>
  <c r="H1000" i="10"/>
  <c r="H1002" i="10"/>
  <c r="H1008" i="10"/>
  <c r="H1014" i="10"/>
  <c r="H1020" i="10"/>
  <c r="H1026" i="10"/>
  <c r="H1032" i="10"/>
  <c r="H1038" i="10"/>
  <c r="H1042" i="10"/>
  <c r="H1044" i="10"/>
  <c r="F1049" i="10"/>
  <c r="F965" i="10"/>
  <c r="F989" i="10"/>
  <c r="F1013" i="10"/>
  <c r="F1032" i="10"/>
  <c r="F1037" i="10"/>
  <c r="G1049" i="10"/>
  <c r="H580" i="10"/>
  <c r="F580" i="10"/>
  <c r="F585" i="10"/>
  <c r="F604" i="10"/>
  <c r="F609" i="10"/>
  <c r="F633" i="10"/>
  <c r="F657" i="10"/>
  <c r="G669" i="10"/>
  <c r="H485" i="10"/>
  <c r="H491" i="10"/>
  <c r="H497" i="10"/>
  <c r="F497" i="10"/>
  <c r="H503" i="10"/>
  <c r="F502" i="10"/>
  <c r="H509" i="10"/>
  <c r="H515" i="10"/>
  <c r="H521" i="10"/>
  <c r="F521" i="10"/>
  <c r="H527" i="10"/>
  <c r="F526" i="10"/>
  <c r="H533" i="10"/>
  <c r="H539" i="10"/>
  <c r="H545" i="10"/>
  <c r="H551" i="10"/>
  <c r="F550" i="10"/>
  <c r="H557" i="10"/>
  <c r="H561" i="10"/>
  <c r="H569" i="10"/>
  <c r="G574" i="10"/>
  <c r="H390" i="10"/>
  <c r="H444" i="10"/>
  <c r="H438" i="10"/>
  <c r="H432" i="10"/>
  <c r="H426" i="10"/>
  <c r="H420" i="10"/>
  <c r="H414" i="10"/>
  <c r="H408" i="10"/>
  <c r="H402" i="10"/>
  <c r="H396" i="10"/>
  <c r="H450" i="10"/>
  <c r="H456" i="10"/>
  <c r="H462" i="10"/>
  <c r="H468" i="10"/>
  <c r="H474" i="10"/>
  <c r="F479" i="10"/>
  <c r="H394" i="10"/>
  <c r="F402" i="10"/>
  <c r="F407" i="10"/>
  <c r="F450" i="10"/>
  <c r="H454" i="10"/>
  <c r="F455" i="10"/>
  <c r="H466" i="10"/>
  <c r="G479" i="10"/>
  <c r="H199" i="10"/>
  <c r="H200" i="10"/>
  <c r="H205" i="10"/>
  <c r="H206" i="10"/>
  <c r="H211" i="10"/>
  <c r="H212" i="10"/>
  <c r="H217" i="10"/>
  <c r="H218" i="10"/>
  <c r="F217" i="10"/>
  <c r="H223" i="10"/>
  <c r="H224" i="10"/>
  <c r="H229" i="10"/>
  <c r="H230" i="10"/>
  <c r="H235" i="10"/>
  <c r="H236" i="10"/>
  <c r="H240" i="10"/>
  <c r="H241" i="10"/>
  <c r="H242" i="10"/>
  <c r="F241" i="10"/>
  <c r="H247" i="10"/>
  <c r="H248" i="10"/>
  <c r="H253" i="10"/>
  <c r="H254" i="10"/>
  <c r="H258" i="10"/>
  <c r="H259" i="10"/>
  <c r="H260" i="10"/>
  <c r="H265" i="10"/>
  <c r="H266" i="10"/>
  <c r="F265" i="10"/>
  <c r="H271" i="10"/>
  <c r="H272" i="10"/>
  <c r="H277" i="10"/>
  <c r="H278" i="10"/>
  <c r="H282" i="10"/>
  <c r="H283" i="10"/>
  <c r="G289" i="10"/>
  <c r="H294" i="10"/>
  <c r="H295" i="10"/>
  <c r="H379" i="10"/>
  <c r="H373" i="10"/>
  <c r="H367" i="10"/>
  <c r="H361" i="10"/>
  <c r="H355" i="10"/>
  <c r="H349" i="10"/>
  <c r="H343" i="10"/>
  <c r="H337" i="10"/>
  <c r="H331" i="10"/>
  <c r="H325" i="10"/>
  <c r="H319" i="10"/>
  <c r="H313" i="10"/>
  <c r="H307" i="10"/>
  <c r="H301" i="10"/>
  <c r="F384" i="10"/>
  <c r="F300" i="10"/>
  <c r="H305" i="10"/>
  <c r="H311" i="10"/>
  <c r="H317" i="10"/>
  <c r="F324" i="10"/>
  <c r="F348" i="10"/>
  <c r="H353" i="10"/>
  <c r="F372" i="10"/>
  <c r="G384" i="10"/>
  <c r="H105" i="10"/>
  <c r="H117" i="10"/>
  <c r="H121" i="10"/>
  <c r="H123" i="10"/>
  <c r="H129" i="10"/>
  <c r="H135" i="10"/>
  <c r="F134" i="10"/>
  <c r="H141" i="10"/>
  <c r="H147" i="10"/>
  <c r="H153" i="10"/>
  <c r="H159" i="10"/>
  <c r="F158" i="10"/>
  <c r="H163" i="10"/>
  <c r="H165" i="10"/>
  <c r="H171" i="10"/>
  <c r="H177" i="10"/>
  <c r="H183" i="10"/>
  <c r="F182" i="10"/>
  <c r="H187" i="10"/>
  <c r="H189" i="10"/>
  <c r="G194" i="10"/>
  <c r="G99" i="10"/>
  <c r="H93" i="10"/>
  <c r="H92" i="10"/>
  <c r="H87" i="10"/>
  <c r="H86" i="10"/>
  <c r="H81" i="10"/>
  <c r="H80" i="10"/>
  <c r="H75" i="10"/>
  <c r="H74" i="10"/>
  <c r="H69" i="10"/>
  <c r="H68" i="10"/>
  <c r="H63" i="10"/>
  <c r="H62" i="10"/>
  <c r="H57" i="10"/>
  <c r="H56" i="10"/>
  <c r="H51" i="10"/>
  <c r="H50" i="10"/>
  <c r="H45" i="10"/>
  <c r="H44" i="10"/>
  <c r="H39" i="10"/>
  <c r="H38" i="10"/>
  <c r="H33" i="10"/>
  <c r="H32" i="10"/>
  <c r="H27" i="10"/>
  <c r="H26" i="10"/>
  <c r="H21" i="10"/>
  <c r="H20" i="10"/>
  <c r="H15" i="10"/>
  <c r="H14" i="10"/>
  <c r="H9" i="10"/>
  <c r="H8" i="10"/>
  <c r="F1748" i="10"/>
  <c r="F1725" i="10"/>
  <c r="F1275" i="10"/>
  <c r="F1311" i="10"/>
  <c r="F1508" i="10"/>
  <c r="F1490" i="10"/>
  <c r="F1797" i="10"/>
  <c r="F1798" i="10"/>
  <c r="F1635" i="10"/>
  <c r="F1707" i="10"/>
  <c r="F1641" i="10"/>
  <c r="F1640" i="10"/>
  <c r="F1539" i="10"/>
  <c r="F1556" i="10"/>
  <c r="F1587" i="10"/>
  <c r="F1461" i="10"/>
  <c r="F1503" i="10"/>
  <c r="F1599" i="10"/>
  <c r="F1431" i="10"/>
  <c r="F1454" i="10"/>
  <c r="F1551" i="10"/>
  <c r="F1611" i="10"/>
  <c r="F1612" i="10"/>
  <c r="F1569" i="10"/>
  <c r="F1593" i="10"/>
  <c r="F1521" i="10"/>
  <c r="F1563" i="10"/>
  <c r="F1514" i="10"/>
  <c r="F1605" i="10"/>
  <c r="F1532" i="10"/>
  <c r="F1299" i="10"/>
  <c r="F1425" i="10"/>
  <c r="F1426" i="10"/>
  <c r="F1304" i="10"/>
  <c r="F1256" i="10"/>
  <c r="F1280" i="10"/>
  <c r="F1400" i="10"/>
  <c r="F1413" i="10"/>
  <c r="F1298" i="10"/>
  <c r="F480" i="10"/>
  <c r="F960" i="10"/>
  <c r="F959" i="10"/>
  <c r="F913" i="10"/>
  <c r="F906" i="10"/>
  <c r="F870" i="10"/>
  <c r="F812" i="10"/>
  <c r="F782" i="10"/>
  <c r="F770" i="10"/>
  <c r="F769" i="10"/>
  <c r="F746" i="10"/>
  <c r="F705" i="10"/>
  <c r="F669" i="10"/>
  <c r="F670" i="10"/>
  <c r="F615" i="10"/>
  <c r="F652" i="10"/>
  <c r="F194" i="10"/>
  <c r="F195" i="10"/>
  <c r="F1050" i="10"/>
  <c r="F579" i="10"/>
  <c r="F385" i="10"/>
  <c r="F955" i="10"/>
  <c r="F860" i="10"/>
  <c r="F765" i="10"/>
  <c r="H563" i="10"/>
  <c r="F574" i="10"/>
  <c r="F575" i="10"/>
  <c r="H284" i="10"/>
  <c r="F289" i="10"/>
  <c r="F290" i="10"/>
  <c r="F283" i="10"/>
  <c r="H16" i="10"/>
  <c r="F16" i="10"/>
  <c r="H28" i="10"/>
  <c r="F28" i="10"/>
  <c r="H40" i="10"/>
  <c r="F39" i="10"/>
  <c r="H52" i="10"/>
  <c r="F52" i="10"/>
  <c r="H64" i="10"/>
  <c r="F64" i="10"/>
  <c r="H76" i="10"/>
  <c r="F75" i="10"/>
  <c r="H88" i="10"/>
  <c r="F88" i="10"/>
  <c r="H10" i="10"/>
  <c r="F9" i="10"/>
  <c r="H94" i="10"/>
  <c r="F94" i="10"/>
  <c r="H22" i="10"/>
  <c r="F22" i="10"/>
  <c r="H46" i="10"/>
  <c r="F46" i="10"/>
  <c r="H34" i="10"/>
  <c r="F33" i="10"/>
  <c r="H58" i="10"/>
  <c r="F57" i="10"/>
  <c r="H70" i="10"/>
  <c r="F70" i="10"/>
  <c r="H82" i="10"/>
  <c r="F82" i="10"/>
  <c r="F104" i="10"/>
  <c r="F984" i="10"/>
  <c r="F983" i="10"/>
  <c r="F793" i="10"/>
  <c r="F925" i="10"/>
  <c r="F924" i="10"/>
  <c r="F603" i="10"/>
  <c r="F628" i="10"/>
  <c r="F627" i="10"/>
  <c r="F1008" i="10"/>
  <c r="F1007" i="10"/>
  <c r="F901" i="10"/>
  <c r="F900" i="10"/>
  <c r="F818" i="10"/>
  <c r="F817" i="10"/>
  <c r="F949" i="10"/>
  <c r="F948" i="10"/>
  <c r="F759" i="10"/>
  <c r="F758" i="10"/>
  <c r="F735" i="10"/>
  <c r="F734" i="10"/>
  <c r="F1031" i="10"/>
  <c r="F876" i="10"/>
  <c r="F841" i="10"/>
  <c r="F710" i="10"/>
  <c r="F1020" i="10"/>
  <c r="F1019" i="10"/>
  <c r="F978" i="10"/>
  <c r="F977" i="10"/>
  <c r="F919" i="10"/>
  <c r="F918" i="10"/>
  <c r="F864" i="10"/>
  <c r="F865" i="10"/>
  <c r="F829" i="10"/>
  <c r="F830" i="10"/>
  <c r="F788" i="10"/>
  <c r="F787" i="10"/>
  <c r="F729" i="10"/>
  <c r="F728" i="10"/>
  <c r="F681" i="10"/>
  <c r="F680" i="10"/>
  <c r="F1044" i="10"/>
  <c r="F1043" i="10"/>
  <c r="F1002" i="10"/>
  <c r="F1001" i="10"/>
  <c r="F943" i="10"/>
  <c r="F942" i="10"/>
  <c r="F888" i="10"/>
  <c r="F889" i="10"/>
  <c r="F853" i="10"/>
  <c r="F854" i="10"/>
  <c r="F753" i="10"/>
  <c r="F752" i="10"/>
  <c r="F698" i="10"/>
  <c r="F699" i="10"/>
  <c r="F971" i="10"/>
  <c r="F972" i="10"/>
  <c r="F836" i="10"/>
  <c r="F835" i="10"/>
  <c r="F722" i="10"/>
  <c r="F723" i="10"/>
  <c r="F687" i="10"/>
  <c r="F686" i="10"/>
  <c r="F674" i="10"/>
  <c r="F675" i="10"/>
  <c r="F1026" i="10"/>
  <c r="F1025" i="10"/>
  <c r="F995" i="10"/>
  <c r="F996" i="10"/>
  <c r="F937" i="10"/>
  <c r="F936" i="10"/>
  <c r="F895" i="10"/>
  <c r="F894" i="10"/>
  <c r="F805" i="10"/>
  <c r="F806" i="10"/>
  <c r="F1038" i="10"/>
  <c r="F1014" i="10"/>
  <c r="F990" i="10"/>
  <c r="F966" i="10"/>
  <c r="F931" i="10"/>
  <c r="F883" i="10"/>
  <c r="F848" i="10"/>
  <c r="F824" i="10"/>
  <c r="F800" i="10"/>
  <c r="F776" i="10"/>
  <c r="F741" i="10"/>
  <c r="F717" i="10"/>
  <c r="F693" i="10"/>
  <c r="F646" i="10"/>
  <c r="F645" i="10"/>
  <c r="F591" i="10"/>
  <c r="F592" i="10"/>
  <c r="F640" i="10"/>
  <c r="F639" i="10"/>
  <c r="F598" i="10"/>
  <c r="F597" i="10"/>
  <c r="F664" i="10"/>
  <c r="F663" i="10"/>
  <c r="F622" i="10"/>
  <c r="F621" i="10"/>
  <c r="F658" i="10"/>
  <c r="F634" i="10"/>
  <c r="F610" i="10"/>
  <c r="F586" i="10"/>
  <c r="F426" i="10"/>
  <c r="F425" i="10"/>
  <c r="F449" i="10"/>
  <c r="F153" i="10"/>
  <c r="F152" i="10"/>
  <c r="F474" i="10"/>
  <c r="F473" i="10"/>
  <c r="F431" i="10"/>
  <c r="F432" i="10"/>
  <c r="F569" i="10"/>
  <c r="F568" i="10"/>
  <c r="F545" i="10"/>
  <c r="F544" i="10"/>
  <c r="F496" i="10"/>
  <c r="F401" i="10"/>
  <c r="F520" i="10"/>
  <c r="F532" i="10"/>
  <c r="F533" i="10"/>
  <c r="F491" i="10"/>
  <c r="F490" i="10"/>
  <c r="F556" i="10"/>
  <c r="F557" i="10"/>
  <c r="F515" i="10"/>
  <c r="F514" i="10"/>
  <c r="F539" i="10"/>
  <c r="F538" i="10"/>
  <c r="F484" i="10"/>
  <c r="F485" i="10"/>
  <c r="F508" i="10"/>
  <c r="F509" i="10"/>
  <c r="F551" i="10"/>
  <c r="F527" i="10"/>
  <c r="F503" i="10"/>
  <c r="F444" i="10"/>
  <c r="F443" i="10"/>
  <c r="F420" i="10"/>
  <c r="F419" i="10"/>
  <c r="F461" i="10"/>
  <c r="F462" i="10"/>
  <c r="F396" i="10"/>
  <c r="F395" i="10"/>
  <c r="F468" i="10"/>
  <c r="F467" i="10"/>
  <c r="F390" i="10"/>
  <c r="F389" i="10"/>
  <c r="F437" i="10"/>
  <c r="F438" i="10"/>
  <c r="F414" i="10"/>
  <c r="F413" i="10"/>
  <c r="F408" i="10"/>
  <c r="F456" i="10"/>
  <c r="F379" i="10"/>
  <c r="F378" i="10"/>
  <c r="F355" i="10"/>
  <c r="F354" i="10"/>
  <c r="F331" i="10"/>
  <c r="F330" i="10"/>
  <c r="F307" i="10"/>
  <c r="F306" i="10"/>
  <c r="F248" i="10"/>
  <c r="F247" i="10"/>
  <c r="F224" i="10"/>
  <c r="F223" i="10"/>
  <c r="F272" i="10"/>
  <c r="F271" i="10"/>
  <c r="F129" i="10"/>
  <c r="F128" i="10"/>
  <c r="F177" i="10"/>
  <c r="F176" i="10"/>
  <c r="F361" i="10"/>
  <c r="F360" i="10"/>
  <c r="F337" i="10"/>
  <c r="F336" i="10"/>
  <c r="F313" i="10"/>
  <c r="F312" i="10"/>
  <c r="F278" i="10"/>
  <c r="F277" i="10"/>
  <c r="F254" i="10"/>
  <c r="F253" i="10"/>
  <c r="F230" i="10"/>
  <c r="F229" i="10"/>
  <c r="F206" i="10"/>
  <c r="F205" i="10"/>
  <c r="F366" i="10"/>
  <c r="F367" i="10"/>
  <c r="F343" i="10"/>
  <c r="F342" i="10"/>
  <c r="F318" i="10"/>
  <c r="F319" i="10"/>
  <c r="F294" i="10"/>
  <c r="F295" i="10"/>
  <c r="F260" i="10"/>
  <c r="F259" i="10"/>
  <c r="F236" i="10"/>
  <c r="F235" i="10"/>
  <c r="F212" i="10"/>
  <c r="F211" i="10"/>
  <c r="F199" i="10"/>
  <c r="F200" i="10"/>
  <c r="F373" i="10"/>
  <c r="F349" i="10"/>
  <c r="F325" i="10"/>
  <c r="F301" i="10"/>
  <c r="F266" i="10"/>
  <c r="F242" i="10"/>
  <c r="F218" i="10"/>
  <c r="F141" i="10"/>
  <c r="F140" i="10"/>
  <c r="F165" i="10"/>
  <c r="F164" i="10"/>
  <c r="F123" i="10"/>
  <c r="F122" i="10"/>
  <c r="F171" i="10"/>
  <c r="F170" i="10"/>
  <c r="F117" i="10"/>
  <c r="F116" i="10"/>
  <c r="F189" i="10"/>
  <c r="F188" i="10"/>
  <c r="F147" i="10"/>
  <c r="F146" i="10"/>
  <c r="F111" i="10"/>
  <c r="F105" i="10"/>
  <c r="F183" i="10"/>
  <c r="F159" i="10"/>
  <c r="F135" i="10"/>
  <c r="F76" i="10"/>
  <c r="F871" i="10"/>
  <c r="F15" i="10"/>
  <c r="F21" i="10"/>
  <c r="F651" i="10"/>
  <c r="F704" i="10"/>
  <c r="F781" i="10"/>
  <c r="F40" i="10"/>
  <c r="F563" i="10"/>
  <c r="F912" i="10"/>
  <c r="F747" i="10"/>
  <c r="F69" i="10"/>
  <c r="F27" i="10"/>
  <c r="F562" i="10"/>
  <c r="F87" i="10"/>
  <c r="F51" i="10"/>
  <c r="F811" i="10"/>
  <c r="F907" i="10"/>
  <c r="F616" i="10"/>
  <c r="F58" i="10"/>
  <c r="F63" i="10"/>
  <c r="F93" i="10"/>
  <c r="F284" i="10"/>
  <c r="F34" i="10"/>
  <c r="F10" i="10"/>
  <c r="F81" i="10"/>
  <c r="F99" i="10"/>
  <c r="F100" i="10"/>
  <c r="F45" i="10"/>
</calcChain>
</file>

<file path=xl/sharedStrings.xml><?xml version="1.0" encoding="utf-8"?>
<sst xmlns="http://schemas.openxmlformats.org/spreadsheetml/2006/main" count="4475" uniqueCount="1133">
  <si>
    <t>TEMA 1</t>
  </si>
  <si>
    <t>Marca con una X la respuesta correcta</t>
  </si>
  <si>
    <t>CORRECTO</t>
  </si>
  <si>
    <t>Preguntas correctas = 1 punto</t>
  </si>
  <si>
    <t>Preguntas falladas = -0.33 puntos</t>
  </si>
  <si>
    <t>Preguntas no respondida = 0 puntos</t>
  </si>
  <si>
    <t>APROBADO</t>
  </si>
  <si>
    <t>SUSPENDIDO</t>
  </si>
  <si>
    <t>NOTA</t>
  </si>
  <si>
    <t>a</t>
  </si>
  <si>
    <t>b</t>
  </si>
  <si>
    <t>c</t>
  </si>
  <si>
    <t>d</t>
  </si>
  <si>
    <t>e</t>
  </si>
  <si>
    <t>TEMA 8</t>
  </si>
  <si>
    <t>Todas las anteriores son correctas</t>
  </si>
  <si>
    <t>¿Cuál de los siguientes aspectos no es imprescindible para considerar a una persona como emprendedora?</t>
  </si>
  <si>
    <t>¿Cuál de las siguientes no se puede considerar como una característica del comportamiento del empresario?:</t>
  </si>
  <si>
    <t>¿Cuál de las siguientes cualidades del emprendedor supone analizar situaciones desde una óptica distinta a la habitual y proponer soluciones originales sin miedo al cambio?:</t>
  </si>
  <si>
    <t>¿Cuál de las siguientes motivaciones constituyen un impulso para que las mujeres creen su propia empresa?:</t>
  </si>
  <si>
    <t>Que el emprendedor desarrolle una acción creativa e innovadora.</t>
  </si>
  <si>
    <t>Que el emprendedor posea una gran fortuna.</t>
  </si>
  <si>
    <t>Que el emprendedor posea iniciativa.</t>
  </si>
  <si>
    <t>Que el emprendedor sea capaz de asumir el riesgo.</t>
  </si>
  <si>
    <t>Capacidad para manejar riesgos.</t>
  </si>
  <si>
    <t>Capacidad para buscar y recoger información.</t>
  </si>
  <si>
    <t>Capacidad para retirarse ante el primer fracaso.</t>
  </si>
  <si>
    <t>Capacidad para tomar decisiones en la incertidumbre.</t>
  </si>
  <si>
    <t>Proactividad.</t>
  </si>
  <si>
    <t>Creatividad.</t>
  </si>
  <si>
    <t>Asertividad.</t>
  </si>
  <si>
    <t>Sentido crítico.</t>
  </si>
  <si>
    <t>Todas las anteriores son correctas.</t>
  </si>
  <si>
    <t>Deseo de independencia.</t>
  </si>
  <si>
    <t>Autoempleo.</t>
  </si>
  <si>
    <t>Autorrealización.</t>
  </si>
  <si>
    <t>¿Cuándo se presenta el riesgo empresarial?:</t>
  </si>
  <si>
    <t>Cuando no se conocen los resultados a los que conducirá cada posibilidad.</t>
  </si>
  <si>
    <t>Todas las respuestas anteriores son correctas.</t>
  </si>
  <si>
    <t>Cuando hay dos o más posibilidades entre las que optar.</t>
  </si>
  <si>
    <t>Cuando se genera una incertidumbre en cuanto a las consecuencias de la decisión.</t>
  </si>
  <si>
    <t>¿Cómo se denomina la cualidad del emprendedor que consiste en ser una persona realista y objetiva para poder valorar los pros y los contras de la idea y saber los límites de la misma?</t>
  </si>
  <si>
    <t>Autonomía.</t>
  </si>
  <si>
    <t>Confianza en uno mismo.</t>
  </si>
  <si>
    <t>Tenacidad.</t>
  </si>
  <si>
    <t>¿Qué características definen a un intraemprendedor?:</t>
  </si>
  <si>
    <t>Todas las restantes respuestas son correctas.</t>
  </si>
  <si>
    <t>Desarrolla proyectos en la empresa para la que trabaja, de la que no es propietario.</t>
  </si>
  <si>
    <t>Posee espíritu de innovación, creatividad y autonomía.</t>
  </si>
  <si>
    <t>Trabaja por cuenta ajena.</t>
  </si>
  <si>
    <t>El emprendedor:</t>
  </si>
  <si>
    <t>Ha de asumir el riesgo sin valorarlo.</t>
  </si>
  <si>
    <t>Ninguna de las restantes respuestas es correcta.</t>
  </si>
  <si>
    <t>Debe asumir la mayor cantidad de riesgo posible.</t>
  </si>
  <si>
    <t>Ha de ser consciente del riesgo y asumirlo.</t>
  </si>
  <si>
    <t>¿Qué cualidad del emprendedor supone el control de la propia conducta en particular de los impulsos y las reacciones inmediatas?:</t>
  </si>
  <si>
    <t>Autodisciplina.</t>
  </si>
  <si>
    <t>¿Con qué tipo de cualidad del emprendedor relacionarías la siguiente afirmación: "Si estamos muy pendientes de no herir a nadie en ninguna circunstancia, acabaremos lastimándonos a nosotros mismos y a los demás" P. Jakubowski?:</t>
  </si>
  <si>
    <t>Espíritu de equipo.</t>
  </si>
  <si>
    <t>¿Cuál de las siguientes afirmaciones no se corresponde con el espíritu emprendedor?</t>
  </si>
  <si>
    <t>El emprendedor puede estar tranquilo y relajado ya que siempre habrá alguien que tome las decisiones por él.</t>
  </si>
  <si>
    <t>El emprendedor ha de estar siempre preparado para adaptarse, aprender cosas nuevas y cambiar sus formas y métodos de trabajo.</t>
  </si>
  <si>
    <t>Una persona emprendedora debe enfrentarse a problemas, dificultades e imprevistos casi a diario.</t>
  </si>
  <si>
    <t>Una persona emprendedora siempre ve retos donde los demás ven obstáculos.</t>
  </si>
  <si>
    <t>Cuál de las siguientes afirmaciones NO es correcta:</t>
  </si>
  <si>
    <t>La flexibilidad consiste en la capacidad de adaptarse a los cambios.</t>
  </si>
  <si>
    <t>Lo normal es que todo salga bien a la primera.</t>
  </si>
  <si>
    <t>El emprendedor se caracteriza por su fuerte motivación de logro.</t>
  </si>
  <si>
    <t>El emprendedor se caracteriza por una constante curiosidad por todo.</t>
  </si>
  <si>
    <t>Cuál de las siguientes afirmaciones sobre el emprendizaje no es aceptable:</t>
  </si>
  <si>
    <t>El éxito empresarial radica en parte en la habilidad para desarrollar y mantener por parte del emprendedor una serie de redes sociales.</t>
  </si>
  <si>
    <t>Arriesgar no es bueno cuando se inician negocios.</t>
  </si>
  <si>
    <t>Muchas ideas o proyectos de empresa han sido concebidos en otra empresa en la que trabajaba como empleado el futuro empresario.</t>
  </si>
  <si>
    <t>Muchos empresarios decidieron crear su empresa para romper con un modo de vida previo.</t>
  </si>
  <si>
    <t>¿Cuál de las siguientes afirmaciones es atribuida al emprendedor Martín Varsavsky?</t>
  </si>
  <si>
    <t>“El fracaso es una gran oportunidad para empezar de nuevo con más inteligencia”.</t>
  </si>
  <si>
    <t>“Aprendí que el valor no es la ausencia de miedo, sino el triunfo sobre él”.</t>
  </si>
  <si>
    <t>“¿Miedo al fracaso? Estar vivo ya es un éxito”.</t>
  </si>
  <si>
    <t>“El futuro tiene muchos nombres […] para los valientes, la oportunidad”.</t>
  </si>
  <si>
    <t>¿Cuál de las siguientes cualidades del emprendedor significa no solo tomar la iniciativa, sino asumir la responsabilidad de hacer que las cosas sucedan; decidir en cada momento lo que queremos hacer y cómo lo vamos a hacer? :</t>
  </si>
  <si>
    <t>Iniciativa.</t>
  </si>
  <si>
    <t>EIE</t>
  </si>
  <si>
    <t>TEMA 2</t>
  </si>
  <si>
    <t>TEMA 3</t>
  </si>
  <si>
    <t>TEMA 4</t>
  </si>
  <si>
    <t>TEMA 5</t>
  </si>
  <si>
    <t>TEMA 6</t>
  </si>
  <si>
    <t>TEMA 7</t>
  </si>
  <si>
    <t>¿Cuál de las siguientes es una función económico-social de la empresa?:</t>
  </si>
  <si>
    <t>Organización de los factores productivos.</t>
  </si>
  <si>
    <t>Protección del medio ambiente.</t>
  </si>
  <si>
    <t>Mejora de las condiciones laborales.</t>
  </si>
  <si>
    <t>¿Cómo se denomina el trabajo desde un lugar (generalmente el domicilio) diferente al centro de trabajo habitual?:</t>
  </si>
  <si>
    <t>Ninguna de las restantes respuestas son correctas.</t>
  </si>
  <si>
    <t>Subcontratación.</t>
  </si>
  <si>
    <t>Trabajo a distancia.</t>
  </si>
  <si>
    <t>Teletrabajo.</t>
  </si>
  <si>
    <t>¿Cómo se denominan los puntos fuertes internos, gracias a los cuales tenemos más fuerza que la competencia?:</t>
  </si>
  <si>
    <t>Amenazas.</t>
  </si>
  <si>
    <t>Debilidades.</t>
  </si>
  <si>
    <t>Fortalezas.</t>
  </si>
  <si>
    <t>Oportunidades.</t>
  </si>
  <si>
    <t>¿Cuál de los siguientes no es un factor dentro de las variables que configuran el macroentorno de una empresa?:</t>
  </si>
  <si>
    <t>Factores internos.</t>
  </si>
  <si>
    <t>Factores demográficos.</t>
  </si>
  <si>
    <t>Factores socioculturales.</t>
  </si>
  <si>
    <t>Factores tecnológicos.</t>
  </si>
  <si>
    <t>¿Cuál de las siguientes afirmaciones sobre la empresa no es correcta?:</t>
  </si>
  <si>
    <t>Es una unidad económica.</t>
  </si>
  <si>
    <t>Utiliza como inputs diferentes factores materiales y humanos.</t>
  </si>
  <si>
    <t>Produce bienes o servicios.</t>
  </si>
  <si>
    <t>No pretende obtener un beneficio económico.</t>
  </si>
  <si>
    <t>¿Cómo se denominan las dificultades provenientes del exterior, que pueden reducir nuestras posibilidades o que nos pueden expulsar del mercado?:</t>
  </si>
  <si>
    <t>¿Cuál de los siguientes no es un criterio para elegir la localización de una empresa?:</t>
  </si>
  <si>
    <t>Coste de compra o alquiler de terrenos o edificaciones.</t>
  </si>
  <si>
    <t>Disponibilidad de mano de obra cualificada.</t>
  </si>
  <si>
    <t>Cercanía a los competidores.</t>
  </si>
  <si>
    <t>Cercanía a los proveedores.</t>
  </si>
  <si>
    <t>¿A qué tipo de empresas pertenecen aquellas que desarrollan su actividad en diferentes países?:</t>
  </si>
  <si>
    <t>Globales.</t>
  </si>
  <si>
    <t>Internacionales.</t>
  </si>
  <si>
    <t>Multinacionales.</t>
  </si>
  <si>
    <t>Sociedades.</t>
  </si>
  <si>
    <t>¿A qué tipo de empresas pertenecen aquellas cuyo capital social pertenece a empresarios particulares?:</t>
  </si>
  <si>
    <t>Privada.</t>
  </si>
  <si>
    <t>Mixta.</t>
  </si>
  <si>
    <t>Pública.</t>
  </si>
  <si>
    <t>Pyme</t>
  </si>
  <si>
    <t>¿Cuál de las siguientes no es una ventaja de contar con una adecuada política de RSC?:</t>
  </si>
  <si>
    <t>Genera confianza en sus accionistas.</t>
  </si>
  <si>
    <t>Diluye la lealtad de los clientes.</t>
  </si>
  <si>
    <t>Aumenta el grado de compromiso de los empleados.</t>
  </si>
  <si>
    <t>Mejora la imagen de la empresa.</t>
  </si>
  <si>
    <t>Según el análisis DAFO, ¿Cómo se denominan el tipo de estrategias que tendrá que utilizar una empresa que se enfrenta a un número elevado de oportunidades y que cuentas con muchas fortalezas?:</t>
  </si>
  <si>
    <t>Estrategias ofensivas.</t>
  </si>
  <si>
    <t>Estrategias de reorientación.</t>
  </si>
  <si>
    <t>Estrategias de supervivencia.</t>
  </si>
  <si>
    <t>Estrategias defensivas.</t>
  </si>
  <si>
    <t>¿Qué elemento/s de la cultura corporativa ha/n de tener un contenido ético y debe/n ser mayoritariamente aceptado/s?:</t>
  </si>
  <si>
    <t>La misión.</t>
  </si>
  <si>
    <t>La Responsabilidad Social Corporativa.</t>
  </si>
  <si>
    <t>La visión.</t>
  </si>
  <si>
    <t>Los valores.</t>
  </si>
  <si>
    <t>¿Cómo se denominan los factores que afectan de forma global o general a todas las empresas?:</t>
  </si>
  <si>
    <t>Macroentorno.</t>
  </si>
  <si>
    <t>Entorno.</t>
  </si>
  <si>
    <t>Microentorno.</t>
  </si>
  <si>
    <t>¿En qué consiste el networking?</t>
  </si>
  <si>
    <t>En trabajar ( to work) en red (net)</t>
  </si>
  <si>
    <t>En desarrollar y cuidar una serie de contactos personales con el objetivo de tejer una red de relaciones que ayude a nuestra empresa a crecer.</t>
  </si>
  <si>
    <t>En desarrollar y cuidad una serie de contactos profesionales con el objetivo de tejer una red de relaciones que ayude a nuestra empresa a crecer.</t>
  </si>
  <si>
    <t>En desarrollar y crear una conexión online entre los diferentes centros de trabajo de una empresa.</t>
  </si>
  <si>
    <t>¿Cuál de los siguientes no es un indicador a nivel mundial para medir la Responsabilidad Social Corporativa?</t>
  </si>
  <si>
    <t>GRI (Global Reporting Initiative).</t>
  </si>
  <si>
    <t>FTSE4Good IBEX.</t>
  </si>
  <si>
    <t>Norma ISO 26000.</t>
  </si>
  <si>
    <t>FTSE4Good.</t>
  </si>
  <si>
    <t>¿Cuál de los siguientes no es un criterio frecuente de segmentación del mercado?:</t>
  </si>
  <si>
    <t>Demográficos.</t>
  </si>
  <si>
    <t>Orden alfabético.</t>
  </si>
  <si>
    <t>Socioeconómicos.</t>
  </si>
  <si>
    <t>Geográficos.</t>
  </si>
  <si>
    <t>¿Cuál de los siguientes no es un método para el desarrollo de la creatividad?:</t>
  </si>
  <si>
    <t>El método Alphi.</t>
  </si>
  <si>
    <t>El método Delphi.</t>
  </si>
  <si>
    <t>La tormenta de ideas.</t>
  </si>
  <si>
    <t>El brainstorming.</t>
  </si>
  <si>
    <t>¿Cómo se denomina la técnica para generar ideas que consiste en elegir un tema, sobre el cual, los participantes expresan con total libertad sus ideas?:</t>
  </si>
  <si>
    <t>Pensamiento lateral.</t>
  </si>
  <si>
    <t>Listado de atributos.</t>
  </si>
  <si>
    <t>Método Delphi.</t>
  </si>
  <si>
    <t>Tormenta de ideas.</t>
  </si>
  <si>
    <t>¿Cuál de los siguientes no se puede considerar un método para encontrar una idea novedosa?:</t>
  </si>
  <si>
    <t>Ampliando el público objetivo al que va dirigido el producto.</t>
  </si>
  <si>
    <t>Creando nuevas necesidades.</t>
  </si>
  <si>
    <t>Plagiando una idea.</t>
  </si>
  <si>
    <t>Observando los cambios sociales.</t>
  </si>
  <si>
    <t>¿Cómo se denomina la técnica que consiste en enseñar a los participantes prototipos de envases para que opinen sobre su estética y funcionalidad?:</t>
  </si>
  <si>
    <t>Cliente fantasma.</t>
  </si>
  <si>
    <t>Prueba ciega.</t>
  </si>
  <si>
    <t>Pseudocompra.</t>
  </si>
  <si>
    <t>Prueba de envase.</t>
  </si>
  <si>
    <t>¿Cuál de las siguientes es una fase del procedimiento del pensamiento creativo?</t>
  </si>
  <si>
    <t>Fase de iluminación o inspiración.</t>
  </si>
  <si>
    <t>Configuración final y desarrollo de la idea.</t>
  </si>
  <si>
    <t>Seguir un proceso de incubación de la idea.</t>
  </si>
  <si>
    <t>¿Dentro del contenido de un análisis de mercado cual/es de las siguientes variables se deberán tener en cuenta?:</t>
  </si>
  <si>
    <t>El producto.</t>
  </si>
  <si>
    <t>Los proveedores.</t>
  </si>
  <si>
    <t>El entorno.</t>
  </si>
  <si>
    <t>¿Cómo se denomina la técnica en la que se escoge un tema a tratar, se introduce una palabra al azar y se generan palabras o atributos qué estén relacionados con dicha palabra?:</t>
  </si>
  <si>
    <t>Pensamiento vertical.</t>
  </si>
  <si>
    <t>Escape.</t>
  </si>
  <si>
    <t>Palabra aleatoria.</t>
  </si>
  <si>
    <t>¿Cómo se denomina la relación entre el mercado actual de una empresa y el mercado total de dicho producto, expresado en tantos por ciento?:</t>
  </si>
  <si>
    <t>Cuota de mercado.</t>
  </si>
  <si>
    <t>Nicho de mercado.</t>
  </si>
  <si>
    <t>Segmento de mercado.</t>
  </si>
  <si>
    <t>División de mercado.</t>
  </si>
  <si>
    <t>¿Cuál de las siguientes es una fase de toda investigación de mercado?:</t>
  </si>
  <si>
    <t>Diseñar la investigación.</t>
  </si>
  <si>
    <t>Establecer el objeto de la investigación.</t>
  </si>
  <si>
    <t>Tratamiento de los datos.</t>
  </si>
  <si>
    <t>¿Cómo se denomina el proceso que consiste en dividir el mercado en grupos de compradores con características similares?:</t>
  </si>
  <si>
    <t>Segmentar el mercado.</t>
  </si>
  <si>
    <t>Estimar el mercado.</t>
  </si>
  <si>
    <t>Cuadrar el mercado.</t>
  </si>
  <si>
    <t>Calcular la cuota de mercado.</t>
  </si>
  <si>
    <t>¿Cómo se denomina la técnica en la que se examina el asunto que se desea resolver y se niega o se cancela una característica del mismo?:</t>
  </si>
  <si>
    <t>La palabra aleatoria.</t>
  </si>
  <si>
    <t>¿Qué tipo de relación tienen entre sí las motocicletas y los cascos obligatorios para su conducción?:</t>
  </si>
  <si>
    <t>Son productos sustitutivos.</t>
  </si>
  <si>
    <t>No tienen ninguna relación entre sí.</t>
  </si>
  <si>
    <t>Son productos estrella.</t>
  </si>
  <si>
    <t>Son productos complementarios.</t>
  </si>
  <si>
    <t>Si la cuota de mercado de FOLSA del producto 1 es del 46.25 % y se venden un total de 2.500.000 unidades de 1 anualmente ¿Cuantas unidades de 1 venderá la empresa FOLSA? :</t>
  </si>
  <si>
    <t>¿Qué técnica consiste en realizar consultas individuales sobre una decisión o problema a los miembros de un grupo, manteniendo el anonimato de los participantes?:</t>
  </si>
  <si>
    <t>El pensamiento lateral.</t>
  </si>
  <si>
    <t>El listado de atributos.</t>
  </si>
  <si>
    <t>¿Cuál de los siguientes no es un tipo de producto según la matriz del Boston Consulting Group?</t>
  </si>
  <si>
    <t>Estrella.</t>
  </si>
  <si>
    <t>Perro.</t>
  </si>
  <si>
    <t>Vaca lechera.</t>
  </si>
  <si>
    <t>Gato.</t>
  </si>
  <si>
    <t>¿Cómo se denomina la forma de comunicación pagada por la empresa que pretende informar al consumidor y motivarlo de manera beneficiosa a través de spots de televisión, cuñas de radia, anuncios en prensa, etc.?</t>
  </si>
  <si>
    <t>Promoción.</t>
  </si>
  <si>
    <t>Relaciones Públicas.</t>
  </si>
  <si>
    <t>Merchandising.</t>
  </si>
  <si>
    <t>Publicidad</t>
  </si>
  <si>
    <t>¿Cuál de los siguientes no es un elemento de la franquicia?</t>
  </si>
  <si>
    <t>La marca.</t>
  </si>
  <si>
    <t>El mayorista.</t>
  </si>
  <si>
    <t>El know how.</t>
  </si>
  <si>
    <t>Los royalties.</t>
  </si>
  <si>
    <t>¿Cómo se denomina la fase de la vida del producto en el que las ventas crecen muy lentamente y se utilizan estrategias de penetración en el mercado?</t>
  </si>
  <si>
    <t>Introducción.</t>
  </si>
  <si>
    <t>Crecimiento.</t>
  </si>
  <si>
    <t>Expansión.</t>
  </si>
  <si>
    <t>¿Cómo se denomina a la ruta por la que circula el flujo de productos desde su creación en el origen hasta llegar a su destino final?:</t>
  </si>
  <si>
    <t>Ruta de distribución.</t>
  </si>
  <si>
    <t>Canal de distribución.</t>
  </si>
  <si>
    <t>Tipo de distribución.</t>
  </si>
  <si>
    <t>¿Con qué término se define la capacidad y el deseo de comprar determinadas cantidades de un bien a distintos niveles de precio en un determinado periodo de tiempo, permaneciendo los demás factores constantes?</t>
  </si>
  <si>
    <t>Oferta.</t>
  </si>
  <si>
    <t>Demanda.</t>
  </si>
  <si>
    <t>Competencia.</t>
  </si>
  <si>
    <t>Ninguna de las restantes respuestas son correctas.</t>
  </si>
  <si>
    <t>Los productos estrella:</t>
  </si>
  <si>
    <t>Tienen una cuota de mercado alta.</t>
  </si>
  <si>
    <t>Necesitan un esfuerzo moderado en marketing.</t>
  </si>
  <si>
    <t>Tienen una tasa de crecimiento elevada.</t>
  </si>
  <si>
    <t>¿Cómo se denomina el tipo de mercado en el cual existen muchos compradores y muchos vendedores?:</t>
  </si>
  <si>
    <t>Monopolio bilateral.</t>
  </si>
  <si>
    <t>Monopolio de oferta.</t>
  </si>
  <si>
    <t>Oligopolio de demanda.</t>
  </si>
  <si>
    <t>Competencia perfecta.</t>
  </si>
  <si>
    <t>¿Cómo se denomina la estrategia de precios basada en precios altos que se fijan normalmente al introducir un producto para obtener unos beneficios rápidos, aun a costa de atraer a la competencia? </t>
  </si>
  <si>
    <t>Precios promocionales.</t>
  </si>
  <si>
    <t>Precios de descremación.</t>
  </si>
  <si>
    <t>Precios psicológicos.</t>
  </si>
  <si>
    <t>Precios de referencia o habituales.</t>
  </si>
  <si>
    <t>¿Según la matriz del Boston Consulting Group en que tipo de productos es necesario estudiar el riesgo que conlleva un elevado esfuerzo en marketing ya que aún no están suficientemente posicionados en el mercado?:</t>
  </si>
  <si>
    <t>Dilema.</t>
  </si>
  <si>
    <t>¿Cómo se denomina la estrategia de precios basada en precios estándar que los consumidores utilizan para comparar los precios de otros productos, cuya compra están considerando?</t>
  </si>
  <si>
    <t>¿Cómo se denomina el intermediario que compra la producción a los mayoristas y la vende directamente al consumidor?:</t>
  </si>
  <si>
    <t>Franquiciador.</t>
  </si>
  <si>
    <t>Todas las restantes respuestas son falsas.</t>
  </si>
  <si>
    <t>Minorista.</t>
  </si>
  <si>
    <t>Mayorista.</t>
  </si>
  <si>
    <t>¿Según la matriz del Boston Consulting Group ante qué tipo de producto es necesario que la empresa se plantee prescindir de ellos si no son rentables?:</t>
  </si>
  <si>
    <t>¿Cuál es la evolución lógica en el tiempo de un producto dentro de la matriz del Boston Consulting Group?:</t>
  </si>
  <si>
    <t>Perro, vaca lechera, estrella, dilema.</t>
  </si>
  <si>
    <t>Dilema, estrella, vaca lechera, perro.</t>
  </si>
  <si>
    <t>Estrella, perro, vaca lechera, dilema.</t>
  </si>
  <si>
    <t>¿Cuál es la denominada 5 P del Marketing Mix?:</t>
  </si>
  <si>
    <t>Place (distribución).</t>
  </si>
  <si>
    <t>People (atención al cliente).</t>
  </si>
  <si>
    <t>Public Relations (relaciones públicas).</t>
  </si>
  <si>
    <t>Performance (resultado).</t>
  </si>
  <si>
    <t>Señala la respuesta correcta:</t>
  </si>
  <si>
    <t>Se requiere un número mínimo de 2 socios para formar una cooperativa de primer grado.</t>
  </si>
  <si>
    <t>Las cooperativas de primer grado están formadas por personas jurídicas.</t>
  </si>
  <si>
    <t>Las sociedades laborales están compuestas por socios trabajadores e induses.</t>
  </si>
  <si>
    <t>Las sociedades laborales requieren un mínimo de 3 socios, de los cuales 2 han de ser trabajadores.</t>
  </si>
  <si>
    <t>La sociedad colectiva no necesita un capital mínimo para su constitución.</t>
  </si>
  <si>
    <t>Los socios colectivos tienen una responsabilidad ilimitada.</t>
  </si>
  <si>
    <t>La sociedad anónima necesita para su constitución:</t>
  </si>
  <si>
    <t>Un mínimo de 60.000 euros en acciones desde el primer año de su puesta en funcionamiento.</t>
  </si>
  <si>
    <t>Al menos dos socios.</t>
  </si>
  <si>
    <t>Un mínimo de 15.000 euros totalmente desembolsados.</t>
  </si>
  <si>
    <t>Un mínimo de 16.000,00 euros totalmente desembolsados.</t>
  </si>
  <si>
    <t>La distinción entre socios trabajadores, socios no trabajadores y trabajadores asalariados es propia de:</t>
  </si>
  <si>
    <t>Las sociedades colectivas.</t>
  </si>
  <si>
    <t>Las sociedades comanditarias por acciones.</t>
  </si>
  <si>
    <t>Las sociedades laborales.</t>
  </si>
  <si>
    <t>Las sociedades cooperativas.</t>
  </si>
  <si>
    <t>La responsabilidad limitada significa que los socios:</t>
  </si>
  <si>
    <t>Responden con todos sus bienes.</t>
  </si>
  <si>
    <t>Han de seguir el principio “solve et repete”.</t>
  </si>
  <si>
    <t>Tienen su responsabilidad limitada a lo que se establezca en los Estatutos societarios.</t>
  </si>
  <si>
    <t>Responden sólo con su aportación.</t>
  </si>
  <si>
    <t>El capital social:</t>
  </si>
  <si>
    <t>Está constituido por las aportaciones de los socios (monetarias o en especie) a la sociedad, sin derecho a devolución.</t>
  </si>
  <si>
    <t>Se trata de una cifra variable, fluctuante en función de la cotización en Bolsa de la sociedad.</t>
  </si>
  <si>
    <t>En las sociedades de responsabilidad limitada está limitado a 3.005, 06 euros.</t>
  </si>
  <si>
    <t>Las dos formas básicas para constituir o crear una empresa son:</t>
  </si>
  <si>
    <t>Todas las restantes respuestas son incorrectas</t>
  </si>
  <si>
    <t>Como persona humana o como persona física.</t>
  </si>
  <si>
    <t>La forma societaria y la forma individual por cuenta propia (trabajador autónomo).</t>
  </si>
  <si>
    <t>Con responsabilidad limitada o responsabilidad ilimitada.</t>
  </si>
  <si>
    <t>Respecto a las responsabilidades:</t>
  </si>
  <si>
    <t>Ilimitada significa que los socios han de responder con sus bienes presentes y futuros.</t>
  </si>
  <si>
    <t>Solidaria significa que pueden exigirse las deudas a cada uno de los socios o a uno de ellos individualmente.</t>
  </si>
  <si>
    <t>Subsidiaria significa que primero responde la empresa de sus deudas y, en segundo término, los socios.</t>
  </si>
  <si>
    <t>Los trabajadores autónomos:</t>
  </si>
  <si>
    <t>Tributan básicamente por IVA, IS e IAE (aquellos cuya facturación anual supere el millón de euros).</t>
  </si>
  <si>
    <t>No cuentan con exigencia de capital mínimo para el inicio o desarrollo de su actividad.</t>
  </si>
  <si>
    <t>Mantienen una responsabilidad limitada y subsidiaria.</t>
  </si>
  <si>
    <t>En las Sociedades Limitadas Nueva Empresa:</t>
  </si>
  <si>
    <t>El nombre o razón social de la empresa estará compuesto por los dos apellidos y el nombre de uno de los socios fundadores junto a un código alfanumérico y junto a la expresión «Sociedad Limitada Nueva Empresa» o las siglas SLNE.</t>
  </si>
  <si>
    <t>Entre las ventajas fiscales que recibe se encuentra la posibilidad de aplazamiento del pago del IVA.</t>
  </si>
  <si>
    <t>Sólo pueden ser socios las personas jurídicas.</t>
  </si>
  <si>
    <t>En la sociedad anónima:</t>
  </si>
  <si>
    <t>Los socios mantienen un derecho de adquisición preferente de acciones cuando los socios actuales decidan vender sus acciones.</t>
  </si>
  <si>
    <t>Una acción es una parte alícuota (igual y proporcional) del capital social.</t>
  </si>
  <si>
    <t>Cada socio posee un número idéntico de acciones, la suma del valor de las cuales no resultará inferior a 60.000 euros.</t>
  </si>
  <si>
    <t>En las sociedades laborales:</t>
  </si>
  <si>
    <t>Los socios trabajadores tienen responsabilidad ilimitada, y los no trabajadores responsabilidad limitada.</t>
  </si>
  <si>
    <t>Para adquirir la condición de sociedad laboral, se debe pedir tal calificación al Ministerio de Trabajo o a los organismos competentes de las comunidades autónomas.</t>
  </si>
  <si>
    <t>Si un socio trabajador desea transmitir a un trabajador no socio, sus acciones o participaciones, tiene que comunicarlo a la sociedad, para que estas se ofrezcan también a los socios no trabajadores, con derecho de adquisición preferente.</t>
  </si>
  <si>
    <t>Las sociedades laborales pueden ser:</t>
  </si>
  <si>
    <t>Anónimas y colectivas.</t>
  </si>
  <si>
    <t>Colectivas y limitadas.</t>
  </si>
  <si>
    <t>Anónimas y limitadas.</t>
  </si>
  <si>
    <t>El empresario individual tributa fundamentalmente por:</t>
  </si>
  <si>
    <t>El IVA, únicamente.</t>
  </si>
  <si>
    <t>El Impuesto sobre la Seguridad Social.</t>
  </si>
  <si>
    <t>El Impuesto sobre la Renta de las Personas Físicas.</t>
  </si>
  <si>
    <t>El Impuesto de Sociedades.</t>
  </si>
  <si>
    <t>El conjunto de los socios trabajadores deben poseer más del 75% del capital social.</t>
  </si>
  <si>
    <t>Los socios asalariados no pueden trabajar más del 30% de las horas al año que trabajan los socios trabajadores.</t>
  </si>
  <si>
    <t>Cada socio trabajador no debe poseer más de un tercio del capital social (salvo las Administraciones Públicas, que no deben poseer más del 50%).</t>
  </si>
  <si>
    <t>Son modelos organizativos clásicos:</t>
  </si>
  <si>
    <t>El modelo lineal o jerárquica.</t>
  </si>
  <si>
    <t>Los modelos: funcional y lineo-funcional.</t>
  </si>
  <si>
    <t>El modelo divisional o de segmentación.</t>
  </si>
  <si>
    <t>Las empresas deben pagar a la SS las cotizaciones correspondientes por cada trabajador contratado.</t>
  </si>
  <si>
    <t>Los contratos indefinidos acogidos al Programa de Fomento del Empleo otorgan una bonificación en la cuota que los empresarios pagan a la Seguridad Social.</t>
  </si>
  <si>
    <t>Los test de personalidad son una herramienta de selección de personal.</t>
  </si>
  <si>
    <t>En relación con la duración y las condiciones de los contratos de trabajo:</t>
  </si>
  <si>
    <t>Según el Estatuto de los Trabajadores, todos los contratos deben ser indefinidos. Solo podrán concertarse por un tiempo determinado cuando concurran unas circunstancias concretas, definidas para cada modalidad de contrato temporal.</t>
  </si>
  <si>
    <t>Durante el periodo de prueba los trabajadores no generan derecho a vacaciones ni a pagas extraordinarias.</t>
  </si>
  <si>
    <t>El Pacto de permanencia es un pacto en virtud del cual un trabajador se obliga a prestar sus servicios en exclusiva a un solo empresario, a cambio de una compensación económica.</t>
  </si>
  <si>
    <t>El análisis de los recursos humanos de una empresa implica resolver una serie de cuestión:</t>
  </si>
  <si>
    <t>Cuántas personas y qué tipo de puestos de trabajo son necesarios para poner en funcionamiento nuestra empresa.</t>
  </si>
  <si>
    <t>Qué funciones, tareas y responsabilidades tendrán asignadas los empleados.</t>
  </si>
  <si>
    <t>Qué formación y experiencia requiere el desempeño de cada puesto de trabajo.</t>
  </si>
  <si>
    <t>En la secuencia para el análisis de la viabilidad personal del proyecto empresarial:</t>
  </si>
  <si>
    <t>Antes de fijar el número de personas que trabajarán en la empresa, hay que definir los puestos de trabajo necesarios, con las funciones y tareas que se desarrollarán en cada uno de ellos.</t>
  </si>
  <si>
    <t>El siguiente paso consiste en establecer quién puede ocuparse de cada puesto de trabajo, para lo que se debe considerar la formación y la experiencia que exige cada uno.</t>
  </si>
  <si>
    <t>Normalmente, al iniciar un negocio, los socios se encargan de cubrir la mayoría de los puestos de trabajo, por lo que tienen que analizar si poseen la formación adecuada o deben realizar algún curso de formación.</t>
  </si>
  <si>
    <t>Los Socios administradores de sociedades capitalistas deben darse de alta como autónomos en el RETA cuando controlen directa o indirectamente la sociedad, hecho que consideraremos que concurre cuando:</t>
  </si>
  <si>
    <t>El socio administrador posee la mitad del capital social.</t>
  </si>
  <si>
    <t>Al menos, la mitad del capital social está distribuido entre socios con los que convive el socio administrador y a quienes se encuentra unido por vínculo conyugal o de parentesco por consanguinidad, afinidad o adopción, hasta el segundo grado.</t>
  </si>
  <si>
    <t>La participación del socio administrador en el capital social es igual o superior a la cuarta parte del mismo, si tiene atribuidas funciones de dirección y gerencia de la sociedad.</t>
  </si>
  <si>
    <t>Una empresa que siga un modelo lineal busca personal especializado en las funciones principales de la empresa para incrementar su productividad.</t>
  </si>
  <si>
    <t>La duración del periodo de prueba, para los técnicos titulados, será como máximo de 6 meses.</t>
  </si>
  <si>
    <t>La estructura en trébol es el modelo más reciente de organización empresarial, por lo que no presenta ninguna desventaja.</t>
  </si>
  <si>
    <t>Ninguna de las anteriores es correcta.</t>
  </si>
  <si>
    <t>En la modalidad de estructura en trébol de una empresa:</t>
  </si>
  <si>
    <t>La hoja del trébol denominada núcleo profesional está integrada por todos los directivos y empleados que realizan las actividades que han resultado ser básicas según el análisis realizado por la empresa</t>
  </si>
  <si>
    <t>La hoja denominada subcontratación integrará todas aquellas actividades que pueden ser realizadas por los propios clientes sin menoscabo del servicio (las relacionadas con la información y la venta).</t>
  </si>
  <si>
    <t>El tallo del trébol, que constituye la fortaleza de este modelo de organización, une las cuatro hojas y está integrado por la alta dirección.</t>
  </si>
  <si>
    <t>En relación con la gestión de las relaciones laborales en la empresa</t>
  </si>
  <si>
    <t>La duración del periodo de prueba será, si no se establecen otras condiciones por convenio colectivo, como máximo será de seis meses para los técnicos titulados y doce meses para los demás trabajadores.</t>
  </si>
  <si>
    <t>Según el Estatuto de los Trabajadores, todos los contratos deben ser indefinidos, por lo que sólo podrán concertarse por un tiempo determinado cuando concurran unas circunstancias concretas, definidas para cada modalidad de contrato temporal.</t>
  </si>
  <si>
    <t>En concepto de Desempleo, las empresas cotizan, por un trabajador contratado por duración determinada y a tiempo parcial:</t>
  </si>
  <si>
    <t>7,70%.</t>
  </si>
  <si>
    <t>6,70%.</t>
  </si>
  <si>
    <t>5,70%.</t>
  </si>
  <si>
    <t>En cuanto a los tipos de cotización, las empresas cotizan:</t>
  </si>
  <si>
    <t>El 23,6% por Contingencias comunes y el 0,7% por FP.</t>
  </si>
  <si>
    <t>El 12% por Contingencias comunes y el 0,6% por FOGASA.</t>
  </si>
  <si>
    <t>Todas las anteriores son ciertas.</t>
  </si>
  <si>
    <t>Ninguna de las anteriores es cierta.</t>
  </si>
  <si>
    <t>23,6% por Contingencias comunes y el 0,6% por FP.</t>
  </si>
  <si>
    <t>En relación con la organización informal:</t>
  </si>
  <si>
    <t>Taylor y Ford defendían aprovechar al máximo la organización informal, básicamente para aumentar la productividad.</t>
  </si>
  <si>
    <t>Elton Mayo consideraba la organización informal como un elemento perturbador que hacía perder tiempo y productividad.</t>
  </si>
  <si>
    <t>La conclusión del Experimento Hawthorne fue que el trabajo en equipo aumentaba la producción.</t>
  </si>
  <si>
    <t>Los autónomos que cuentan con reducciones y bonificaciones durante 5 años sobre la cuota por contingencias comunes del 80 % durante 12 meses y 50 % durante los cuatro años siguientes son los:</t>
  </si>
  <si>
    <t>Mayores de 30 años, que causen alta inicial o que no hubieran estado de alta en los 5 años inmediatamente anteriores y que no hubieran contratado trabajadores por cuenta ajena.</t>
  </si>
  <si>
    <t>Autónomos incorporados al RETA a partir de la entrada en vigor del Estatuto del Trabajo Autónomo, menores de 30 años, si son hombres o menores de 35, si son mujeres.</t>
  </si>
  <si>
    <t>Personas con un grado de discapacidad igual o superior al 33 % que causen alta inicial en el RETA.</t>
  </si>
  <si>
    <t>Todas las anteriores son incorrectas</t>
  </si>
  <si>
    <t>¿Por qué el precio de venta del producto tiene una gran importancia?:</t>
  </si>
  <si>
    <t>Es el único elemento del marketing mix que proporciona ingresos.</t>
  </si>
  <si>
    <t>Es un instrumento con efecto a corto plazo sobre las ventas y los beneficios.</t>
  </si>
  <si>
    <t>Es un poderoso instrumento competitivo.</t>
  </si>
  <si>
    <t>¿Qué contabilidad es determinada por el empresario en función de sus características y necesidades de información?:</t>
  </si>
  <si>
    <t>Contabilidad financiera.</t>
  </si>
  <si>
    <t>Contabilidad externa.</t>
  </si>
  <si>
    <t>Contabilidad analítica.</t>
  </si>
  <si>
    <t>¿Cómo se denomina el volumen de producción y ventas necesario para que el beneficio de la empresa sea igual a cero?:</t>
  </si>
  <si>
    <t>1.-Punto muerto.</t>
  </si>
  <si>
    <t>2.-Limite del beneficio.</t>
  </si>
  <si>
    <t>3.-Umbral de rentabilidad.</t>
  </si>
  <si>
    <t>4.-Las respuestas 1 y 3 son correctas.</t>
  </si>
  <si>
    <t>¿Cuál de los siguientes es un objetivo de una adecuada gestión de inventarios?:</t>
  </si>
  <si>
    <t>1.-Obtener una seguridad máxima frente a posibles roturas de stock.</t>
  </si>
  <si>
    <t>2.-Minimizar los costes de mantenimiento de los inventarios.</t>
  </si>
  <si>
    <t>3.-Las respuestas 1 y 2 son correctas.</t>
  </si>
  <si>
    <t>4.-Ninguna de las anteriores es correcta.</t>
  </si>
  <si>
    <t>¿Qué criterio para estimar el precio se utiliza cuando se le suma al coste un margen de beneficio que se puede obtener sobre él?:</t>
  </si>
  <si>
    <t>Precio basado en la competencia</t>
  </si>
  <si>
    <t>Precio basado en los costes.</t>
  </si>
  <si>
    <t>Precio basado en la percepción del comprador.</t>
  </si>
  <si>
    <t>Precio basado en el marketing.</t>
  </si>
  <si>
    <t>¿Cuál de las siguientes preguntas no es necesario que nos planteemos a la hora de calcular cuánto nos va a costar producir un producto?:</t>
  </si>
  <si>
    <t>¿Cuál va a ser nuestro volumen de producción?</t>
  </si>
  <si>
    <t>¿Quiénes son nuestros competidores?</t>
  </si>
  <si>
    <t>¿Qué recursos se van a utilizar para la producción?</t>
  </si>
  <si>
    <t>¿Quién va a realizar la producción?</t>
  </si>
  <si>
    <t>¿Cuál de las siguientes afirmaciones no es correcta?:</t>
  </si>
  <si>
    <t>Para la mejora de la calidad existen en la actualidad tres vías fundamentales.</t>
  </si>
  <si>
    <t>Antes de definir los requisitos de un producto hay que definir al cliente al que va destinado.</t>
  </si>
  <si>
    <t>En el mundo empresarial se considera la calidad como un elemento diferenciador.</t>
  </si>
  <si>
    <t>EFQM son las siglas inglesas de la Fundación Europea para la Gestión de la Calidad.</t>
  </si>
  <si>
    <t>¿En qué fase de la función de producción se verifica si los puestos de trajo cumplen todos los requisitos en lo referente a la prevención de riesgos laborales?:</t>
  </si>
  <si>
    <t>Diseño de puestos y de trabajo.</t>
  </si>
  <si>
    <t>Diseño de las instalaciones.</t>
  </si>
  <si>
    <t>Planificación y programación de la producción.</t>
  </si>
  <si>
    <t>Diseño de bienes y servicios.</t>
  </si>
  <si>
    <t>¿Quién es el autor de la teoría del Movimiento de la Relaciones Humanas?:</t>
  </si>
  <si>
    <t>Elton Mayo.</t>
  </si>
  <si>
    <t>Adam Smith.</t>
  </si>
  <si>
    <t>Henry Ford.</t>
  </si>
  <si>
    <t>F.W. Taylor.</t>
  </si>
  <si>
    <t>¿Cómo se denomina la contabilidad que se encarga de reflejar la imagen fiel del patrimonio y los resultados globales de la actividad empresarial?:</t>
  </si>
  <si>
    <t>Contabilidad de costes.</t>
  </si>
  <si>
    <t>Contabilidad interna.</t>
  </si>
  <si>
    <t>¿Para qué se dé un proceso de calidad que tipo de requisitos para la satisfacción del cliente se han de cumplir?:</t>
  </si>
  <si>
    <t>1.-Explícitos.</t>
  </si>
  <si>
    <t>2.-Implícitos.</t>
  </si>
  <si>
    <t>4.-Ninguna de las anteriores respuestas es correcta.</t>
  </si>
  <si>
    <t>¿Qué ocurre en una empresa si el volumen de ventas se sitúa por debajo del punto muerto o umbral de rentabilidad?:</t>
  </si>
  <si>
    <t>Que la empresa estaré en equilibrio.</t>
  </si>
  <si>
    <t>Que la empresa tendrá beneficio.</t>
  </si>
  <si>
    <t>Que la empresa tendrá perdidas.</t>
  </si>
  <si>
    <t>Ninguna de las respuestas anteriores es correcta.</t>
  </si>
  <si>
    <t>¿Cómo se denominan los factores propiedad de la empresa cuyo coste de oportunidad viene dado por el precio de mercado que se podría obtener de ellos?:</t>
  </si>
  <si>
    <t>Costes variables.</t>
  </si>
  <si>
    <t>Costes implícitos.</t>
  </si>
  <si>
    <t>Costes indirectos.</t>
  </si>
  <si>
    <t>Costes explícitos.</t>
  </si>
  <si>
    <t>¿Cuál es el modelo más utilizado en España para el desarrollo de la calidad total?:</t>
  </si>
  <si>
    <t>EFQM.</t>
  </si>
  <si>
    <t>ISO 9001.</t>
  </si>
  <si>
    <t>IBEX 35.</t>
  </si>
  <si>
    <t>¿Qué movimiento que surgió a partir de los años 70 se basaba en el concepto de la calidad total e introdujo nuevas prácticas como el Just in time?:</t>
  </si>
  <si>
    <t>Movimiento de las relaciones humanas.</t>
  </si>
  <si>
    <t>Fordismo.</t>
  </si>
  <si>
    <t>Toyotismo.</t>
  </si>
  <si>
    <t>Taylorismo.</t>
  </si>
  <si>
    <t>¿Cuál de los siguientes grupos no se contempla como objetivo de la información brindada por la empresa a través de la contabilidad?:</t>
  </si>
  <si>
    <t>Los inversores.</t>
  </si>
  <si>
    <t>Los competidores.</t>
  </si>
  <si>
    <t>Los acreedores.</t>
  </si>
  <si>
    <t>El Estado.</t>
  </si>
  <si>
    <t>¿Cómo se denomina el documento contable que completa, amplía y comenta la información contenida en las otras cuentas anuales?:</t>
  </si>
  <si>
    <t>Estado de cambios en el patrimonio neto.</t>
  </si>
  <si>
    <t>Memoria.</t>
  </si>
  <si>
    <t>Estado de flujos de efectivo.</t>
  </si>
  <si>
    <t>Balance.</t>
  </si>
  <si>
    <t>¿Qué nos indica la ecuación fundamental de la contabilidad?:</t>
  </si>
  <si>
    <t>Activo = Pasivo.</t>
  </si>
  <si>
    <t>Activo corriente = Pasivo corriente.</t>
  </si>
  <si>
    <t>Activo + Patrimonio Neto = Pasivo.</t>
  </si>
  <si>
    <t>Activo = Patrimonio Neto + Pasivo.</t>
  </si>
  <si>
    <t>¿Cómo se denomina el principio contable que se admitirá la no aplicación estricta de alguno de los principios y criterios contables cuando no altere la expresión de la imagen fiel?:</t>
  </si>
  <si>
    <t>Importancia relativa.</t>
  </si>
  <si>
    <t>Prudencia.</t>
  </si>
  <si>
    <t>Uniformidad.</t>
  </si>
  <si>
    <t>Devengo.</t>
  </si>
  <si>
    <t>¿Cómo se denominan los estados financieros o estados contables, cuyo objetivo es mostrar la imagen fiel del patrimonio, de la situación financiera y de los resultados de la empresa? :</t>
  </si>
  <si>
    <t>Cuenta de pérdidas y ganancias.</t>
  </si>
  <si>
    <t>Cuentas anuales.</t>
  </si>
  <si>
    <t>¿Qué debe reflejar toda cuenta?:</t>
  </si>
  <si>
    <t>La situación del elemento patrimonial.</t>
  </si>
  <si>
    <t>Los incrementos de valor que se han producido en dicho elemento a lo largo del ejercicio económico.</t>
  </si>
  <si>
    <t>Las disminuciones de valor que se han producido en dicho elemento a lo largo del ejercicio económico.</t>
  </si>
  <si>
    <t>¿Cómo se denomina la cualidad de los activos para ser convertidos en dinero efectivo de forma inmediata sin pérdida significativa de su valor?:</t>
  </si>
  <si>
    <t>Valor.</t>
  </si>
  <si>
    <t>Cuantía.</t>
  </si>
  <si>
    <t>Liquidez.</t>
  </si>
  <si>
    <t>¿Qué otro nombre recibe el Patrimonio Neto y Pasivo?:</t>
  </si>
  <si>
    <t>Estructura circulante.</t>
  </si>
  <si>
    <t>Estructura financiera.</t>
  </si>
  <si>
    <t>Amortización.</t>
  </si>
  <si>
    <t>Estructura económica.</t>
  </si>
  <si>
    <t>¿Qué otro nombre recibe el activo en el balance?</t>
  </si>
  <si>
    <t>Flujo monetario.</t>
  </si>
  <si>
    <t>Flujo de mercancías.</t>
  </si>
  <si>
    <t>Patrimonio contante.</t>
  </si>
  <si>
    <t>¿Cómo se denomina al conjunto de bienes, derechos y obligaciones de una empresa, susceptibles de valoración económica y, a través de los cuales, puede desarrollar su actividad productiva?:</t>
  </si>
  <si>
    <t>Activo de la empresa.</t>
  </si>
  <si>
    <t>Pasivo de la empresa.</t>
  </si>
  <si>
    <t>Patrimonio de la empresa.</t>
  </si>
  <si>
    <t>Masa patrimonial.</t>
  </si>
  <si>
    <t>¿En qué masa patrimonial ubicarías la tesorería dentro del balance?</t>
  </si>
  <si>
    <t>Activo corriente.</t>
  </si>
  <si>
    <t>Activo no corriente.</t>
  </si>
  <si>
    <t>Pasivo corriente.</t>
  </si>
  <si>
    <t>Patrimonio neto.</t>
  </si>
  <si>
    <t>¿Dónde se anotan Los incrementos patrimoniales en las cuentas de activo?:</t>
  </si>
  <si>
    <t>En el haber entre paréntesis.</t>
  </si>
  <si>
    <t>En el debe.</t>
  </si>
  <si>
    <t>En el haber.</t>
  </si>
  <si>
    <t>En el debe entre paréntesis.</t>
  </si>
  <si>
    <t>¿Cómo se denomina el principio contable que nos indica que la imputación de ingresos y gastos se realizará en función de la corriente real de bienes y servicios, e independientemente del momento en que se produzca la corriente financiera o monetaria que se deriva?:</t>
  </si>
  <si>
    <t>No compensación.</t>
  </si>
  <si>
    <t>¿Los elementos de que masa patrimonial se ordenan de menor a mayor liquidez?:</t>
  </si>
  <si>
    <t>Activo.</t>
  </si>
  <si>
    <t>Patrimonio Neto y Pasivo.</t>
  </si>
  <si>
    <t>Pasivo.</t>
  </si>
  <si>
    <t>Reservas.</t>
  </si>
  <si>
    <t>TEMA 9</t>
  </si>
  <si>
    <t>En relación con las fuentes de financiación, señala la respuesta correcta:</t>
  </si>
  <si>
    <t>El factoring representa una fuente de financiación propia, instrumentada en nuestras propias facturas.</t>
  </si>
  <si>
    <t>Los préstamos y créditos son fuentes de financiación propia.</t>
  </si>
  <si>
    <t>Las aportaciones de socios e inversores son fuentes de financiación propia.</t>
  </si>
  <si>
    <t>Las sociedades de garantía recíproca conceden avales que permiten a las pymes acceder a la financiación bancaria, sin necesidad de afectar al conjunto de sus recursos propios.</t>
  </si>
  <si>
    <t>Las provisiones permiten acumular fondos para afrontar las posibles disminuciones de valor de diferentes elementos del patrimonio de la empresa.</t>
  </si>
  <si>
    <t>Las sociedades de capital riesgo son empresas que se dedican a financiar temporalmente a pymes innovadoras, con probabilidades de éxito, aportando dinero, apoyo en la gestión y sus contactos.</t>
  </si>
  <si>
    <t>Indica cuál de los siguientes casos corresponde al concepto de leasing:</t>
  </si>
  <si>
    <t>Alquilar un coche a cambio de una cuota que incluye mantenimiento, reparación y seguro a todo riesgo.</t>
  </si>
  <si>
    <t>Alquilar una máquina productiva, con la posibilidad de comprarla por su valor residual.</t>
  </si>
  <si>
    <t>Un título de renta fija que da derecho a cobrar los intereses generados y a la devolución del capital aportado.</t>
  </si>
  <si>
    <t>Una empresa cede a otra el cobro de sus deudas a cambio de un pago inmediato.</t>
  </si>
  <si>
    <t>Una inversión es:</t>
  </si>
  <si>
    <t>Un gasto.</t>
  </si>
  <si>
    <t>El empleo de dinero por un empresario en la compra de bienes de equipo.</t>
  </si>
  <si>
    <t>Un leasing.</t>
  </si>
  <si>
    <t>Un lifting.</t>
  </si>
  <si>
    <t>En relación con la financiación:</t>
  </si>
  <si>
    <t>El préstamo participativo es un híbrido entre los recursos internos y los externos debido a sus singulares características.</t>
  </si>
  <si>
    <t>Los microcréditos, dirigidos a personas con dificultades para acceder a los créditos tradicionales. Son créditos de pequeña cuantía, que no precisan de aval.</t>
  </si>
  <si>
    <t>Los pagarés de empresa son valores mobiliarios de renta fija que suponen una obligación por parte del prestatario de pagar regularmente la renta fijada.</t>
  </si>
  <si>
    <t>En el análisis de una inversión, se consideran fundamentalmente algunos factores:</t>
  </si>
  <si>
    <t>El riesgo, en relación al rendimiento real que se obtendrá al finalizar la inversión.</t>
  </si>
  <si>
    <t>El rendimiento esperado.</t>
  </si>
  <si>
    <t>El tiempo durante el cual se mantendrá la inversión (corto, medio o largo plazo).</t>
  </si>
  <si>
    <t>En relación con las fuentes de financiación:</t>
  </si>
  <si>
    <t>A través de un préstamo, una entidad financiera concede la posibilidad de disponer de un dinero, hasta una cierta cantidad límite y durante un plazo prefijado.</t>
  </si>
  <si>
    <t>La autofinanciación de enriquecimiento consiste en retener parte del beneficio empresarial con el objetivo de incrementar el patrimonio de la empresa.</t>
  </si>
  <si>
    <t>La empresa, con el beneficio obtenido al final del ejercicio económico, tiene dos opciones: repartirlo entre los socios, en forma de dividendos o utilizar ese dinero para pagar los impuestos y las deudas a corto plazo.</t>
  </si>
  <si>
    <t>Las ayudas y subvenciones forman parte de las políticas para el apoyo del tejido empresarial y el fomento de las iniciativas innovadoras:</t>
  </si>
  <si>
    <t>Normalmente, las acuerdan y conceden las administraciones públicas (Estado, comunidades autónomas o ayuntamientos), con fondos nacionales o de la Unión Europea.</t>
  </si>
  <si>
    <t>En las subvenciones no hay necesidad de devolver el importe prestado, por lo que en realidad son fuentes propias, no ajenas.</t>
  </si>
  <si>
    <t>Una vez localizadas las subvenciones que nos interesan, hay que cumplir estrictamente todos los trámites formales que exigen y tener en cuenta que tardan tiempo en hacerse efectivas.</t>
  </si>
  <si>
    <r>
      <t xml:space="preserve">El </t>
    </r>
    <r>
      <rPr>
        <i/>
        <sz val="11"/>
        <color theme="1"/>
        <rFont val="Calibri"/>
        <family val="2"/>
        <scheme val="minor"/>
      </rPr>
      <t>leasing</t>
    </r>
    <r>
      <rPr>
        <sz val="12"/>
        <color theme="1"/>
        <rFont val="Calibri"/>
        <family val="2"/>
        <scheme val="minor"/>
      </rPr>
      <t>:</t>
    </r>
  </si>
  <si>
    <t>Es una fórmula de financiación, por la que un tercero se obliga al pago de una deuda, si el obligado principal no lo hace.</t>
  </si>
  <si>
    <t>Es una fórmula de financiación que sale mucho más barata.</t>
  </si>
  <si>
    <t>Es una fórmula de financiación por la cual el empresario arrienda un bien por el que paga un alquiler, y tiene una opción de compra sobre el mismo al finalizar el contrato de arrendamiento.</t>
  </si>
  <si>
    <t>El préstamo participativo es un híbrido entre los recursos propios y los ajenos debido a sus singulares características:</t>
  </si>
  <si>
    <t>En el orden de prelación de créditos, se sitúan por delante de los acreedores comunes.</t>
  </si>
  <si>
    <t>El tipo de interés es variable (en función de la evolución de la actividad de la empresa).</t>
  </si>
  <si>
    <t>Los intereses no son deducibles en el impuesto de sociedades.</t>
  </si>
  <si>
    <t>El interés en un préstamo bancario, es:</t>
  </si>
  <si>
    <t>El dinero que obtiene la empresa.</t>
  </si>
  <si>
    <t>El precio que la empresa debe pagar por el préstamo.</t>
  </si>
  <si>
    <t>Una forma de cobertura del riesgo.</t>
  </si>
  <si>
    <t>La comisión bancaria por la tramitación del préstamo.</t>
  </si>
  <si>
    <t>En relación con los contratos y servicios financieros:</t>
  </si>
  <si>
    <t>El factoring sin recurso es aquel en el que la sociedad factor, que se encarga de gestionar y cobrar dichos préstamos, asume el riesgo de impago.</t>
  </si>
  <si>
    <t>El Lease Back es una fórmula de leasing en la cual el arrendador adquiere el bien objeto de la operación, propiedad del cliente, y se lo arrienda a este.</t>
  </si>
  <si>
    <t>El confirming es un servicio de gestión de pagos y no un servicio de gestión de deudas.</t>
  </si>
  <si>
    <t>Todas las anteriores es correcta.</t>
  </si>
  <si>
    <t>La operación de descuento es:</t>
  </si>
  <si>
    <t>Una ventaja que se obtiene si se paga una factura al contado.</t>
  </si>
  <si>
    <t>Una operación por la que se obtiene anticipadamente el importe de una letra de cambio.</t>
  </si>
  <si>
    <t>Un arrendamiento financiero.</t>
  </si>
  <si>
    <t>Un aval bancario.</t>
  </si>
  <si>
    <t>Las reservas son deducibles fiscalmente, mientras que las amortizaciones y las provisiones, no.</t>
  </si>
  <si>
    <t>El nombre originario (en inglés) del confirming es reverse factoring.</t>
  </si>
  <si>
    <t>El confirming es la operación complementaria del factoring.</t>
  </si>
  <si>
    <t>Si la empresa realiza una ampliación de capital, obtiene dinero que no es necesario devolver a los socios.</t>
  </si>
  <si>
    <t>Un préstamo es una operación mediante la cual una entidad financiera se compromete a entregar dinero a un cliente, que puede disponer de él, retirándolo de una sola vez o mediante retiradas parciales, y que paga intereses solamente por las cantidades que se vayan disponiendo.</t>
  </si>
  <si>
    <t>La garantía hipotecaria significa que personas ajenas al prestatario responden de su solvencia y se comprometen a pagar la deuda en caso de que éste no lo haga.</t>
  </si>
  <si>
    <t>TEMA 10</t>
  </si>
  <si>
    <t>Liquidez:</t>
  </si>
  <si>
    <t>Es la capacidad de la empresa para hacer frente a las deudas de la empresa a largo plazo.</t>
  </si>
  <si>
    <t>Es el mismo concepto con el que nos referimos al periodo medio de maduración.</t>
  </si>
  <si>
    <t>Nos referimos a ella cuando nos hace falta solicitar un préstamo para comprar algún equipo de la empresa.</t>
  </si>
  <si>
    <t>Es la capacidad de la empresa para hacer frente a sus deudas a corto plazo. Las entradas de dinero previstas (cobros) son suficientes para hacer frente a las salidas (pagos).</t>
  </si>
  <si>
    <t>El Fondo de Maniobra:</t>
  </si>
  <si>
    <t>Es la diferencia entre el activo circulante y el pasivo circulante.</t>
  </si>
  <si>
    <t>Es un colchón de seguridad para que la empresa no se encuentre en suspensión de pagos (es decir, que pueda hacer frente a las deudas que van venciendo).</t>
  </si>
  <si>
    <t>Ninguna de las anteriores son correctas.</t>
  </si>
  <si>
    <t>El plan de tesorería recoge los cobros y los pagos previstos en la empresa:</t>
  </si>
  <si>
    <t>Es una herramienta que permite anticipar si, a final de mes, la empresa necesitará más dinero en efectivo o habrá un excedente de liquidez:</t>
  </si>
  <si>
    <t>En caso de déficit, hace falta más dinero del que proporciona la actividad diaria de la empresa. Gracias al plan de tesorería, se podría programar la solicitud de un crédito y la cuantía adecuada.</t>
  </si>
  <si>
    <t>Si hay un superávit de tesorería, se podrá invertir el sobrante para rentabilizar ese dinero no utilizado.</t>
  </si>
  <si>
    <t>El período medio de maduración se compone de:</t>
  </si>
  <si>
    <t>El período medio de producción: es el tiempo medio que permanecen las materias primas en el almacén, es decir, cuánto tardan desde que se compran hasta que entran en el proceso productivo. En principio, es conveniente reducir este período al mínimo, pero teniendo presente que no debemos quedar desabastecidos de materias primas.</t>
  </si>
  <si>
    <t>El período medio de aprovisionamiento: tiempo medio que se tarda en obtener un producto terminado. Este período solo existe en las empresas de producción, no en las comerciales.</t>
  </si>
  <si>
    <t>El período medio de ventas: es el tiempo medio que se tarda desde que se vende el producto hasta que se cobra.</t>
  </si>
  <si>
    <t>En materia de equilibrio financiero:</t>
  </si>
  <si>
    <t>Se dice que una empresa está en situación de equilibrio financiero cuando su activo corriente es superior a su pasivo corriente.</t>
  </si>
  <si>
    <t>En ese caso No tendrá problemas a la hora de pagar sus deudas a corto plazo, ya que en el mismo período de tiempo, puede obtener recursos financieros suficientes con cargo al activo corriente.</t>
  </si>
  <si>
    <t>Si el activo corriente es inferior al pasivo corriente, la empresa debe más dinero a corto plazo del que puede conseguir a partir del activo circulante, lo que puede llegar a representar que no pueda hacer frente a sus deudas a corto plazo.</t>
  </si>
  <si>
    <t>¿Cuál de estas situaciones indica que una empresa es solvente?:</t>
  </si>
  <si>
    <t>Activo corriente mayor que Pasivo corriente.</t>
  </si>
  <si>
    <t>Pasivo corriente mayor que Activo corriente.</t>
  </si>
  <si>
    <t>Activo es igual que la suma de Pasivo corriente y Pasivo no corriente.</t>
  </si>
  <si>
    <t>En materia de equilibrio financiero, lo normal es que:</t>
  </si>
  <si>
    <t>El pasivo no corriente y el neto financien las inversiones permanentes.</t>
  </si>
  <si>
    <t>El pasivo corriente se destine a financiar los activos corrientes.</t>
  </si>
  <si>
    <t>Se recurra al análisis del balance de situación para comprobar la solvencia y la situación financiera de una empresa en un momento determinado.</t>
  </si>
  <si>
    <t>La rentabilidad financiera indica el rendimiento que obtiene la empresa por cada unidad monetaria introducida en el proceso de producción.</t>
  </si>
  <si>
    <t>La rentabilidad económica indica a los socios el beneficio obtenido por cada unidad monetaria que ellos han invertido.</t>
  </si>
  <si>
    <t>Si el resultado de la ratio de tesorería es superior a 0,7 la liquidez de la empresa es baja (podría tener problemas para pagar alguna deuda a corto plazo).</t>
  </si>
  <si>
    <t>El ratio de garantía o solvencia mide la distancia a la que se encuentra la empresa de la situación de quiebra.</t>
  </si>
  <si>
    <t>1.-Una empresa que se encuentra en situación de quiebra, cuando puede hacer frente a todas sus obligaciones financieras.</t>
  </si>
  <si>
    <t>2.-Ante una falta de liquidez transitoria, una empresa que no es capaz de obtener financiación ajena, puede recurrir a la venta de algún activo no corriente que no resulte imprescindible para cubrir esa falta de liquidez.</t>
  </si>
  <si>
    <t>3.-Las dos anteriores son correctas.</t>
  </si>
  <si>
    <t>4.-La opción dos es la correcta.</t>
  </si>
  <si>
    <t>El proceso productivo de una empresa vincula sus recursos financieros a la obtención de bienes y servicios:</t>
  </si>
  <si>
    <t>El circuito financiero a largo plazo está ligado al activo corriente y se recupera a través del proceso de amortización.</t>
  </si>
  <si>
    <t>El circuito financiero a corto plazo está ligado al activo no corriente, su recuperación se establece a través del ciclo de explotación o período medio de maduración.</t>
  </si>
  <si>
    <t>Es importante que el empresario sepa cuándo va a recuperar el dinero invertido para poder planificar sus inversiones y su financiación, información que podrá obtener a través del cálculo del periodo medio de maduración.</t>
  </si>
  <si>
    <t>El ratio de endeudamiento:</t>
  </si>
  <si>
    <t>Pone en relación, por cociente, el activo con la suma de pasivo y patrimonio neto.</t>
  </si>
  <si>
    <t>Pone en relación, por cociente, la suma de pasivo corriente y no corriente, con el pasivo no corriente.</t>
  </si>
  <si>
    <t>Pone en relación, por cociente, los fondos propios con el pasivo corriente.</t>
  </si>
  <si>
    <t>Todas las anteriores son incorrectas.</t>
  </si>
  <si>
    <t>El ratio de calidad de la deuda:</t>
  </si>
  <si>
    <t>Pone en relación, por cociente, el activo y la suma de pasivo corriente y no corriente.</t>
  </si>
  <si>
    <t>Pone en relación, por cociente, la suma de realizable y disponible, y el pasivo corriente.</t>
  </si>
  <si>
    <t>Pone en relación, por cociente, el pasivo corriente con la suma de pasivo corriente y no corriente.</t>
  </si>
  <si>
    <t>La liquidez, o liquidez inmediata:</t>
  </si>
  <si>
    <t>Pone en relación, por cociente, el disponible y el pasivo corriente.</t>
  </si>
  <si>
    <t>Pone en relación, por cociente, el activo corriente y el pasivo corriente.</t>
  </si>
  <si>
    <t>En relación con el ratio de liquidez inmediata:</t>
  </si>
  <si>
    <t>Si el resultado es inferior a 0,7, la liquidez de la empresa es baja (podría tener problemas para pagar alguna deuda a largo plazo).</t>
  </si>
  <si>
    <t>Si el resultado es superior a 1, la liquidez es neutra.</t>
  </si>
  <si>
    <t>Cuando la liquidez de la empresa resulta excesiva esta está desperdiciando recursos monetarios que podrían estar invertidos y generando rentabilidad.</t>
  </si>
  <si>
    <t>El período medio de maduración:</t>
  </si>
  <si>
    <t>Es el tiempo que, por término medio, se tarda en recuperar una unidad monetaria invertida en el proceso productivo.</t>
  </si>
  <si>
    <t>Se financia con el fondo de maniobra.</t>
  </si>
  <si>
    <t>Integra los Periodos Medios de Almacenamiento, Producción, Venta, Cobro y Pago.</t>
  </si>
  <si>
    <t>TEMA 11</t>
  </si>
  <si>
    <t>Es imprescindible para la constitución y puesta en marcha de una empresa societaria:</t>
  </si>
  <si>
    <t>El otorgamiento de escritura pública.</t>
  </si>
  <si>
    <t>Solicitar la certificación negativa de nombre.</t>
  </si>
  <si>
    <t>Declaración censal.</t>
  </si>
  <si>
    <t>Uno de los principales trámites para constituir una sociedad de responsabilidad limitada es su publicación en:</t>
  </si>
  <si>
    <t>Boletín Oficial del Registro Mercantil.</t>
  </si>
  <si>
    <t>Boletín Oficial de la Propiedad Inmobiliaria.</t>
  </si>
  <si>
    <t>Boletín Oficial de la Propiedad Indus.</t>
  </si>
  <si>
    <t>Boletín Oficial de Defensa.</t>
  </si>
  <si>
    <t>El trabajador autónomo:</t>
  </si>
  <si>
    <t>Que contrata a un trabajador tiene que darle de alta en la Seguridad Social.</t>
  </si>
  <si>
    <t>Debe darse de alta en el RETA.</t>
  </si>
  <si>
    <t>Se evita los trámites de constitución de una sociedad.</t>
  </si>
  <si>
    <t>La inscripción de las sociedades en el Registro Mercantil:</t>
  </si>
  <si>
    <t>Se realizará en el Registro Mercantil Provincial.</t>
  </si>
  <si>
    <t>Se realizará en el Registro de Sociedades Cooperativas en el caso de este tipo de sociedades.</t>
  </si>
  <si>
    <t>Tiene como finalidad dar publicidad legal de la sociedad, que adquiere, con este trámite, personalidad jurídica propia y plena capacidad jurídica.</t>
  </si>
  <si>
    <t>La Calificación del proyecto de estatutos de las sociedades laborales y de las cooperativas:</t>
  </si>
  <si>
    <t>Consiste en valorar si los estatutos elaborados para la futura sociedad se ajustan a la ley de sociedades laborales o a la de cooperativas, en su caso.</t>
  </si>
  <si>
    <t>Las sociedades laborales están exentas de realizar este trámite.</t>
  </si>
  <si>
    <t>Solamente es necesario para las sociedades anónimas.</t>
  </si>
  <si>
    <t>Respecto a los trámites de constitución:</t>
  </si>
  <si>
    <t>Las sociedades limitadas tienen que solicitar la calificación del proyecto de estatutos.</t>
  </si>
  <si>
    <t>El notario necesita el resguardo bancario del ingreso del capital social para otorgar la escritura pública.</t>
  </si>
  <si>
    <t>La certificación negativa de nombre se presenta en el Registro mercantil provincial.</t>
  </si>
  <si>
    <t>La inscripción de la empresa se realiza en el Registro Mercantil Central.</t>
  </si>
  <si>
    <t>La Escritura pública de constitución:</t>
  </si>
  <si>
    <t>Se presenta ante un notario, quien da fe pública de la veracidad de la escritura.</t>
  </si>
  <si>
    <t>Es un documento en el que los socios declaran su voluntad de constituir una sociedad.</t>
  </si>
  <si>
    <t>Se tramita en una notaría.</t>
  </si>
  <si>
    <t>Los puntos de atención al emprendedor (PAE) tienen entre sus funciones:</t>
  </si>
  <si>
    <t>Informan y asesoran a los emprendedores.</t>
  </si>
  <si>
    <t>Pueden ser presenciales o virtuales.</t>
  </si>
  <si>
    <t>Se inicia la tramitación del DUE</t>
  </si>
  <si>
    <t>La inscripción en el Registro Mercantil:</t>
  </si>
  <si>
    <t>Es un trámite que se resuelve en el acto.</t>
  </si>
  <si>
    <t>Debe hacerse en un plazo de 15 días hábiles desde el otorgamiento de escritura pública de constitución.</t>
  </si>
  <si>
    <t>Salvo las sociedades laborales, cooperativas y sociedades limitadas, que disponen de un mes.</t>
  </si>
  <si>
    <t>La solicitud de licencia de obras se hace en:</t>
  </si>
  <si>
    <t>Ayuntamiento.</t>
  </si>
  <si>
    <t>Delegación de Hacienda.</t>
  </si>
  <si>
    <t>Dirección General de Industria.</t>
  </si>
  <si>
    <t>Los Trámites en las Delegaciones estatales de Hacienda antes del inicio de la actividad son: </t>
  </si>
  <si>
    <t>Declaración censal. </t>
  </si>
  <si>
    <t>Solicitud del NIF. </t>
  </si>
  <si>
    <t>Alta en el Impuesto de Actividades Económicas. </t>
  </si>
  <si>
    <t>Los viveros de empresa:</t>
  </si>
  <si>
    <t>Son espacios físicos destinados a favorecer el desarrollo del espíritu emprendedor y la creación y consolidación de nuevas empresas.</t>
  </si>
  <si>
    <t>Ofrecen una serie de servicios complementarios, a precios más reducidos que los que ofrece el mercado: pequeños despachos, locales o espacios modulares en los que instalarse; servicios logísticos y administrativos compartidos (fax, copistería, contabilidad, etc.), línea telefónica e Internet; asesoramiento y apoyo por parte de personal experto en creación de empresas; Red de emprendedores (networking).</t>
  </si>
  <si>
    <t>Estos equipamientos incrementan las posibilidades de supervivencia de un proyecto empresarial y, si bien solo están pensados para los primeros años de su puesta en marcha, el plazo máximo de permanencia suele ser de 2 ó 3 años.</t>
  </si>
  <si>
    <t>Las sociedades mercantiles deben presentar la escritura de constitución, la liquidación del impuesto de transmisiones patrimoniales y actos jurídicos documentados.</t>
  </si>
  <si>
    <t>Las sociedades laborales, además, deben presentar el certificado que acredite haber sido calificadas como tales.</t>
  </si>
  <si>
    <t>Las cooperativas añadirán la declaración de la actividad que van a desarrollar.</t>
  </si>
  <si>
    <t>En relación a algunos de los trámites que los emprendedores han de realizar en el Ayuntamiento:</t>
  </si>
  <si>
    <t>La licencia municipal de obra constituye el permiso necesario para la realización de cualquier tipo de obras en locales, naves, edificios, etc. dentro de un municipio.</t>
  </si>
  <si>
    <t>La licencia municipal de obra debe solicitarse antes de iniciar las obras, aunque las obras pueden ejecutarse hasta 6 meses antes de la concesión de la licencia.</t>
  </si>
  <si>
    <t>Cuando se produce el cambio de titularidad de un negocio, la actividad debe comenzar dentro de los 6 meses previos al cambio de titularidad.</t>
  </si>
  <si>
    <t>El IAE grava el ejercicio de actividades empresariales, y deben darse de alta, aunque se encuentran exentos del IAE, entre otras:</t>
  </si>
  <si>
    <t>Las sociedades cuyo importe neto de la cifra de negocios sea inferior a 100 000 €.</t>
  </si>
  <si>
    <t>Las personas físicas (el autónomo).</t>
  </si>
  <si>
    <t>Los sujetos pasivos que inicien el ejercicio de su actividad en territorio español, durante los tres primeros periodos impositivos de este impuesto.</t>
  </si>
  <si>
    <t>TEMA 12</t>
  </si>
  <si>
    <t>TEMA 13</t>
  </si>
  <si>
    <t>PEC-1</t>
  </si>
  <si>
    <t>PEC-2</t>
  </si>
  <si>
    <t>PEC-3</t>
  </si>
  <si>
    <t>Un sujeto pasivo:</t>
  </si>
  <si>
    <t>Es la persona física o jurídica sobre la que recae la obligación tributaria principal, es decir, la que soporta económicamente el pago del impuesto.</t>
  </si>
  <si>
    <t>Es la persona física o jurídica sobre la que recae la obligación de desarrollar los trámites tributarios.</t>
  </si>
  <si>
    <t>Es la persona física o jurídica sobre la que recaen las obligaciones formales asociadas al tributo.</t>
  </si>
  <si>
    <t>Las Administraciones autonómicas, en la mayoría de los casos, son responsables de la Gestión de los siguientes tributos:</t>
  </si>
  <si>
    <t>Impuesto sobre Transmisiones Patrimoniales y Actos Jurídicos Documentales.</t>
  </si>
  <si>
    <t>Impuesto sobre Sucesiones y Donaciones.</t>
  </si>
  <si>
    <t>Impuestos específicos que las Administraciones autonómicas pudieran crear.</t>
  </si>
  <si>
    <t>El sujeto pasivo:</t>
  </si>
  <si>
    <t>Es la persona física o jurídica sobre la que recae la obligación de desarrollar los trámites tributarios, las obligaciones formales asociadas al tributo.</t>
  </si>
  <si>
    <t>El la persona física o jurídica sobre la que recae la obligación tributaria, es decir la que soporta económicamente el pago del impuesto.</t>
  </si>
  <si>
    <t>Es la persona que está exenta del pago del tributo.</t>
  </si>
  <si>
    <t>Los tributos, fundamentalmente los impuestos, se configuran con los siguientes elementos básicos:</t>
  </si>
  <si>
    <t>Hecho imponible y exención.</t>
  </si>
  <si>
    <t>Base imponible, tipo impositivo y Devengo y exigibilidad.</t>
  </si>
  <si>
    <t>Sujeto pasivo y obligado tributario.</t>
  </si>
  <si>
    <t>Los tributos más significativos de los que se responsabilizan las corporaciones locales son:</t>
  </si>
  <si>
    <t>El IAE y el IBI.</t>
  </si>
  <si>
    <t>El Impuesto sobre vehículos de tracción mecánica.</t>
  </si>
  <si>
    <t>El Impuesto sobre instalaciones y obras.</t>
  </si>
  <si>
    <t>El tipo impositivo es:</t>
  </si>
  <si>
    <t>Es el resultante de las minoraciones que la normativa de cada tributo permita aplicar sobre las sucesivas cuotas íntegra y cuota líquida tributarias.</t>
  </si>
  <si>
    <t>Es la cifra, coeficiente o porcentaje que, en cada impuesto, se aplica a la base liquidable para hallar la cuota íntegra tributaria.</t>
  </si>
  <si>
    <t>Es el resultado de restar las posibles deducciones a la base imponible.</t>
  </si>
  <si>
    <t>Es la estimación y cuantificación económica del hecho imponible.</t>
  </si>
  <si>
    <t>Son afirmaciones relativas al Impuesto:</t>
  </si>
  <si>
    <t>Tributo cuyo pago no genera derecho a ninguna contraprestación específica.</t>
  </si>
  <si>
    <t>Existen dos tipos: los directos, y los indirectos.</t>
  </si>
  <si>
    <t>Los impuestos indirectos gravan las manifestaciones indirectas de la capacidad económica de aquel, el consumo (IVA, impuestos especiales).</t>
  </si>
  <si>
    <t>Todas las respuestas son correctas.</t>
  </si>
  <si>
    <t>Los intereses de demora:</t>
  </si>
  <si>
    <t>Se aplican como consecuencia de un retraso en el cumplimiento de una obligación tributaria.</t>
  </si>
  <si>
    <t>Resultan de aplicar un tipo a la cuota tributaria indebidamente satisfecha.</t>
  </si>
  <si>
    <t>Se regulan en el art. 58 de la Ley General Tributaria.</t>
  </si>
  <si>
    <t>El empresario individual tributa por:</t>
  </si>
  <si>
    <t>El Impuesto de Actividad Empresarial.</t>
  </si>
  <si>
    <t>Los casos más comunes de retenciones derivadas de la obligación de retener un porcentaje de las rentas que abonen a otras personas físicas o jurídicas en el ejercicio de su actividad, son:</t>
  </si>
  <si>
    <t>Rendimientos del trabajo –sueldos y salarios- de los que se aplica una retención con un tipo variable, en función de las condiciones de la empresa.</t>
  </si>
  <si>
    <t>Rendimientos de actividades profesionales, de los que se retiene un % de la minuta abonada.</t>
  </si>
  <si>
    <t>Rendimientos del capital inmobiliario, de los que se retiene un 7%.</t>
  </si>
  <si>
    <t>En relación al Impuesto sobre el Incremento del Valor de los Terrenos de Naturaleza Urbana (IIVTNU):</t>
  </si>
  <si>
    <t>Grava los incrementos de valor de terrenos urbanos, puestos de manifiesto con motivo de la transmisión de propiedad u otro derecho real, o constitución de algún otro derecho relativo al terreno.</t>
  </si>
  <si>
    <t>La base imponible representada por el incremento de valor se le aplica un tipo impositivo determinado por la Comunidad Autónoma.</t>
  </si>
  <si>
    <t>El hecho imponible reside en la realización de cualquier tipo de construcción, instalación u obra en el terreno Urbano, para la que se requiera una licencia municipal.</t>
  </si>
  <si>
    <t>Las empresas, de forma circunstancial, pueden resultar sujetos pasivos de otras obligaciones tributarias relevantes, como:</t>
  </si>
  <si>
    <t>Impuestos sobre Vehículos de tracción Mecánica (IIVTM).</t>
  </si>
  <si>
    <t>Impuesto sobre Bienes Intangibles (IBI).</t>
  </si>
  <si>
    <t>Impuestos sobre Sociedades mercantiles (ISM).</t>
  </si>
  <si>
    <t>Los tributos los podemos clasificar en:</t>
  </si>
  <si>
    <t>Impuestos, tasas y contribuciones especiales.</t>
  </si>
  <si>
    <t>Impuesto de la renta (IRPF) e Impuesto de sociedades (IS)</t>
  </si>
  <si>
    <t>Los tributos son las contribuciones que realizan algunos ciudadanos a cambio de una contraprestación específica.</t>
  </si>
  <si>
    <t>El impuesto de sociedades (IS)</t>
  </si>
  <si>
    <t>Es un impuesto directo.</t>
  </si>
  <si>
    <t>Es un impuesto indirecto.</t>
  </si>
  <si>
    <t>Es un impuesto que se exige a las personas físicas y jurídicas.</t>
  </si>
  <si>
    <t>Su hecho imponible es el consumo de una serie materias primas para el desarrollo de su actividad.</t>
  </si>
  <si>
    <t>En relación con el Impuesto de Actividades Económicas:</t>
  </si>
  <si>
    <t>Todos los empresarios individuales y sociedades que presenten un importe neto anual de cifra de negocios inferior a 100.000 euros, están exentos del pago del impuesto.</t>
  </si>
  <si>
    <t>Todos los sujetos pasivos habrán de realizar eventualmente una serie de declaraciones (de alta, modificación y baja) y comunicaciones que se realizan por medio de los modelos 840 y 848 de la Agencia Tributaria.</t>
  </si>
  <si>
    <t>¿Cuál de los siguientes aspectos no es imprescindible para que el proyecto empresarial se mantenga en el tiempo?</t>
  </si>
  <si>
    <t>Que el emprendedor se adapte a los cambios.</t>
  </si>
  <si>
    <t>Que el emprendedor sea flexible.</t>
  </si>
  <si>
    <t>Que el emprendedor sea capaz de mimetizarse con el entorno.</t>
  </si>
  <si>
    <t>¿Qué cualidad del emprendedor hace que esté siempre dispuesto y preparado para adaptarse, aprender cosas nuevas y cambiar sus formas y métodos de trabajo?:</t>
  </si>
  <si>
    <t>La flexibilidad.</t>
  </si>
  <si>
    <t>El optimismo.</t>
  </si>
  <si>
    <t>La tolerancia a la frustración.</t>
  </si>
  <si>
    <t>La valentía.</t>
  </si>
  <si>
    <t>¿Cómo se denomina la capacidad para trabajar en estrecha colaboración con otros, compartiendo objetivos y métodos de actuación y sabiendo delegar?:</t>
  </si>
  <si>
    <t>Solidaridad.</t>
  </si>
  <si>
    <t>Liderazgo.</t>
  </si>
  <si>
    <t>Cuál de las siguientes no es una cualidad propia de un emprendedor:</t>
  </si>
  <si>
    <t>Variabilidad.</t>
  </si>
  <si>
    <t>¿Cuál de las siguientes no es una capacidad que deba desarrollar un emprendedor?</t>
  </si>
  <si>
    <t>Saber rodearse de las personas adecuadas.</t>
  </si>
  <si>
    <t>Todas las restantes respuestas son correctas.</t>
  </si>
  <si>
    <t>Poner siempre por encima los objetivos de la empresa de los objetivos personales.</t>
  </si>
  <si>
    <t>Conocer el sector y la actividad específica.</t>
  </si>
  <si>
    <t>Cuál de las siguientes no es una habilidad social propia de un emprendedor:</t>
  </si>
  <si>
    <t>Ambición.</t>
  </si>
  <si>
    <t>¿Cómo se denomina la habilidad del emprendedor que supone influir y motivar a los demás, consiguiendo implicarlos en la realización de proyectos?:</t>
  </si>
  <si>
    <t>¿Cómo se denominan los principios considerados válidos dentro de una organización y que son asumidos y desarrollados por todos sus integrantes?:</t>
  </si>
  <si>
    <t>La cultura empresarial.</t>
  </si>
  <si>
    <t>¿Cómo se define la visión como elemento de la cultura corporativa?:</t>
  </si>
  <si>
    <t>Es una imagen de futuro deseado que la empresa busca crear mediante sus esfuerzos y acciones.</t>
  </si>
  <si>
    <t>Como una serie de principios considerados validos dentro de una organización y que son asumidos y desarrollados por todos sus integrantes.</t>
  </si>
  <si>
    <t>Es la proyección que una organización hace de su identidad, sus valores y su estrategia empresarial, facilitando la cohesión interna de sus miembros y su adaptación externa.</t>
  </si>
  <si>
    <t>Es la razón de existir de una empresa. Representa su identidad y personalidad en el momento presente.</t>
  </si>
  <si>
    <t>¿Cuál de los siguientes agentes económicos forma parte del microentorno de una empresa?:</t>
  </si>
  <si>
    <t>Intermediarios.</t>
  </si>
  <si>
    <t>Competidores.</t>
  </si>
  <si>
    <t>Proveedores y clientes.</t>
  </si>
  <si>
    <t>Qué tipo de empresas pertenecen aquellas cuyo número de trabajadores está comprendido entre 10 y 50?:</t>
  </si>
  <si>
    <t>Mixtas.</t>
  </si>
  <si>
    <t>Pymes.</t>
  </si>
  <si>
    <t>Medianas.</t>
  </si>
  <si>
    <t>Microempresas.</t>
  </si>
  <si>
    <t>¿Qué es un vivero de empresas?</t>
  </si>
  <si>
    <t>Un espacio físico especialmente diseñado para acoger empresas de alta innovación.</t>
  </si>
  <si>
    <t>Un espacio físico especialmente diseñado para acoger empresas.</t>
  </si>
  <si>
    <t>Un espacio virtual especialmente diseñado para acoger empresas.</t>
  </si>
  <si>
    <t>Un espacio físico especialmente diseñado para acoger empresas de nueva</t>
  </si>
  <si>
    <t>¿Cómo se denomina a cualquier bien o servicio o combinación de ambos, que se oferta con la finalidad de satisfacer los deseos del consumidor?:</t>
  </si>
  <si>
    <t>Producto sustitutivo.</t>
  </si>
  <si>
    <t>Producto complementario.</t>
  </si>
  <si>
    <t>Producto demandado.</t>
  </si>
  <si>
    <t>Producto.</t>
  </si>
  <si>
    <t>¿Cómo se denomina a cualquier lugar o medio a través del cual se realiza un intercambio económico?:</t>
  </si>
  <si>
    <t>Mercado potencial.</t>
  </si>
  <si>
    <t>Mercado alternativo.</t>
  </si>
  <si>
    <t>Mercado.</t>
  </si>
  <si>
    <t>Mercado de demanda.</t>
  </si>
  <si>
    <t>Si abres un diccionario eliges la primera palabra que encuentres ¿qué técnica estarás utilizando?:</t>
  </si>
  <si>
    <t>La hora de realizar un estudio de mercado, ¿qué tipo de investigación nos interesa cuando queremos saber qué sensaciones despierta nuestro bien o servicio y las motivaciones que impulsan a una persona a aceptar o rechazar nuestra oferta?:</t>
  </si>
  <si>
    <t>Investigación estadística.</t>
  </si>
  <si>
    <t>Investigación cualitativa.</t>
  </si>
  <si>
    <t>Investigación cuantitativa.</t>
  </si>
  <si>
    <t>Investigación de campo.</t>
  </si>
  <si>
    <t>¿Cómo se denomina al nombre, signo o diseño que sirve para identificar el producto?:</t>
  </si>
  <si>
    <t>Envase.</t>
  </si>
  <si>
    <t>Diseño.</t>
  </si>
  <si>
    <t>Marca.</t>
  </si>
  <si>
    <t>¿Cuál de las siguientes informaciones no aparece en las columnas del listado de atributos?:</t>
  </si>
  <si>
    <t>Los atributos.</t>
  </si>
  <si>
    <t>Las nuevas ideas que permiten mejorar los atributos.</t>
  </si>
  <si>
    <t>Los componentes del bien o servicio objeto de estudio.</t>
  </si>
  <si>
    <t>La probabilidad de que el atributo ocurra.</t>
  </si>
  <si>
    <t>¿Cuál de las siguientes no es un criterio para estimar el coste de un producto?:</t>
  </si>
  <si>
    <t>Basado en los costes.</t>
  </si>
  <si>
    <t>Basado en la percepción del comprador.</t>
  </si>
  <si>
    <t>Basado en la competencia.</t>
  </si>
  <si>
    <t>¿Cómo se denomina la fase de la vida del producto en el que las ventas avanzan de manera rápida y los beneficios se incrementan?:</t>
  </si>
  <si>
    <t>Crecimiento</t>
  </si>
  <si>
    <t>¿Cuál de las siguientes herramientas no forma parte de las 4Ps del Marketing Mix?:</t>
  </si>
  <si>
    <t>Publicidad.</t>
  </si>
  <si>
    <t>Precio.</t>
  </si>
  <si>
    <t>Distribución.</t>
  </si>
  <si>
    <t>¿Cómo se denomina la estrategia de precios basada en precios altos que se fijan normalmente al introducir un producto para obtener unos beneficios rápidos, aun a costa de atraer a la competencia? :</t>
  </si>
  <si>
    <t>Precios promocionales</t>
  </si>
  <si>
    <t>Todas las anteriores son falsas.</t>
  </si>
  <si>
    <t>¿Cómo se denomina el tipo de mercado en el cual existen pocos compradores y pocos vendedores?:</t>
  </si>
  <si>
    <t>Oligopolio bilateral.</t>
  </si>
  <si>
    <t>Monopsonio.</t>
  </si>
  <si>
    <t>¿Cómo se denomina la técnica de promoción que consiste en un conjunto de actividades de corta duración tendentes a aumentar la efectividad del esfuerzo comercial?:</t>
  </si>
  <si>
    <t>Marketing.</t>
  </si>
  <si>
    <t>Promoción de ventas.</t>
  </si>
  <si>
    <t>En la sociedad colectiva:</t>
  </si>
  <si>
    <t>Los socios colectivos e industriales deben darse de alta en el Régimen general de la S.S</t>
  </si>
  <si>
    <t>Los socios colectivos no participan en la gestión de la sociedad.</t>
  </si>
  <si>
    <t>El nombre debe incluir las siglas «S. en C.» o «S. Com.».</t>
  </si>
  <si>
    <t>Los primeros factores que debemos considerar para escoger la forma jurídica de una nueva empresa son:</t>
  </si>
  <si>
    <t>El capital mínimo necesario para constituir la empresa en relación a nuestra disponibilidad financiera.</t>
  </si>
  <si>
    <t>La responsabilidad de los socios en relación con las deudas u obligaciones generadas por la empresa.</t>
  </si>
  <si>
    <t>La forma y cuantía del pago de impuestos de cada forma jurídica y su adecuación a nuestros intereses.</t>
  </si>
  <si>
    <t>La sociedad limitada necesita para su constitución:</t>
  </si>
  <si>
    <t>3.000 euros en acciones totalmente desembolsadas.</t>
  </si>
  <si>
    <t>60.000 euros en acciones, desembolsado un 25%.</t>
  </si>
  <si>
    <t>3.000 euros en participaciones nominales e individuales y totalmente desembolsadas</t>
  </si>
  <si>
    <t>La Sociedad Limitada Nueva Empresa:</t>
  </si>
  <si>
    <t>Tiene un mínimo de 5 socios.</t>
  </si>
  <si>
    <t>El capital social está dividido en participaciones.</t>
  </si>
  <si>
    <t>Tiene un capital máximo de 3012 €. </t>
  </si>
  <si>
    <t> Todas las anteriores son falsas.</t>
  </si>
  <si>
    <t>En las sociedades de responsabilidad limitada, o sociedades limitadas:</t>
  </si>
  <si>
    <t>El nombre es libre, añadiendo al final Sociedad Limitada (o las siglas SL) o Sociedad de Responsabilidad Limitada (o las siglas SRL).</t>
  </si>
  <si>
    <t>La venta de participaciones sólo es libre entre los socios y entre el socio y sus familiares hasta segundo grado por consanguinidad o afinidad.</t>
  </si>
  <si>
    <t>Para la venta a terceras personas, ajenas a la empresa, es necesario comunicarlo al resto de los socios cuyo consentimiento siempre es preceptivo.</t>
  </si>
  <si>
    <t>. En cuanto a la protección jurídica de los distintos soportes intelectuales de las ideas del emprendedor:</t>
  </si>
  <si>
    <t>La patente se solicita ante el Registro de Patentes y su duración es de treinta años improrrogables.</t>
  </si>
  <si>
    <t>La solicitud de registro del nombre comercial se presenta ante el órgano competente de la comunidad autónoma donde el solicitante tenga su domicilio y se otorga por veinte años, pudiéndose renovar por periodos sucesivos de diez años.</t>
  </si>
  <si>
    <t>El registro de una patente, marca o nombre comercial confiere a su titular el derecho exclusivo de utilización y, en el caso de que otro la usara, podrá pedir una indemnización por daños y perjuicios.</t>
  </si>
  <si>
    <t>. El crecimiento de las organizaciones propicia la aparición de estructuras organizativas más complejas y flexibles:</t>
  </si>
  <si>
    <t>El just in time (JIT) o justo a tiempo: cuyo objetivo es proporcionar la máxima satisfacción al cliente, al tiempo que se minimiza el coste total. Para lograr esto último, la empresa se centra en eliminar todo lo «innecesario» en cada una de las actividades internas de la organización y en sus relaciones con el exterior.</t>
  </si>
  <si>
    <t>La estructura en trébol permite a la empresa adaptarse con mucha facilidad a los cambios que se produzcan en su entorno competitivo.</t>
  </si>
  <si>
    <t>El modelo en red o en estrella trata de resolver los inconvenientes de la estructura en trébol potenciando las relaciones contractuales, la cooperación y las alianzas entre todas las empresas y particulares incluidos en cualquier hoja del trébol, para que se sientan partícipes del proyecto empresarial y, por tanto, intensifiquen su apoyo al mismo.</t>
  </si>
  <si>
    <t>El coste de un trabajador se halla sumando su salario bruto y las horas extra que realiza.</t>
  </si>
  <si>
    <t>La base de cotización de contingencias comunes se calcula sumando las horas extra a la base de cotización de contingencias profesionales.</t>
  </si>
  <si>
    <t>Los socios colectivos deben darse de alta en el Régimen Especial de Autónomos.</t>
  </si>
  <si>
    <t>En relación con la gestión de las relaciones laborales en la empresa:</t>
  </si>
  <si>
    <t>En relación con el proceso de configuración de la empresa como organización:</t>
  </si>
  <si>
    <t>El primer paso consiste en el diseño organizativo, que conducirá a la fase de planificación.</t>
  </si>
  <si>
    <t>La última fase es la de ejecución, en la que la organización diseñada se pone en marcha para alcanzar los objetivos marcados en la fase de planificación.</t>
  </si>
  <si>
    <t>Gracias al desarrollo cíclico de las fases de planificación, ejecución y control, las empresas pueden aprender de sus errores y mejorar continuamente.</t>
  </si>
  <si>
    <t>¿Qué otros nombres recibe la contabilidad analítica?:</t>
  </si>
  <si>
    <t>Las respuestas b y c son correctas.</t>
  </si>
  <si>
    <t>La calidad total es el conjunto de estrategias diseñadas para:</t>
  </si>
  <si>
    <t>Optimizar los recursos.</t>
  </si>
  <si>
    <t>Reducir los costes.</t>
  </si>
  <si>
    <t>Mejorar los resultados de forma continuada</t>
  </si>
  <si>
    <t>¿Cómo se denominan los costes que varían en función del volumen de producción?:</t>
  </si>
  <si>
    <t>Costes fijos.</t>
  </si>
  <si>
    <t>¿Qué certificado de calidad otorga la empresa AENOR?:</t>
  </si>
  <si>
    <t>ISO 14000.</t>
  </si>
  <si>
    <t>¿Cómo se denomina el volumen de existencias que se tienen el almacén, por encima de los que normalmente se espera necesitar, para hacer frente a las fluctuaciones de la demanda o a retrasos imprevistos en la entrega de los pedidos?:</t>
  </si>
  <si>
    <t>Punto de pedido.</t>
  </si>
  <si>
    <t>Pedido óptimo.</t>
  </si>
  <si>
    <t>Stock de seguridad.</t>
  </si>
  <si>
    <t>Rotura de stock.</t>
  </si>
  <si>
    <t>¿Cuál de las siguientes no es una decisión a tomar en el diseño de bienes y servicios?:</t>
  </si>
  <si>
    <t>Diseño del producto.</t>
  </si>
  <si>
    <t>Materiales a utilizar.</t>
  </si>
  <si>
    <t>Características del producto.</t>
  </si>
  <si>
    <t>Tiempos y tareas de cada trabajador.</t>
  </si>
  <si>
    <t>¿Cómo se denominan los costes que permanecen constantes ante variaciones del volumen de producción dentro de un periodo de tiempo determinado?:</t>
  </si>
  <si>
    <t>Costes explícitos</t>
  </si>
  <si>
    <t>Costes históricos.</t>
  </si>
  <si>
    <t>¿Cómo se denomina el documento contable que se realiza con el objetivo de conocer el resultado económico del ejercicio y que se obtiene hallando la diferencia entre los ingresos y los gastos del período?:</t>
  </si>
  <si>
    <t>¿Dónde obliga el PGC a presentar el Balance y el resto de las Cuentas Anuales?:</t>
  </si>
  <si>
    <t>En el Registro Mercantil.</t>
  </si>
  <si>
    <t>En Hacienda.</t>
  </si>
  <si>
    <t>En la Agencia Tributaria.</t>
  </si>
  <si>
    <t>No obligan a presentarlas en ninguna parte.</t>
  </si>
  <si>
    <t>¿Cómo se denomina la masa patrimonial que recoge el conjunto de recursos financieros puestos a disposición de la empresa por terceros, dando lugar al nacimiento de unas obligaciones de pago o deudas?</t>
  </si>
  <si>
    <t>Pasivo</t>
  </si>
  <si>
    <t>Capital social.</t>
  </si>
  <si>
    <t>Patrimonio Neto.</t>
  </si>
  <si>
    <t>¿Cómo se denominan las situaciones jurídicas, por las cuales la empresa ha adquirido una serie de compromisos que la convierten en deudora de otra persona o entidad?:</t>
  </si>
  <si>
    <t>Bienes.</t>
  </si>
  <si>
    <t>Obligaciones.</t>
  </si>
  <si>
    <t>Derechos.</t>
  </si>
  <si>
    <t>Deberes.</t>
  </si>
  <si>
    <t>¿Cómo se denomina la pérdida de valor del inmovilizado, por su uso u obsolescencia?:</t>
  </si>
  <si>
    <t>Gasto.</t>
  </si>
  <si>
    <t>Coste.</t>
  </si>
  <si>
    <t>El crédito de los proveedores:</t>
  </si>
  <si>
    <t>Se produce cuando las empresas no pagan a sus proveedores al contado, sino que con un aplazamiento del pago de 30, 60, 90 o 120 días.</t>
  </si>
  <si>
    <t>Permite a la empresa disponer de los recursos financieros, pudiendo invertirlos para obtener una rentabilidad adicional.</t>
  </si>
  <si>
    <t>Permite a la empresa comprar a los proveedores incluso cuando no tiene liquidez.</t>
  </si>
  <si>
    <t>En relación con la financiación, señala la respuesta correcta:</t>
  </si>
  <si>
    <t>La financiación en la empresa consiste en la adquisición de los fondos necesarios para el desarrollo de la actividad productiva e inversora.</t>
  </si>
  <si>
    <t>Las fuentes de financiación se clasifican en función de su permanencia en la empresa, de su titularidad y de su procedencia.</t>
  </si>
  <si>
    <t>Las fuentes de financiación, en función de su titularidad, se dividen en fuentes de financiación propias y fuentes de financiación ajena.</t>
  </si>
  <si>
    <t>Señala la respuesta correcta en relación a un préstamo:</t>
  </si>
  <si>
    <t>El capital inicial es la cantidad que la entidad financiera pone a disposición de la empresa.</t>
  </si>
  <si>
    <t>El tipo de interés es el precio que se paga al banco por el dinero prestado.</t>
  </si>
  <si>
    <t>El interés es lo que se paga por cada unidad monetaria prestada.</t>
  </si>
  <si>
    <t>La emisión de deuda:</t>
  </si>
  <si>
    <t>Es un instrumento de financiación de escasa utilización por parte de las pymes y empresas de nueva creación. Se utiliza fundamentalmente por el sector público (bonos y obligaciones del Estado) y las grandes empresas.</t>
  </si>
  <si>
    <t>Consiste en la emisión de unos títulos o empréstitos que la empresa vende al público a un precio determinado, con el compromiso de devolver, en un plazo determinado, ese dinero más la suma de los intereses correspondientes.</t>
  </si>
  <si>
    <t>En realidad, son préstamos divididos o fraccionados en múltiples títulos de crédito y repartidos entre multitud de acreedores.</t>
  </si>
  <si>
    <t>La financiación propia de la empresa es aquella que:</t>
  </si>
  <si>
    <t>Se obtiene de las entidades financieras.</t>
  </si>
  <si>
    <t>Es aportada por los propietarios de la empresa.</t>
  </si>
  <si>
    <t>Tiene un coste para la empresa, los intereses que tiene que pagar.</t>
  </si>
  <si>
    <t>Proviene del Estado.</t>
  </si>
  <si>
    <t>Una operación por la que se obtiene anticipadamente el importe de una letra de cambio</t>
  </si>
  <si>
    <t>Es la diferencia entre el activo corriente y el pasivo corriente.</t>
  </si>
  <si>
    <t>Entre los elementos de la estructura económica y financiera:</t>
  </si>
  <si>
    <t>El activo indica el valor de los bienes y derechos de la empresa.</t>
  </si>
  <si>
    <t>El pasivo y el neto reflejan cómo se ha financiado la adquisición de esos bienes y derechos.</t>
  </si>
  <si>
    <t>Por ello, la suma del activo total debe arrojar una cantidad igual a la de la suma del pasivo exigible y el patrimonio neto.</t>
  </si>
  <si>
    <t>En ese caso no tendrá problemas a la hora de pagar sus deudas a corto plazo, ya que, en el mismo período de tiempo, puede obtener recursos financieros suficientes con cargo al activo corriente.</t>
  </si>
  <si>
    <t>La rentabilidad económica indica el rendimiento que obtiene la empresa por cada unidad monetaria introducida en el proceso de producción.</t>
  </si>
  <si>
    <t>La rentabilidad financiera indica a los socios el beneficio obtenido por cada unidad monetaria que ellos han invertido.</t>
  </si>
  <si>
    <t>Las dos anteriores son verdaderas.</t>
  </si>
  <si>
    <t>Ninguna de las anteriores es verdadera.</t>
  </si>
  <si>
    <t>En relación con la amortización de las inversiones:</t>
  </si>
  <si>
    <t>La empresa debe dotar un fondo de amortización para cada inmovilizado para evitar una eventual falta de liquidez o incapacidad económica para reponer el inmovilizado</t>
  </si>
  <si>
    <t>La amortización consiste en reflejar la pérdida de valor que anualmente sufre el inmovilizado, por su uso o por su obsolescencia.</t>
  </si>
  <si>
    <t>Esos fondos se contabilizan como pérdida y se acumulan, año tras año, en una cuenta denominada amortización acumulada del inmovilizado, que se representa en el activo no corriente del balance con signo negativo, ya que resta valor al inmovilizado.</t>
  </si>
  <si>
    <t>El período medio de cobro: es el tiempo medio que se tarda desde que se vende el producto hasta que se cobra.</t>
  </si>
  <si>
    <t>Indica cuál de las siguientes afirmaciones es correcta:</t>
  </si>
  <si>
    <t>El pasivo y el neto reflejan cómo se han financiado esos bienes y derechos del activo.</t>
  </si>
  <si>
    <t>Una empresa en suspensión de pagos no puede hacer frente a sus deudas a corto plazo.</t>
  </si>
  <si>
    <t>Solvencia es la capacidad de la empresa para hacer frente a sus deudas a corto y a largo plazo.</t>
  </si>
  <si>
    <t>La Cuenta de Pérdidas y Ganancias recoge y expresa:</t>
  </si>
  <si>
    <t>Los gastos y los ingresos de la empresa.</t>
  </si>
  <si>
    <t>Los beneficios o pérdidas de la empresa.</t>
  </si>
  <si>
    <t>Integra los Periodos Medios de Aprovisionamiento, Producción, Venta, Cobro y Pago.</t>
  </si>
  <si>
    <t>Las dos anteriores son correctas.</t>
  </si>
  <si>
    <t>PEC-4</t>
  </si>
  <si>
    <t>El otorgamiento de escritura pública</t>
  </si>
  <si>
    <t>La solicitud de certificación negativa del nombre social:</t>
  </si>
  <si>
    <t>Se tramita en el Registro Mercantil Central (las cooperativas, en el Ministerio de Empleo y Seguridad Social).</t>
  </si>
  <si>
    <t>Se realiza por medio de impreso oficial en el que hay que indicar cinco posibles nombres para la sociedad, por orden de preferencia.</t>
  </si>
  <si>
    <t>Una vez recibida la sociedad cuenta con 3 meses para realizar la Escritura pública de constitución, y con 6 meses para inscribirse con el nombre obtenido en el Registro Mercantil.</t>
  </si>
  <si>
    <t xml:space="preserve"> Los Trámites en las Delegaciones estatales de Hacienda antes del inicio de la actividad son:</t>
  </si>
  <si>
    <t>Solicitud del NIF.</t>
  </si>
  <si>
    <t>Alta en el Impuesto de Actividades Económicas.</t>
  </si>
  <si>
    <t>.- La inscripción de las sociedades en el Registro Mercantil:</t>
  </si>
  <si>
    <t>Boletín Oficial de la Propiedad Industrial.</t>
  </si>
  <si>
    <t>.- Los estatutos de una sociedad:</t>
  </si>
  <si>
    <t>Los puntos de atención al emprendedor (PAE) tienen entre sus funciones</t>
  </si>
  <si>
    <t>Representan el conjunto de normas que han de regir la vida y funcionamiento orgánico de la sociedad.</t>
  </si>
  <si>
    <t>Han sido previamente aprobados por gran parte de los socios.</t>
  </si>
  <si>
    <t>Para todas las formas jurídicas de empresa, se establece un contenido idéntico.</t>
  </si>
  <si>
    <t>Informan y asesoran a los emprendedores</t>
  </si>
  <si>
    <t>Ayuntamiento</t>
  </si>
  <si>
    <t>Son afirmaciones relativas al obligado tributario</t>
  </si>
  <si>
    <t>Los tributos:</t>
  </si>
  <si>
    <t>Está constituido por la obligación principal y las obligaciones de realizar retenciones e ingresos a cuenta.</t>
  </si>
  <si>
    <t>Se denomina así al momento en el que se entiende realizado el hecho imponible y nace la obligación tributaria.</t>
  </si>
  <si>
    <t>Ninguna de las afirmaciones anteriores es relativa al obligado tributario.</t>
  </si>
  <si>
    <t>Son afirmaciones relativas al Impuesto</t>
  </si>
  <si>
    <t>Existen dos tipos: los directos, y los indirectos</t>
  </si>
  <si>
    <t>Son los instrumentos legales que tiene el Estado para recaudar fondos para el gasto público.</t>
  </si>
  <si>
    <t>Se crean obligatoriamente por normas con rango de ley.</t>
  </si>
  <si>
    <t>Se presentan en forma de impuestos, tasas y contribuciones especiales.</t>
  </si>
  <si>
    <t>Una tasa es:</t>
  </si>
  <si>
    <t>El IVA es un impuesto progresivo</t>
  </si>
  <si>
    <t>El IRPF grava la obtención de rentas por las sociedades mercantiles y de economía social.</t>
  </si>
  <si>
    <t>El IS es un impuesto de naturaleza indirecta.</t>
  </si>
  <si>
    <t>Un tributo cuyo pago no genera derecho a ninguna contraprestación específica.</t>
  </si>
  <si>
    <t>Un tributo cuya obligación de pago se genera por el disfrute de un servicio prestado por un órgano de una Administración pública.</t>
  </si>
  <si>
    <t>Tributo aplicable a los propietarios de patrimonio inmobiliario cuyo valor se ve incrementado por la realización de una obra pública.</t>
  </si>
  <si>
    <t>Tributo aplicable a los propietarios de patrimonio inmobiliario cuyo valor se ve reducido como consecuencia de una obro de servicio público.</t>
  </si>
  <si>
    <t>El IAE y el IBI</t>
  </si>
  <si>
    <t>¿Cómo se denomina el documento que expide la persona que recibe una determinada cantidad para que sirva al que paga como justificante de que realiza la entrega de dinero y que detalla todos los elementos básicos relativos al pago efectuado?:</t>
  </si>
  <si>
    <t>Matriz</t>
  </si>
  <si>
    <t>Pagaré</t>
  </si>
  <si>
    <t>Recibo</t>
  </si>
  <si>
    <t>Letra de Cambio</t>
  </si>
  <si>
    <t>El IVA es un impuesto que:</t>
  </si>
  <si>
    <t>Se aplica sobre los rendimientos del trabajo del empresario individual.</t>
  </si>
  <si>
    <t>Somete a tributación los resultados de las operaciones de la empresa.</t>
  </si>
  <si>
    <t>Grava las entregas de bienes y prestaciones de servicios efectuadas por empresas y profesionales, así como las importaciones de bienes.</t>
  </si>
  <si>
    <t>Grava el ejercicio en territorio nacional de actividades empresariales, profesionales y artísticas.</t>
  </si>
  <si>
    <t>Indica qué definición corresponde al concepto de hecho imponible</t>
  </si>
  <si>
    <t>Situación en la que incurre la empresa de la que se deriva una sanción tributaria.</t>
  </si>
  <si>
    <t>Supuesto de hecho del que nace una obligación tributaria.</t>
  </si>
  <si>
    <t>Estimación o cuantificación de un hecho económico.</t>
  </si>
  <si>
    <t>El IVA, únicamente</t>
  </si>
  <si>
    <t>¿Qué nombre recibe el compromiso que adquiere una tercera  persona de pagar un en caso de no hacerlo el librado?:</t>
  </si>
  <si>
    <t>En un cheque, el librado es:</t>
  </si>
  <si>
    <t>¿En qué documento se relacionan las mercancías correspondientes a un determinado pedido y lo acompañan con la finalidad de acreditar su entrega?:</t>
  </si>
  <si>
    <t>Albarán</t>
  </si>
  <si>
    <t>Factura</t>
  </si>
  <si>
    <t>Pedido</t>
  </si>
  <si>
    <t>Aval</t>
  </si>
  <si>
    <t>Endoso.</t>
  </si>
  <si>
    <t>Aceptación</t>
  </si>
  <si>
    <t>Protesto.</t>
  </si>
  <si>
    <t>La persona física que le debe dinero al librador y tiene la obligación de pagarle.</t>
  </si>
  <si>
    <t>La entidad financiera donde el librador tiene su cuenta corriente y se compromete a seguir las instrucciones de pago del librador.</t>
  </si>
  <si>
    <t>En el cheque el librado es la misma persona que el avalista.</t>
  </si>
  <si>
    <t>¿Cuántas copias se emitirán del albarán?:</t>
  </si>
  <si>
    <t>Cuatro copias.</t>
  </si>
  <si>
    <t>El original  y tres copias</t>
  </si>
  <si>
    <t>El original y dos  copias.</t>
  </si>
  <si>
    <t>El original y cuatro copias.</t>
  </si>
  <si>
    <t>¿Cómo se denomina la persona que emite el cheque y que ordena el pago?:</t>
  </si>
  <si>
    <t>¿Si una letra de cambio no es aceptada por el librado, se le puede exigir su cobro?:</t>
  </si>
  <si>
    <t>Qué debe hacer el tenedor de una letra de cambio cuando presentada al cobro no es pagada</t>
  </si>
  <si>
    <t>No puede hacer nada, el pago depende de la voluntad del librado.</t>
  </si>
  <si>
    <t>Debe esperar a que la situación del librado mejore para volver a presentarla al cobro.</t>
  </si>
  <si>
    <t>¿Cómo se denomina la entidad bancaria que recibe la orden de pago del cheque con los fondos que el librador tiene a su disposición</t>
  </si>
  <si>
    <t>El endoso de la letra de cambio supone:</t>
  </si>
  <si>
    <t>Que la responsabilidad de pagarla recae además de en el primer obligado, en su avalista.</t>
  </si>
  <si>
    <t>Que se cede el derecho de cobro a favor de una tercera persona.</t>
  </si>
  <si>
    <t>Que no se puede protestar la letra si no se paga en su vencimiento.</t>
  </si>
  <si>
    <t>Que la letra queda perjudicada, es decir, que se pierde por parte del tenedor algunos de sus derechos iniciales</t>
  </si>
  <si>
    <t>Librador</t>
  </si>
  <si>
    <t>Avalista</t>
  </si>
  <si>
    <t>Endosante</t>
  </si>
  <si>
    <t>Tenedor</t>
  </si>
  <si>
    <t>Librado</t>
  </si>
  <si>
    <t>Sí, ya que una vez confeccionada, su pago es de obligado cumplimiento.</t>
  </si>
  <si>
    <t>No, ya que para podérsela exigir es necesario que el librado la acepte.</t>
  </si>
  <si>
    <t>No, ya que la letra se le exige al tenedor, no al librado.</t>
  </si>
  <si>
    <t>Se le puede exigir, pero no en su totalidad ya que se han perdido algunos derechos.</t>
  </si>
  <si>
    <t>Debe protestar la letra con el objeto de exigir su cobro.</t>
  </si>
  <si>
    <t>Se puede optar por uno de los dos puntos anteriores.</t>
  </si>
  <si>
    <t>¿Cómo se denomina el título que contiene la promesa de pagar una determinada cantidad de dinero, por parte de la persona que lo emite a otra que se denomina beneficiario o tenedor?:</t>
  </si>
  <si>
    <t>Cheque</t>
  </si>
  <si>
    <t>Cheque cruzado.</t>
  </si>
  <si>
    <t>Pagaré.</t>
  </si>
  <si>
    <t>Cheque conformado.</t>
  </si>
  <si>
    <t>¿Cuál de los siguientes elementos no es necesario que aparezca en el pedido?:</t>
  </si>
  <si>
    <t>La descripción del producto.</t>
  </si>
  <si>
    <t>Condiciones del pedido.</t>
  </si>
  <si>
    <t>El IVA.</t>
  </si>
  <si>
    <t>Firma de la persona que emite el pedido.</t>
  </si>
  <si>
    <t>¿Cómo se denomina el documento mercantil por el que un banco o una entidad de crédito se obliga al pago de una determinada cantidad por orden de uno de sus clientes y con cargo a su cuenta bancaria?:</t>
  </si>
  <si>
    <t>Letra de cambio.</t>
  </si>
  <si>
    <t>¿Cómo se denomina la parte del recibo que está sujeta al talonario y que queda en poder de quien lo expide como elemento de control?:</t>
  </si>
  <si>
    <t>¿Cómo se denomina la petición de compra que un cliente hace a un proveedor para que este le suministre los bienes o servicios solicitados?:</t>
  </si>
  <si>
    <t>Matriz.</t>
  </si>
  <si>
    <t>Pedido.</t>
  </si>
  <si>
    <t>Factura.</t>
  </si>
  <si>
    <t>Recibo.</t>
  </si>
  <si>
    <t>Albarán.</t>
  </si>
  <si>
    <t>¿Qué instrumento de pago puede ser únicamente utilizado cuando el cliente tiene fondos depositados en alguna cuenta de la entidad bancaria?:</t>
  </si>
  <si>
    <t>¿Cuál de los siguientes elementos no es necesario que aparezca en el albarán?:</t>
  </si>
  <si>
    <t>Tarjeta de crédito.</t>
  </si>
  <si>
    <t>Tarjeta de débito.</t>
  </si>
  <si>
    <t>Tarjeta bancaria.</t>
  </si>
  <si>
    <t>Identificación de la mercancía.</t>
  </si>
  <si>
    <t>Condiciones de entrega.</t>
  </si>
  <si>
    <t>Firma de la persona que recibe la mercancía.</t>
  </si>
  <si>
    <t>¿Qué nombre recibe el primer tenedor de la letra de cambio?:</t>
  </si>
  <si>
    <t>¿Cómo se denomina la clausula por la que el tomador puede ceder la propiedad de la letra de cambio a otra persona transmitiendo así todos los derechos resultantes de la misma?:</t>
  </si>
  <si>
    <t>Tomador</t>
  </si>
  <si>
    <t>Protesto</t>
  </si>
  <si>
    <t>Endoso</t>
  </si>
  <si>
    <t>¿Cómo se denomina el documento legal expedido por el vendedor que acredita jurídicamente la compraventa de bienes o la prestación de servicios?:</t>
  </si>
  <si>
    <t>¿Cómo se denomina el acto en virtud del cual el librado se compromete al pago de la letra a su vencimiento?:</t>
  </si>
  <si>
    <t>¿Qué se consigue con una adecuada gestión administrativa en la empresa?:</t>
  </si>
  <si>
    <t>El cheque es un instrumento de pago que posee el siguiente tipo de vencimiento:</t>
  </si>
  <si>
    <t>A fecha fija.</t>
  </si>
  <si>
    <t>A un plazo contado desde la fecha.</t>
  </si>
  <si>
    <t>El cheque es pagadero a la vista, es decir, desde el momento en que el tenedor lo tiene en sus manos, lo puede presentar al cobro y el banco está obligado a pagarlo.</t>
  </si>
  <si>
    <t>El tenedor no lo puede cobrar hasta la fecha de vencimiento que aparece en el cheque.</t>
  </si>
  <si>
    <t>Mayor eficacia.</t>
  </si>
  <si>
    <t>Mayor eficiencia.</t>
  </si>
  <si>
    <t>Las respuestas a y b son correctas.</t>
  </si>
  <si>
    <t>10 años.</t>
  </si>
  <si>
    <t>6 años.</t>
  </si>
  <si>
    <t>5 años.</t>
  </si>
  <si>
    <t>15 años.</t>
  </si>
  <si>
    <t>¿Cuánto tiempo deberán conservar los empresarios las facturas correspondientes a bienes de inversión?:</t>
  </si>
  <si>
    <t>Identificación fiscal.</t>
  </si>
  <si>
    <t>Datos registrales.</t>
  </si>
  <si>
    <t>Nombre.</t>
  </si>
  <si>
    <t>¿Qué datos será necesario hacer constar en la factura únicamente cuando el emisor o el destinatario será una sociedad?: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</si>
</sst>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amily val="2"/>
    </font>
    <font>
      <sz val="16"/>
      <color theme="1"/>
      <name val="Tahoma"/>
      <family val="2"/>
    </font>
    <font>
      <b/>
      <sz val="11"/>
      <color theme="1"/>
      <name val="Calibri"/>
      <family val="2"/>
      <scheme val="minor"/>
    </font>
    <font>
      <sz val="12"/>
      <color rgb="FF000000"/>
      <name val="Helvetica"/>
    </font>
    <font>
      <sz val="9"/>
      <color theme="0"/>
      <name val="Calibri"/>
      <family val="2"/>
      <scheme val="minor"/>
    </font>
    <font>
      <b/>
      <sz val="11"/>
      <color rgb="FFFF0000"/>
      <name val="Calibri"/>
      <family val="2"/>
      <scheme val="minor"/>
    </font>
    <font>
      <i/>
      <sz val="11"/>
      <color theme="1"/>
      <name val="Calibri"/>
      <family val="2"/>
      <scheme val="minor"/>
    </font>
    <font>
      <sz val="20"/>
      <color rgb="FF000000"/>
      <name val="Helvetica"/>
    </font>
    <font>
      <sz val="36"/>
      <color rgb="FFFF0000"/>
      <name val="Calibri"/>
      <family val="2"/>
      <scheme val="minor"/>
    </font>
    <font>
      <sz val="12"/>
      <color theme="1"/>
      <name val="Arial"/>
      <family val="2"/>
    </font>
  </fonts>
  <fills count="10">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
      <patternFill patternType="solid">
        <fgColor theme="5" tint="0.59999389629810485"/>
        <bgColor indexed="65"/>
      </patternFill>
    </fill>
  </fills>
  <borders count="12">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style="hair">
        <color auto="1"/>
      </top>
      <bottom style="hair">
        <color auto="1"/>
      </bottom>
      <diagonal/>
    </border>
    <border>
      <left/>
      <right style="thin">
        <color auto="1"/>
      </right>
      <top/>
      <bottom style="hair">
        <color auto="1"/>
      </bottom>
      <diagonal/>
    </border>
  </borders>
  <cellStyleXfs count="295">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2" fillId="0" borderId="0">
      <alignment horizontal="center" vertical="center" wrapText="1"/>
    </xf>
    <xf numFmtId="0" fontId="1" fillId="0" borderId="0"/>
    <xf numFmtId="0" fontId="1" fillId="9" borderId="0" applyNumberFormat="0" applyBorder="0" applyAlignment="0" applyProtection="0"/>
    <xf numFmtId="0" fontId="12" fillId="0" borderId="0">
      <alignment horizontal="right" vertical="center" wrapText="1"/>
    </xf>
  </cellStyleXfs>
  <cellXfs count="53">
    <xf numFmtId="0" fontId="0" fillId="0" borderId="0" xfId="0"/>
    <xf numFmtId="0" fontId="7" fillId="0" borderId="0" xfId="0" applyFont="1" applyBorder="1" applyAlignment="1" applyProtection="1">
      <alignment horizontal="justify" vertical="center"/>
      <protection hidden="1"/>
    </xf>
    <xf numFmtId="0" fontId="0" fillId="0" borderId="0" xfId="0" applyFont="1" applyBorder="1" applyAlignment="1" applyProtection="1">
      <alignment horizontal="justify" vertical="center"/>
      <protection hidden="1"/>
    </xf>
    <xf numFmtId="0" fontId="0" fillId="0" borderId="0" xfId="0" applyFont="1" applyAlignment="1" applyProtection="1">
      <alignment horizontal="justify"/>
      <protection hidden="1"/>
    </xf>
    <xf numFmtId="0" fontId="0" fillId="0" borderId="0" xfId="0" applyFont="1" applyBorder="1" applyAlignment="1" applyProtection="1">
      <alignment horizontal="justify"/>
      <protection hidden="1"/>
    </xf>
    <xf numFmtId="0" fontId="16" fillId="4" borderId="4" xfId="0" applyFont="1" applyFill="1" applyBorder="1" applyAlignment="1">
      <alignment horizontal="justify" vertical="center"/>
    </xf>
    <xf numFmtId="0" fontId="0" fillId="4" borderId="0" xfId="0" applyFill="1" applyBorder="1" applyAlignment="1" applyProtection="1">
      <alignment horizontal="justify" vertical="center"/>
      <protection locked="0"/>
    </xf>
    <xf numFmtId="0" fontId="0" fillId="4" borderId="0" xfId="0" applyFill="1" applyBorder="1" applyAlignment="1" applyProtection="1">
      <alignment horizontal="justify" vertical="center"/>
      <protection hidden="1"/>
    </xf>
    <xf numFmtId="0" fontId="5" fillId="0" borderId="4" xfId="0" applyFont="1" applyBorder="1" applyAlignment="1" applyProtection="1">
      <alignment horizontal="justify" vertical="center"/>
      <protection hidden="1"/>
    </xf>
    <xf numFmtId="0" fontId="0" fillId="0" borderId="9" xfId="0" applyFill="1" applyBorder="1" applyAlignment="1" applyProtection="1">
      <alignment horizontal="justify" vertical="center"/>
      <protection locked="0"/>
    </xf>
    <xf numFmtId="0" fontId="0" fillId="0" borderId="0" xfId="0" applyFill="1" applyBorder="1" applyAlignment="1" applyProtection="1">
      <alignment horizontal="justify" vertical="center"/>
      <protection hidden="1"/>
    </xf>
    <xf numFmtId="0" fontId="0" fillId="0" borderId="4" xfId="0" applyFont="1" applyBorder="1" applyAlignment="1" applyProtection="1">
      <alignment horizontal="justify"/>
      <protection hidden="1"/>
    </xf>
    <xf numFmtId="0" fontId="0" fillId="0" borderId="0" xfId="0" applyFont="1" applyFill="1" applyBorder="1" applyAlignment="1" applyProtection="1">
      <alignment horizontal="justify"/>
      <protection hidden="1"/>
    </xf>
    <xf numFmtId="0" fontId="0" fillId="0" borderId="0" xfId="0" applyFill="1" applyAlignment="1" applyProtection="1">
      <alignment horizontal="justify"/>
      <protection hidden="1"/>
    </xf>
    <xf numFmtId="0" fontId="0" fillId="0" borderId="0" xfId="0" applyBorder="1" applyAlignment="1" applyProtection="1">
      <alignment horizontal="justify" vertical="center"/>
      <protection hidden="1"/>
    </xf>
    <xf numFmtId="0" fontId="0" fillId="0" borderId="0" xfId="0" applyBorder="1" applyAlignment="1" applyProtection="1">
      <alignment horizontal="justify"/>
      <protection hidden="1"/>
    </xf>
    <xf numFmtId="0" fontId="0" fillId="0" borderId="0" xfId="0" applyAlignment="1">
      <alignment horizontal="justify"/>
    </xf>
    <xf numFmtId="0" fontId="0" fillId="0" borderId="0" xfId="0" applyFont="1" applyAlignment="1" applyProtection="1">
      <alignment horizontal="justify" vertical="center"/>
      <protection hidden="1"/>
    </xf>
    <xf numFmtId="0" fontId="0" fillId="0" borderId="7" xfId="0" applyBorder="1" applyAlignment="1" applyProtection="1">
      <alignment horizontal="justify" vertical="center"/>
      <protection hidden="1"/>
    </xf>
    <xf numFmtId="0" fontId="0" fillId="7" borderId="2" xfId="0" applyFont="1" applyFill="1" applyBorder="1" applyAlignment="1" applyProtection="1">
      <alignment horizontal="justify" vertical="center"/>
      <protection hidden="1"/>
    </xf>
    <xf numFmtId="0" fontId="6" fillId="7" borderId="0" xfId="0" applyFont="1" applyFill="1" applyBorder="1" applyAlignment="1" applyProtection="1">
      <alignment horizontal="justify"/>
      <protection hidden="1"/>
    </xf>
    <xf numFmtId="0" fontId="0" fillId="4" borderId="10" xfId="0" applyFont="1" applyFill="1" applyBorder="1" applyAlignment="1" applyProtection="1">
      <alignment horizontal="justify"/>
      <protection hidden="1"/>
    </xf>
    <xf numFmtId="0" fontId="5" fillId="6" borderId="5" xfId="0" applyFont="1" applyFill="1" applyBorder="1" applyAlignment="1" applyProtection="1">
      <alignment horizontal="justify" vertical="center"/>
      <protection hidden="1"/>
    </xf>
    <xf numFmtId="0" fontId="0" fillId="4" borderId="0" xfId="0" applyFill="1" applyBorder="1" applyAlignment="1" applyProtection="1">
      <alignment horizontal="justify"/>
      <protection hidden="1"/>
    </xf>
    <xf numFmtId="0" fontId="0" fillId="0" borderId="11" xfId="0" applyFont="1" applyFill="1" applyBorder="1" applyAlignment="1" applyProtection="1">
      <alignment horizontal="justify"/>
      <protection hidden="1"/>
    </xf>
    <xf numFmtId="0" fontId="5" fillId="0" borderId="5" xfId="0" applyFont="1" applyFill="1" applyBorder="1" applyAlignment="1" applyProtection="1">
      <alignment horizontal="justify" vertical="center"/>
      <protection hidden="1"/>
    </xf>
    <xf numFmtId="0" fontId="0" fillId="0" borderId="0" xfId="0" applyFill="1" applyBorder="1" applyAlignment="1" applyProtection="1">
      <alignment horizontal="justify"/>
      <protection hidden="1"/>
    </xf>
    <xf numFmtId="0" fontId="0" fillId="2" borderId="5" xfId="0" applyFill="1" applyBorder="1" applyAlignment="1" applyProtection="1">
      <alignment horizontal="justify" vertical="center"/>
      <protection hidden="1"/>
    </xf>
    <xf numFmtId="0" fontId="0" fillId="3" borderId="5" xfId="0" applyFill="1" applyBorder="1" applyAlignment="1" applyProtection="1">
      <alignment horizontal="justify" vertical="center"/>
      <protection hidden="1"/>
    </xf>
    <xf numFmtId="0" fontId="7" fillId="0" borderId="0" xfId="0" applyFont="1" applyBorder="1" applyAlignment="1" applyProtection="1">
      <alignment horizontal="justify"/>
      <protection hidden="1"/>
    </xf>
    <xf numFmtId="0" fontId="0" fillId="0" borderId="5" xfId="0" applyFill="1" applyBorder="1" applyAlignment="1" applyProtection="1">
      <alignment horizontal="justify" vertical="center"/>
      <protection hidden="1"/>
    </xf>
    <xf numFmtId="0" fontId="5" fillId="5" borderId="0" xfId="0" applyFont="1" applyFill="1" applyBorder="1" applyAlignment="1" applyProtection="1">
      <alignment horizontal="justify"/>
      <protection hidden="1"/>
    </xf>
    <xf numFmtId="0" fontId="5" fillId="0" borderId="0" xfId="0" applyFont="1" applyBorder="1" applyAlignment="1" applyProtection="1">
      <alignment horizontal="justify"/>
      <protection hidden="1"/>
    </xf>
    <xf numFmtId="0" fontId="0" fillId="0" borderId="4" xfId="0" applyFont="1" applyFill="1" applyBorder="1" applyAlignment="1" applyProtection="1">
      <alignment horizontal="justify" vertical="center"/>
      <protection hidden="1"/>
    </xf>
    <xf numFmtId="0" fontId="0" fillId="0" borderId="0" xfId="0" applyFill="1" applyBorder="1" applyAlignment="1" applyProtection="1">
      <alignment horizontal="justify" vertical="center"/>
      <protection locked="0"/>
    </xf>
    <xf numFmtId="0" fontId="11" fillId="8" borderId="0" xfId="0" applyFont="1" applyFill="1" applyBorder="1" applyAlignment="1" applyProtection="1">
      <alignment horizontal="justify"/>
      <protection locked="0"/>
    </xf>
    <xf numFmtId="0" fontId="0" fillId="0" borderId="0" xfId="0" applyFill="1" applyBorder="1" applyAlignment="1" applyProtection="1">
      <alignment horizontal="justify"/>
      <protection locked="0"/>
    </xf>
    <xf numFmtId="0" fontId="2" fillId="0" borderId="5" xfId="0" applyFont="1" applyFill="1" applyBorder="1" applyAlignment="1" applyProtection="1">
      <alignment horizontal="justify" vertical="center"/>
      <protection hidden="1"/>
    </xf>
    <xf numFmtId="0" fontId="0" fillId="0" borderId="0" xfId="0" applyFill="1" applyBorder="1" applyAlignment="1">
      <alignment horizontal="justify"/>
    </xf>
    <xf numFmtId="0" fontId="8" fillId="2" borderId="5" xfId="0" applyFont="1" applyFill="1" applyBorder="1" applyAlignment="1" applyProtection="1">
      <alignment horizontal="justify" vertical="center"/>
      <protection hidden="1"/>
    </xf>
    <xf numFmtId="0" fontId="0" fillId="0" borderId="6" xfId="0" applyFont="1" applyFill="1" applyBorder="1" applyAlignment="1" applyProtection="1">
      <alignment horizontal="justify" vertical="center"/>
      <protection hidden="1"/>
    </xf>
    <xf numFmtId="0" fontId="0" fillId="0" borderId="7" xfId="0" applyFont="1" applyFill="1" applyBorder="1" applyAlignment="1" applyProtection="1">
      <alignment horizontal="justify"/>
      <protection hidden="1"/>
    </xf>
    <xf numFmtId="0" fontId="0" fillId="0" borderId="7" xfId="0" applyFill="1" applyBorder="1" applyAlignment="1" applyProtection="1">
      <alignment horizontal="justify" vertical="center"/>
      <protection hidden="1"/>
    </xf>
    <xf numFmtId="0" fontId="0" fillId="0" borderId="7" xfId="0" applyBorder="1" applyAlignment="1" applyProtection="1">
      <alignment horizontal="justify"/>
      <protection hidden="1"/>
    </xf>
    <xf numFmtId="0" fontId="9" fillId="0" borderId="8" xfId="0" applyFont="1" applyFill="1" applyBorder="1" applyAlignment="1" applyProtection="1">
      <alignment horizontal="justify"/>
      <protection hidden="1"/>
    </xf>
    <xf numFmtId="0" fontId="0" fillId="0" borderId="0" xfId="0" applyAlignment="1">
      <alignment horizontal="justify" vertical="center"/>
    </xf>
    <xf numFmtId="0" fontId="0" fillId="0" borderId="0" xfId="0" applyAlignment="1" applyProtection="1">
      <alignment horizontal="justify"/>
      <protection hidden="1"/>
    </xf>
    <xf numFmtId="0" fontId="15" fillId="0" borderId="0" xfId="0" applyFont="1" applyBorder="1" applyAlignment="1" applyProtection="1">
      <alignment horizontal="justify"/>
      <protection hidden="1"/>
    </xf>
    <xf numFmtId="0" fontId="12" fillId="0" borderId="0" xfId="294" applyAlignment="1">
      <alignment horizontal="justify" vertical="center"/>
    </xf>
    <xf numFmtId="0" fontId="6" fillId="7" borderId="1" xfId="0" applyFont="1" applyFill="1" applyBorder="1" applyAlignment="1" applyProtection="1">
      <alignment horizontal="justify"/>
      <protection hidden="1"/>
    </xf>
    <xf numFmtId="0" fontId="6" fillId="7" borderId="3" xfId="0" applyFont="1" applyFill="1" applyBorder="1" applyAlignment="1" applyProtection="1">
      <alignment horizontal="justify"/>
      <protection hidden="1"/>
    </xf>
    <xf numFmtId="0" fontId="0" fillId="0" borderId="0" xfId="0" applyFill="1" applyBorder="1" applyAlignment="1" applyProtection="1">
      <alignment horizontal="justify" vertical="center"/>
      <protection hidden="1"/>
    </xf>
    <xf numFmtId="3" fontId="0" fillId="0" borderId="11" xfId="0" applyNumberFormat="1" applyFont="1" applyFill="1" applyBorder="1" applyAlignment="1" applyProtection="1">
      <alignment horizontal="justify" vertical="center"/>
      <protection hidden="1"/>
    </xf>
  </cellXfs>
  <cellStyles count="295">
    <cellStyle name="40% - Énfasis2 2" xfId="293" xr:uid="{00000000-0005-0000-0000-000054010000}"/>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Normal" xfId="0" builtinId="0"/>
    <cellStyle name="Normal 2" xfId="292" xr:uid="{00000000-0005-0000-0000-000055010000}"/>
    <cellStyle name="Solucion" xfId="291" xr:uid="{966C5CCF-DC83-4BAB-9A11-E81E9691CE05}"/>
    <cellStyle name="Solucion 2" xfId="294" xr:uid="{8CEEBAD7-4B1E-432C-8402-6E5B6997C967}"/>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4305300</xdr:colOff>
          <xdr:row>97</xdr:row>
          <xdr:rowOff>0</xdr:rowOff>
        </xdr:from>
        <xdr:to>
          <xdr:col>2</xdr:col>
          <xdr:colOff>6400800</xdr:colOff>
          <xdr:row>98</xdr:row>
          <xdr:rowOff>571500</xdr:rowOff>
        </xdr:to>
        <xdr:sp macro="" textlink="">
          <xdr:nvSpPr>
            <xdr:cNvPr id="5121" name="Button 5" descr="Borra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790575</xdr:colOff>
          <xdr:row>96</xdr:row>
          <xdr:rowOff>581025</xdr:rowOff>
        </xdr:from>
        <xdr:to>
          <xdr:col>2</xdr:col>
          <xdr:colOff>3810000</xdr:colOff>
          <xdr:row>99</xdr:row>
          <xdr:rowOff>19050</xdr:rowOff>
        </xdr:to>
        <xdr:sp macro="" textlink="">
          <xdr:nvSpPr>
            <xdr:cNvPr id="5122" name="Button 20"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4857750</xdr:colOff>
          <xdr:row>191</xdr:row>
          <xdr:rowOff>504825</xdr:rowOff>
        </xdr:from>
        <xdr:to>
          <xdr:col>2</xdr:col>
          <xdr:colOff>7191375</xdr:colOff>
          <xdr:row>193</xdr:row>
          <xdr:rowOff>504825</xdr:rowOff>
        </xdr:to>
        <xdr:sp macro="" textlink="">
          <xdr:nvSpPr>
            <xdr:cNvPr id="5123" name="Button 5" descr="Borrar"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1371600</xdr:colOff>
          <xdr:row>191</xdr:row>
          <xdr:rowOff>476250</xdr:rowOff>
        </xdr:from>
        <xdr:to>
          <xdr:col>2</xdr:col>
          <xdr:colOff>3686175</xdr:colOff>
          <xdr:row>193</xdr:row>
          <xdr:rowOff>476250</xdr:rowOff>
        </xdr:to>
        <xdr:sp macro="" textlink="">
          <xdr:nvSpPr>
            <xdr:cNvPr id="5124" name="Button 2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4752975</xdr:colOff>
          <xdr:row>287</xdr:row>
          <xdr:rowOff>19050</xdr:rowOff>
        </xdr:from>
        <xdr:to>
          <xdr:col>2</xdr:col>
          <xdr:colOff>6953250</xdr:colOff>
          <xdr:row>288</xdr:row>
          <xdr:rowOff>571500</xdr:rowOff>
        </xdr:to>
        <xdr:sp macro="" textlink="">
          <xdr:nvSpPr>
            <xdr:cNvPr id="5125" name="Button 5" descr="Borr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287</xdr:row>
          <xdr:rowOff>9525</xdr:rowOff>
        </xdr:from>
        <xdr:to>
          <xdr:col>2</xdr:col>
          <xdr:colOff>3429000</xdr:colOff>
          <xdr:row>289</xdr:row>
          <xdr:rowOff>0</xdr:rowOff>
        </xdr:to>
        <xdr:sp macro="" textlink="">
          <xdr:nvSpPr>
            <xdr:cNvPr id="5126" name="Button 20"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4714875</xdr:colOff>
          <xdr:row>382</xdr:row>
          <xdr:rowOff>0</xdr:rowOff>
        </xdr:from>
        <xdr:to>
          <xdr:col>2</xdr:col>
          <xdr:colOff>7105650</xdr:colOff>
          <xdr:row>384</xdr:row>
          <xdr:rowOff>0</xdr:rowOff>
        </xdr:to>
        <xdr:sp macro="" textlink="">
          <xdr:nvSpPr>
            <xdr:cNvPr id="5127" name="Button 5" descr="Borrar"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1114425</xdr:colOff>
          <xdr:row>381</xdr:row>
          <xdr:rowOff>581025</xdr:rowOff>
        </xdr:from>
        <xdr:to>
          <xdr:col>2</xdr:col>
          <xdr:colOff>3524250</xdr:colOff>
          <xdr:row>383</xdr:row>
          <xdr:rowOff>571500</xdr:rowOff>
        </xdr:to>
        <xdr:sp macro="" textlink="">
          <xdr:nvSpPr>
            <xdr:cNvPr id="5128" name="Button 20"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4886325</xdr:colOff>
          <xdr:row>476</xdr:row>
          <xdr:rowOff>571500</xdr:rowOff>
        </xdr:from>
        <xdr:to>
          <xdr:col>2</xdr:col>
          <xdr:colOff>7239000</xdr:colOff>
          <xdr:row>479</xdr:row>
          <xdr:rowOff>0</xdr:rowOff>
        </xdr:to>
        <xdr:sp macro="" textlink="">
          <xdr:nvSpPr>
            <xdr:cNvPr id="5129" name="Button 5" descr="Borrar"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942975</xdr:colOff>
          <xdr:row>477</xdr:row>
          <xdr:rowOff>9525</xdr:rowOff>
        </xdr:from>
        <xdr:to>
          <xdr:col>2</xdr:col>
          <xdr:colOff>3295650</xdr:colOff>
          <xdr:row>479</xdr:row>
          <xdr:rowOff>0</xdr:rowOff>
        </xdr:to>
        <xdr:sp macro="" textlink="">
          <xdr:nvSpPr>
            <xdr:cNvPr id="5130" name="Button 20" hidden="1">
              <a:extLst>
                <a:ext uri="{63B3BB69-23CF-44E3-9099-C40C66FF867C}">
                  <a14:compatExt spid="_x0000_s5130"/>
                </a:ext>
                <a:ext uri="{FF2B5EF4-FFF2-40B4-BE49-F238E27FC236}">
                  <a16:creationId xmlns:a16="http://schemas.microsoft.com/office/drawing/2014/main" id="{00000000-0008-0000-0000-00000A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572</xdr:row>
          <xdr:rowOff>0</xdr:rowOff>
        </xdr:from>
        <xdr:to>
          <xdr:col>2</xdr:col>
          <xdr:colOff>7315200</xdr:colOff>
          <xdr:row>574</xdr:row>
          <xdr:rowOff>0</xdr:rowOff>
        </xdr:to>
        <xdr:sp macro="" textlink="">
          <xdr:nvSpPr>
            <xdr:cNvPr id="5131" name="Button 5" descr="Borrar" hidden="1">
              <a:extLst>
                <a:ext uri="{63B3BB69-23CF-44E3-9099-C40C66FF867C}">
                  <a14:compatExt spid="_x0000_s5131"/>
                </a:ext>
                <a:ext uri="{FF2B5EF4-FFF2-40B4-BE49-F238E27FC236}">
                  <a16:creationId xmlns:a16="http://schemas.microsoft.com/office/drawing/2014/main" id="{00000000-0008-0000-0000-00000B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572</xdr:row>
          <xdr:rowOff>9525</xdr:rowOff>
        </xdr:from>
        <xdr:to>
          <xdr:col>2</xdr:col>
          <xdr:colOff>3543300</xdr:colOff>
          <xdr:row>574</xdr:row>
          <xdr:rowOff>19050</xdr:rowOff>
        </xdr:to>
        <xdr:sp macro="" textlink="">
          <xdr:nvSpPr>
            <xdr:cNvPr id="5132" name="Button 20" hidden="1">
              <a:extLst>
                <a:ext uri="{63B3BB69-23CF-44E3-9099-C40C66FF867C}">
                  <a14:compatExt spid="_x0000_s5132"/>
                </a:ext>
                <a:ext uri="{FF2B5EF4-FFF2-40B4-BE49-F238E27FC236}">
                  <a16:creationId xmlns:a16="http://schemas.microsoft.com/office/drawing/2014/main" id="{00000000-0008-0000-0000-00000C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762</xdr:row>
          <xdr:rowOff>0</xdr:rowOff>
        </xdr:from>
        <xdr:to>
          <xdr:col>2</xdr:col>
          <xdr:colOff>7315200</xdr:colOff>
          <xdr:row>764</xdr:row>
          <xdr:rowOff>0</xdr:rowOff>
        </xdr:to>
        <xdr:sp macro="" textlink="">
          <xdr:nvSpPr>
            <xdr:cNvPr id="5150" name="Button 30" descr="Borrar"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762</xdr:row>
          <xdr:rowOff>9525</xdr:rowOff>
        </xdr:from>
        <xdr:to>
          <xdr:col>2</xdr:col>
          <xdr:colOff>3543300</xdr:colOff>
          <xdr:row>764</xdr:row>
          <xdr:rowOff>19050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667</xdr:row>
          <xdr:rowOff>0</xdr:rowOff>
        </xdr:from>
        <xdr:to>
          <xdr:col>2</xdr:col>
          <xdr:colOff>7315200</xdr:colOff>
          <xdr:row>669</xdr:row>
          <xdr:rowOff>0</xdr:rowOff>
        </xdr:to>
        <xdr:sp macro="" textlink="">
          <xdr:nvSpPr>
            <xdr:cNvPr id="5152" name="Button 32" descr="Borrar"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667</xdr:row>
          <xdr:rowOff>9525</xdr:rowOff>
        </xdr:from>
        <xdr:to>
          <xdr:col>2</xdr:col>
          <xdr:colOff>3543300</xdr:colOff>
          <xdr:row>669</xdr:row>
          <xdr:rowOff>19050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857</xdr:row>
          <xdr:rowOff>0</xdr:rowOff>
        </xdr:from>
        <xdr:to>
          <xdr:col>2</xdr:col>
          <xdr:colOff>7315200</xdr:colOff>
          <xdr:row>859</xdr:row>
          <xdr:rowOff>0</xdr:rowOff>
        </xdr:to>
        <xdr:sp macro="" textlink="">
          <xdr:nvSpPr>
            <xdr:cNvPr id="5156" name="Button 36" descr="Borrar"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857</xdr:row>
          <xdr:rowOff>9525</xdr:rowOff>
        </xdr:from>
        <xdr:to>
          <xdr:col>2</xdr:col>
          <xdr:colOff>3543300</xdr:colOff>
          <xdr:row>859</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952</xdr:row>
          <xdr:rowOff>0</xdr:rowOff>
        </xdr:from>
        <xdr:to>
          <xdr:col>2</xdr:col>
          <xdr:colOff>7315200</xdr:colOff>
          <xdr:row>954</xdr:row>
          <xdr:rowOff>0</xdr:rowOff>
        </xdr:to>
        <xdr:sp macro="" textlink="">
          <xdr:nvSpPr>
            <xdr:cNvPr id="5158" name="Button 38" descr="Borrar"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952</xdr:row>
          <xdr:rowOff>9525</xdr:rowOff>
        </xdr:from>
        <xdr:to>
          <xdr:col>2</xdr:col>
          <xdr:colOff>3543300</xdr:colOff>
          <xdr:row>954</xdr:row>
          <xdr:rowOff>19050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1047</xdr:row>
          <xdr:rowOff>0</xdr:rowOff>
        </xdr:from>
        <xdr:to>
          <xdr:col>2</xdr:col>
          <xdr:colOff>7315200</xdr:colOff>
          <xdr:row>1049</xdr:row>
          <xdr:rowOff>0</xdr:rowOff>
        </xdr:to>
        <xdr:sp macro="" textlink="">
          <xdr:nvSpPr>
            <xdr:cNvPr id="5160" name="Button 40" descr="Borrar" hidden="1">
              <a:extLst>
                <a:ext uri="{63B3BB69-23CF-44E3-9099-C40C66FF867C}">
                  <a14:compatExt spid="_x0000_s5160"/>
                </a:ext>
                <a:ext uri="{FF2B5EF4-FFF2-40B4-BE49-F238E27FC236}">
                  <a16:creationId xmlns:a16="http://schemas.microsoft.com/office/drawing/2014/main" id="{00000000-0008-0000-0000-000028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1047</xdr:row>
          <xdr:rowOff>9525</xdr:rowOff>
        </xdr:from>
        <xdr:to>
          <xdr:col>2</xdr:col>
          <xdr:colOff>3543300</xdr:colOff>
          <xdr:row>1049</xdr:row>
          <xdr:rowOff>19050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000-000029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1237</xdr:row>
          <xdr:rowOff>0</xdr:rowOff>
        </xdr:from>
        <xdr:to>
          <xdr:col>2</xdr:col>
          <xdr:colOff>7315200</xdr:colOff>
          <xdr:row>1239</xdr:row>
          <xdr:rowOff>0</xdr:rowOff>
        </xdr:to>
        <xdr:sp macro="" textlink="">
          <xdr:nvSpPr>
            <xdr:cNvPr id="5170" name="Button 50" descr="Borrar" hidden="1">
              <a:extLst>
                <a:ext uri="{63B3BB69-23CF-44E3-9099-C40C66FF867C}">
                  <a14:compatExt spid="_x0000_s5170"/>
                </a:ext>
                <a:ext uri="{FF2B5EF4-FFF2-40B4-BE49-F238E27FC236}">
                  <a16:creationId xmlns:a16="http://schemas.microsoft.com/office/drawing/2014/main" id="{00000000-0008-0000-0000-00003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1237</xdr:row>
          <xdr:rowOff>9525</xdr:rowOff>
        </xdr:from>
        <xdr:to>
          <xdr:col>2</xdr:col>
          <xdr:colOff>3543300</xdr:colOff>
          <xdr:row>1239</xdr:row>
          <xdr:rowOff>19050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000-00003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1142</xdr:row>
          <xdr:rowOff>0</xdr:rowOff>
        </xdr:from>
        <xdr:to>
          <xdr:col>2</xdr:col>
          <xdr:colOff>7315200</xdr:colOff>
          <xdr:row>1144</xdr:row>
          <xdr:rowOff>0</xdr:rowOff>
        </xdr:to>
        <xdr:sp macro="" textlink="">
          <xdr:nvSpPr>
            <xdr:cNvPr id="5172" name="Button 52" descr="Borrar" hidden="1">
              <a:extLst>
                <a:ext uri="{63B3BB69-23CF-44E3-9099-C40C66FF867C}">
                  <a14:compatExt spid="_x0000_s5172"/>
                </a:ext>
                <a:ext uri="{FF2B5EF4-FFF2-40B4-BE49-F238E27FC236}">
                  <a16:creationId xmlns:a16="http://schemas.microsoft.com/office/drawing/2014/main" id="{00000000-0008-0000-0000-00003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1142</xdr:row>
          <xdr:rowOff>9525</xdr:rowOff>
        </xdr:from>
        <xdr:to>
          <xdr:col>2</xdr:col>
          <xdr:colOff>3543300</xdr:colOff>
          <xdr:row>1144</xdr:row>
          <xdr:rowOff>19050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000-000035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1423</xdr:row>
          <xdr:rowOff>0</xdr:rowOff>
        </xdr:from>
        <xdr:to>
          <xdr:col>2</xdr:col>
          <xdr:colOff>7315200</xdr:colOff>
          <xdr:row>1425</xdr:row>
          <xdr:rowOff>0</xdr:rowOff>
        </xdr:to>
        <xdr:sp macro="" textlink="">
          <xdr:nvSpPr>
            <xdr:cNvPr id="5174" name="Button 54" descr="Borrar" hidden="1">
              <a:extLst>
                <a:ext uri="{63B3BB69-23CF-44E3-9099-C40C66FF867C}">
                  <a14:compatExt spid="_x0000_s5174"/>
                </a:ext>
                <a:ext uri="{FF2B5EF4-FFF2-40B4-BE49-F238E27FC236}">
                  <a16:creationId xmlns:a16="http://schemas.microsoft.com/office/drawing/2014/main" id="{00000000-0008-0000-0000-000036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1423</xdr:row>
          <xdr:rowOff>9525</xdr:rowOff>
        </xdr:from>
        <xdr:to>
          <xdr:col>2</xdr:col>
          <xdr:colOff>3543300</xdr:colOff>
          <xdr:row>1425</xdr:row>
          <xdr:rowOff>19050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000-000037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1609</xdr:row>
          <xdr:rowOff>0</xdr:rowOff>
        </xdr:from>
        <xdr:to>
          <xdr:col>2</xdr:col>
          <xdr:colOff>7315200</xdr:colOff>
          <xdr:row>1611</xdr:row>
          <xdr:rowOff>0</xdr:rowOff>
        </xdr:to>
        <xdr:sp macro="" textlink="">
          <xdr:nvSpPr>
            <xdr:cNvPr id="5182" name="Button 62" descr="Borrar"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1609</xdr:row>
          <xdr:rowOff>9525</xdr:rowOff>
        </xdr:from>
        <xdr:to>
          <xdr:col>2</xdr:col>
          <xdr:colOff>3543300</xdr:colOff>
          <xdr:row>1611</xdr:row>
          <xdr:rowOff>19050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1795</xdr:row>
          <xdr:rowOff>0</xdr:rowOff>
        </xdr:from>
        <xdr:to>
          <xdr:col>2</xdr:col>
          <xdr:colOff>7315200</xdr:colOff>
          <xdr:row>1797</xdr:row>
          <xdr:rowOff>0</xdr:rowOff>
        </xdr:to>
        <xdr:sp macro="" textlink="">
          <xdr:nvSpPr>
            <xdr:cNvPr id="5184" name="Button 64" descr="Borrar"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1795</xdr:row>
          <xdr:rowOff>9525</xdr:rowOff>
        </xdr:from>
        <xdr:to>
          <xdr:col>2</xdr:col>
          <xdr:colOff>3543300</xdr:colOff>
          <xdr:row>1797</xdr:row>
          <xdr:rowOff>19050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5210175</xdr:colOff>
          <xdr:row>1981</xdr:row>
          <xdr:rowOff>0</xdr:rowOff>
        </xdr:from>
        <xdr:to>
          <xdr:col>2</xdr:col>
          <xdr:colOff>7315200</xdr:colOff>
          <xdr:row>1983</xdr:row>
          <xdr:rowOff>0</xdr:rowOff>
        </xdr:to>
        <xdr:sp macro="" textlink="">
          <xdr:nvSpPr>
            <xdr:cNvPr id="5186" name="Button 66" descr="Borrar"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1981</xdr:row>
          <xdr:rowOff>9525</xdr:rowOff>
        </xdr:from>
        <xdr:to>
          <xdr:col>2</xdr:col>
          <xdr:colOff>3543300</xdr:colOff>
          <xdr:row>1983</xdr:row>
          <xdr:rowOff>19050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2000" b="0" i="0" u="none" strike="noStrike" baseline="0">
                  <a:solidFill>
                    <a:srgbClr val="000000"/>
                  </a:solidFill>
                  <a:latin typeface="Helvetica"/>
                  <a:cs typeface="Helvetica"/>
                </a:rPr>
                <a:t>Comprobar</a:t>
              </a:r>
            </a:p>
          </xdr:txBody>
        </xdr:sp>
        <xdr:clientData/>
      </xdr:twoCellAnchor>
    </mc:Choice>
    <mc:Fallback/>
  </mc:AlternateContent>
  <xdr:twoCellAnchor>
    <xdr:from>
      <xdr:col>1</xdr:col>
      <xdr:colOff>180975</xdr:colOff>
      <xdr:row>1824</xdr:row>
      <xdr:rowOff>47625</xdr:rowOff>
    </xdr:from>
    <xdr:to>
      <xdr:col>1</xdr:col>
      <xdr:colOff>266700</xdr:colOff>
      <xdr:row>1824</xdr:row>
      <xdr:rowOff>142875</xdr:rowOff>
    </xdr:to>
    <xdr:pic>
      <xdr:nvPicPr>
        <xdr:cNvPr id="36" name="image29.png">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6700" y="41513760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1826</xdr:row>
      <xdr:rowOff>152400</xdr:rowOff>
    </xdr:from>
    <xdr:to>
      <xdr:col>1</xdr:col>
      <xdr:colOff>266700</xdr:colOff>
      <xdr:row>1827</xdr:row>
      <xdr:rowOff>38100</xdr:rowOff>
    </xdr:to>
    <xdr:pic>
      <xdr:nvPicPr>
        <xdr:cNvPr id="37" name="image30.png">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415642425"/>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1829</xdr:row>
      <xdr:rowOff>247650</xdr:rowOff>
    </xdr:from>
    <xdr:to>
      <xdr:col>1</xdr:col>
      <xdr:colOff>266700</xdr:colOff>
      <xdr:row>1829</xdr:row>
      <xdr:rowOff>342900</xdr:rowOff>
    </xdr:to>
    <xdr:pic>
      <xdr:nvPicPr>
        <xdr:cNvPr id="38" name="image31.png">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66700" y="416337750"/>
          <a:ext cx="857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180975</xdr:colOff>
      <xdr:row>1833</xdr:row>
      <xdr:rowOff>123825</xdr:rowOff>
    </xdr:from>
    <xdr:to>
      <xdr:col>1</xdr:col>
      <xdr:colOff>266700</xdr:colOff>
      <xdr:row>1834</xdr:row>
      <xdr:rowOff>9525</xdr:rowOff>
    </xdr:to>
    <xdr:pic>
      <xdr:nvPicPr>
        <xdr:cNvPr id="39" name="image32.png">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66700" y="417214050"/>
          <a:ext cx="8572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6D8-8514-48C8-84B3-CBF8D5D62A5E}">
  <sheetPr codeName="Hoja3"/>
  <dimension ref="A1:L1984"/>
  <sheetViews>
    <sheetView tabSelected="1" topLeftCell="A1956" zoomScale="50" zoomScaleNormal="50" workbookViewId="0">
      <selection activeCell="D1801" sqref="D1801"/>
    </sheetView>
  </sheetViews>
  <sheetFormatPr baseColWidth="10" defaultRowHeight="15.75" x14ac:dyDescent="0.25"/>
  <cols>
    <col min="1" max="1" width="1.125" style="16" customWidth="1"/>
    <col min="2" max="2" width="4.625" style="16" customWidth="1"/>
    <col min="3" max="3" width="105.75" style="16" customWidth="1"/>
    <col min="4" max="4" width="5.5" style="45" customWidth="1"/>
    <col min="5" max="5" width="5.25" style="16" customWidth="1"/>
    <col min="6" max="6" width="16.5" style="16" customWidth="1"/>
    <col min="7" max="7" width="13.25" style="16" customWidth="1"/>
    <col min="8" max="8" width="16.75" style="16" customWidth="1"/>
    <col min="9" max="16384" width="11" style="16"/>
  </cols>
  <sheetData>
    <row r="1" spans="1:8" ht="157.5" x14ac:dyDescent="0.25">
      <c r="A1" s="13"/>
      <c r="B1" s="2" t="s">
        <v>1</v>
      </c>
      <c r="C1" s="3"/>
      <c r="D1" s="14"/>
      <c r="E1" s="14"/>
      <c r="F1" s="14"/>
      <c r="G1" s="15"/>
      <c r="H1" s="15" t="b">
        <v>0</v>
      </c>
    </row>
    <row r="2" spans="1:8" ht="141.75" x14ac:dyDescent="0.25">
      <c r="A2" s="13"/>
      <c r="B2" s="4" t="s">
        <v>3</v>
      </c>
      <c r="C2" s="3"/>
      <c r="D2" s="14"/>
      <c r="E2" s="14"/>
      <c r="F2" s="14"/>
      <c r="G2" s="15"/>
      <c r="H2" s="15" t="s">
        <v>2</v>
      </c>
    </row>
    <row r="3" spans="1:8" ht="141.75" x14ac:dyDescent="0.25">
      <c r="A3" s="13"/>
      <c r="B3" s="4" t="s">
        <v>4</v>
      </c>
      <c r="C3" s="3"/>
      <c r="D3" s="14"/>
      <c r="E3" s="14"/>
      <c r="F3" s="14"/>
      <c r="G3" s="15"/>
      <c r="H3" s="15"/>
    </row>
    <row r="4" spans="1:8" ht="141.75" x14ac:dyDescent="0.25">
      <c r="A4" s="13"/>
      <c r="B4" s="4" t="s">
        <v>5</v>
      </c>
      <c r="C4" s="3"/>
      <c r="D4" s="14"/>
      <c r="E4" s="14"/>
      <c r="F4" s="14"/>
      <c r="G4" s="15"/>
      <c r="H4" s="15"/>
    </row>
    <row r="5" spans="1:8" ht="16.5" thickBot="1" x14ac:dyDescent="0.3">
      <c r="A5" s="13"/>
      <c r="B5" s="17"/>
      <c r="C5" s="3"/>
      <c r="D5" s="18"/>
      <c r="E5" s="18"/>
      <c r="F5" s="18"/>
      <c r="G5" s="15"/>
      <c r="H5" s="15"/>
    </row>
    <row r="6" spans="1:8" ht="28.5" x14ac:dyDescent="0.45">
      <c r="A6" s="13"/>
      <c r="B6" s="19" t="s">
        <v>81</v>
      </c>
      <c r="C6" s="49" t="s">
        <v>0</v>
      </c>
      <c r="D6" s="49"/>
      <c r="E6" s="49"/>
      <c r="F6" s="50"/>
      <c r="G6" s="20"/>
      <c r="H6" s="20"/>
    </row>
    <row r="7" spans="1:8" x14ac:dyDescent="0.25">
      <c r="A7" s="13"/>
      <c r="B7" s="5">
        <v>1</v>
      </c>
      <c r="C7" s="21" t="s">
        <v>16</v>
      </c>
      <c r="D7" s="6"/>
      <c r="E7" s="7"/>
      <c r="F7" s="22"/>
      <c r="G7" s="23"/>
      <c r="H7" s="23"/>
    </row>
    <row r="8" spans="1:8" x14ac:dyDescent="0.25">
      <c r="A8" s="13"/>
      <c r="B8" s="8" t="s">
        <v>9</v>
      </c>
      <c r="C8" s="24" t="s">
        <v>20</v>
      </c>
      <c r="D8" s="9"/>
      <c r="E8" s="10" t="s">
        <v>9</v>
      </c>
      <c r="F8" s="25"/>
      <c r="G8" s="26"/>
      <c r="H8" s="1" t="b">
        <f>IF(D9="x",H$2,H$1)</f>
        <v>0</v>
      </c>
    </row>
    <row r="9" spans="1:8" x14ac:dyDescent="0.25">
      <c r="A9" s="13"/>
      <c r="B9" s="8" t="s">
        <v>10</v>
      </c>
      <c r="C9" s="24" t="s">
        <v>21</v>
      </c>
      <c r="D9" s="9"/>
      <c r="E9" s="10" t="s">
        <v>10</v>
      </c>
      <c r="F9" s="27" t="str">
        <f>IF(H10=1,IF(H8=H$2,H8,""),"")</f>
        <v/>
      </c>
      <c r="G9" s="26"/>
      <c r="H9" s="1" t="str">
        <f>IF(E97="comprobar",COUNTIF(D8:D12,"x"),"")</f>
        <v/>
      </c>
    </row>
    <row r="10" spans="1:8" x14ac:dyDescent="0.25">
      <c r="A10" s="13"/>
      <c r="B10" s="8" t="s">
        <v>11</v>
      </c>
      <c r="C10" s="24" t="s">
        <v>22</v>
      </c>
      <c r="D10" s="9"/>
      <c r="E10" s="10" t="s">
        <v>11</v>
      </c>
      <c r="F10" s="28" t="str">
        <f>IF(H10=-0.33,IF(H8=H$1,H8,""),"")</f>
        <v/>
      </c>
      <c r="G10" s="26"/>
      <c r="H10" s="29">
        <f>IF(H9=1,IF(H8=H$2,1,-0.33),0)</f>
        <v>0</v>
      </c>
    </row>
    <row r="11" spans="1:8" x14ac:dyDescent="0.25">
      <c r="A11" s="13"/>
      <c r="B11" s="8" t="s">
        <v>12</v>
      </c>
      <c r="C11" s="24" t="s">
        <v>23</v>
      </c>
      <c r="D11" s="9"/>
      <c r="E11" s="10" t="s">
        <v>12</v>
      </c>
      <c r="F11" s="25"/>
      <c r="G11" s="26"/>
      <c r="H11" s="29"/>
    </row>
    <row r="12" spans="1:8" x14ac:dyDescent="0.25">
      <c r="A12" s="13"/>
      <c r="B12" s="11"/>
      <c r="C12" s="12"/>
      <c r="D12" s="9"/>
      <c r="E12" s="10" t="s">
        <v>13</v>
      </c>
      <c r="F12" s="30"/>
      <c r="G12" s="26"/>
      <c r="H12" s="29"/>
    </row>
    <row r="13" spans="1:8" x14ac:dyDescent="0.25">
      <c r="A13" s="13"/>
      <c r="B13" s="5">
        <v>2</v>
      </c>
      <c r="C13" s="21" t="s">
        <v>17</v>
      </c>
      <c r="D13" s="6"/>
      <c r="E13" s="7"/>
      <c r="F13" s="22"/>
      <c r="G13" s="23"/>
      <c r="H13" s="23"/>
    </row>
    <row r="14" spans="1:8" x14ac:dyDescent="0.25">
      <c r="A14" s="13"/>
      <c r="B14" s="8" t="s">
        <v>9</v>
      </c>
      <c r="C14" s="24" t="s">
        <v>24</v>
      </c>
      <c r="D14" s="9"/>
      <c r="E14" s="10" t="s">
        <v>9</v>
      </c>
      <c r="F14" s="25"/>
      <c r="G14" s="26"/>
      <c r="H14" s="1" t="b">
        <f>IF(D16="x",H$2,H$1)</f>
        <v>0</v>
      </c>
    </row>
    <row r="15" spans="1:8" x14ac:dyDescent="0.25">
      <c r="A15" s="13"/>
      <c r="B15" s="8" t="s">
        <v>10</v>
      </c>
      <c r="C15" s="24" t="s">
        <v>25</v>
      </c>
      <c r="D15" s="9"/>
      <c r="E15" s="10" t="s">
        <v>10</v>
      </c>
      <c r="F15" s="27" t="str">
        <f>IF(H16=1,IF(H14=H$2,H14,""),"")</f>
        <v/>
      </c>
      <c r="G15" s="26"/>
      <c r="H15" s="1" t="str">
        <f>IF(E$97="comprobar",COUNTIF(D14:D18,"x"),"")</f>
        <v/>
      </c>
    </row>
    <row r="16" spans="1:8" x14ac:dyDescent="0.25">
      <c r="A16" s="13"/>
      <c r="B16" s="8" t="s">
        <v>11</v>
      </c>
      <c r="C16" s="24" t="s">
        <v>26</v>
      </c>
      <c r="D16" s="9"/>
      <c r="E16" s="10" t="s">
        <v>11</v>
      </c>
      <c r="F16" s="28" t="str">
        <f>IF(H16=-0.33,IF(H14=H$1,H14,""),"")</f>
        <v/>
      </c>
      <c r="G16" s="26"/>
      <c r="H16" s="29">
        <f>IF(H15=1,IF(H14=H$2,1,-0.33),0)</f>
        <v>0</v>
      </c>
    </row>
    <row r="17" spans="1:8" x14ac:dyDescent="0.25">
      <c r="A17" s="13"/>
      <c r="B17" s="8" t="s">
        <v>12</v>
      </c>
      <c r="C17" s="24" t="s">
        <v>27</v>
      </c>
      <c r="D17" s="9"/>
      <c r="E17" s="10" t="s">
        <v>12</v>
      </c>
      <c r="F17" s="25"/>
      <c r="G17" s="26"/>
      <c r="H17" s="26"/>
    </row>
    <row r="18" spans="1:8" x14ac:dyDescent="0.25">
      <c r="A18" s="13"/>
      <c r="B18" s="11"/>
      <c r="C18" s="12"/>
      <c r="D18" s="9"/>
      <c r="E18" s="10" t="s">
        <v>13</v>
      </c>
      <c r="F18" s="30"/>
      <c r="G18" s="26"/>
      <c r="H18" s="26"/>
    </row>
    <row r="19" spans="1:8" ht="31.5" x14ac:dyDescent="0.25">
      <c r="A19" s="13"/>
      <c r="B19" s="5">
        <v>3</v>
      </c>
      <c r="C19" s="21" t="s">
        <v>18</v>
      </c>
      <c r="D19" s="6"/>
      <c r="E19" s="7"/>
      <c r="F19" s="22"/>
      <c r="G19" s="23"/>
      <c r="H19" s="23"/>
    </row>
    <row r="20" spans="1:8" x14ac:dyDescent="0.25">
      <c r="A20" s="13"/>
      <c r="B20" s="8" t="s">
        <v>9</v>
      </c>
      <c r="C20" s="24" t="s">
        <v>28</v>
      </c>
      <c r="D20" s="9"/>
      <c r="E20" s="10" t="s">
        <v>9</v>
      </c>
      <c r="F20" s="25"/>
      <c r="G20" s="26"/>
      <c r="H20" s="1" t="b">
        <f>IF(D21="x",H$2,H$1)</f>
        <v>0</v>
      </c>
    </row>
    <row r="21" spans="1:8" x14ac:dyDescent="0.25">
      <c r="A21" s="13"/>
      <c r="B21" s="8" t="s">
        <v>10</v>
      </c>
      <c r="C21" s="24" t="s">
        <v>29</v>
      </c>
      <c r="D21" s="9"/>
      <c r="E21" s="10" t="s">
        <v>10</v>
      </c>
      <c r="F21" s="27" t="str">
        <f>IF(H22=1,IF(H20=H$2,H20,""),"")</f>
        <v/>
      </c>
      <c r="G21" s="26"/>
      <c r="H21" s="1" t="str">
        <f>IF(E$97="comprobar",COUNTIF(D20:D24,"x"),"")</f>
        <v/>
      </c>
    </row>
    <row r="22" spans="1:8" x14ac:dyDescent="0.25">
      <c r="A22" s="13"/>
      <c r="B22" s="8" t="s">
        <v>11</v>
      </c>
      <c r="C22" s="24" t="s">
        <v>30</v>
      </c>
      <c r="D22" s="9"/>
      <c r="E22" s="10" t="s">
        <v>11</v>
      </c>
      <c r="F22" s="28" t="str">
        <f>IF(H22=-0.33,IF(H20=H$1,H20,""),"")</f>
        <v/>
      </c>
      <c r="G22" s="26"/>
      <c r="H22" s="29">
        <f>IF(H21=1,IF(H20=H$2,1,-0.33),0)</f>
        <v>0</v>
      </c>
    </row>
    <row r="23" spans="1:8" x14ac:dyDescent="0.25">
      <c r="A23" s="13"/>
      <c r="B23" s="8" t="s">
        <v>12</v>
      </c>
      <c r="C23" s="24" t="s">
        <v>31</v>
      </c>
      <c r="D23" s="9"/>
      <c r="E23" s="10" t="s">
        <v>12</v>
      </c>
      <c r="F23" s="25"/>
      <c r="G23" s="26"/>
      <c r="H23" s="29"/>
    </row>
    <row r="24" spans="1:8" x14ac:dyDescent="0.25">
      <c r="A24" s="13"/>
      <c r="B24" s="11"/>
      <c r="C24" s="12"/>
      <c r="D24" s="9"/>
      <c r="E24" s="10" t="s">
        <v>13</v>
      </c>
      <c r="F24" s="30"/>
      <c r="G24" s="26"/>
      <c r="H24" s="29"/>
    </row>
    <row r="25" spans="1:8" x14ac:dyDescent="0.25">
      <c r="A25" s="13"/>
      <c r="B25" s="5">
        <v>4</v>
      </c>
      <c r="C25" s="21" t="s">
        <v>19</v>
      </c>
      <c r="D25" s="6"/>
      <c r="E25" s="7"/>
      <c r="F25" s="22"/>
      <c r="G25" s="23"/>
      <c r="H25" s="23"/>
    </row>
    <row r="26" spans="1:8" x14ac:dyDescent="0.25">
      <c r="A26" s="13"/>
      <c r="B26" s="8" t="s">
        <v>9</v>
      </c>
      <c r="C26" s="24" t="s">
        <v>32</v>
      </c>
      <c r="D26" s="9"/>
      <c r="E26" s="10" t="s">
        <v>9</v>
      </c>
      <c r="F26" s="25"/>
      <c r="G26" s="26"/>
      <c r="H26" s="1" t="b">
        <f>IF(D26="x",H$2,H$1)</f>
        <v>0</v>
      </c>
    </row>
    <row r="27" spans="1:8" x14ac:dyDescent="0.25">
      <c r="A27" s="13"/>
      <c r="B27" s="8" t="s">
        <v>10</v>
      </c>
      <c r="C27" s="24" t="s">
        <v>33</v>
      </c>
      <c r="D27" s="9"/>
      <c r="E27" s="10" t="s">
        <v>10</v>
      </c>
      <c r="F27" s="27" t="str">
        <f>IF(H28=1,IF(H26=H$2,H26,""),"")</f>
        <v/>
      </c>
      <c r="G27" s="26"/>
      <c r="H27" s="1" t="str">
        <f>IF(E$97="comprobar",COUNTIF(D26:D30,"x"),"")</f>
        <v/>
      </c>
    </row>
    <row r="28" spans="1:8" x14ac:dyDescent="0.25">
      <c r="A28" s="13"/>
      <c r="B28" s="8" t="s">
        <v>11</v>
      </c>
      <c r="C28" s="24" t="s">
        <v>34</v>
      </c>
      <c r="D28" s="9"/>
      <c r="E28" s="10" t="s">
        <v>11</v>
      </c>
      <c r="F28" s="28" t="str">
        <f>IF(H28=-0.33,IF(H26=H$1,H26,""),"")</f>
        <v/>
      </c>
      <c r="G28" s="26"/>
      <c r="H28" s="29">
        <f>IF(H27=1,IF(H26=H$2,1,-0.33),0)</f>
        <v>0</v>
      </c>
    </row>
    <row r="29" spans="1:8" x14ac:dyDescent="0.25">
      <c r="A29" s="13"/>
      <c r="B29" s="8" t="s">
        <v>12</v>
      </c>
      <c r="C29" s="24" t="s">
        <v>35</v>
      </c>
      <c r="D29" s="9"/>
      <c r="E29" s="10" t="s">
        <v>12</v>
      </c>
      <c r="F29" s="25"/>
      <c r="G29" s="26"/>
      <c r="H29" s="29"/>
    </row>
    <row r="30" spans="1:8" x14ac:dyDescent="0.25">
      <c r="A30" s="13"/>
      <c r="B30" s="11"/>
      <c r="C30" s="12"/>
      <c r="D30" s="9"/>
      <c r="E30" s="10" t="s">
        <v>13</v>
      </c>
      <c r="F30" s="30"/>
      <c r="G30" s="26"/>
      <c r="H30" s="29"/>
    </row>
    <row r="31" spans="1:8" x14ac:dyDescent="0.25">
      <c r="A31" s="13"/>
      <c r="B31" s="5">
        <v>5</v>
      </c>
      <c r="C31" s="21" t="s">
        <v>36</v>
      </c>
      <c r="D31" s="6"/>
      <c r="E31" s="7"/>
      <c r="F31" s="22"/>
      <c r="G31" s="23"/>
      <c r="H31" s="23"/>
    </row>
    <row r="32" spans="1:8" x14ac:dyDescent="0.25">
      <c r="A32" s="13"/>
      <c r="B32" s="8" t="s">
        <v>9</v>
      </c>
      <c r="C32" s="24" t="s">
        <v>37</v>
      </c>
      <c r="D32" s="9"/>
      <c r="E32" s="10" t="s">
        <v>9</v>
      </c>
      <c r="F32" s="25"/>
      <c r="G32" s="26"/>
      <c r="H32" s="1" t="b">
        <f>IF(D33="x",H$2,H$1)</f>
        <v>0</v>
      </c>
    </row>
    <row r="33" spans="1:8" x14ac:dyDescent="0.25">
      <c r="A33" s="13"/>
      <c r="B33" s="8" t="s">
        <v>10</v>
      </c>
      <c r="C33" s="24" t="s">
        <v>38</v>
      </c>
      <c r="D33" s="9"/>
      <c r="E33" s="10" t="s">
        <v>10</v>
      </c>
      <c r="F33" s="27" t="str">
        <f>IF(H34=1,IF(H32=H$2,H32,""),"")</f>
        <v/>
      </c>
      <c r="G33" s="26"/>
      <c r="H33" s="1" t="str">
        <f>IF(E$97="comprobar",COUNTIF(D32:D36,"x"),"")</f>
        <v/>
      </c>
    </row>
    <row r="34" spans="1:8" x14ac:dyDescent="0.25">
      <c r="A34" s="13"/>
      <c r="B34" s="8" t="s">
        <v>11</v>
      </c>
      <c r="C34" s="24" t="s">
        <v>39</v>
      </c>
      <c r="D34" s="9"/>
      <c r="E34" s="10" t="s">
        <v>11</v>
      </c>
      <c r="F34" s="28" t="str">
        <f>IF(H34=-0.33,IF(H32=H$1,H32,""),"")</f>
        <v/>
      </c>
      <c r="G34" s="26"/>
      <c r="H34" s="29">
        <f t="shared" ref="H34" si="0">IF(H33=1,IF(H32=H$2,1,-0.33),0)</f>
        <v>0</v>
      </c>
    </row>
    <row r="35" spans="1:8" x14ac:dyDescent="0.25">
      <c r="A35" s="13"/>
      <c r="B35" s="8" t="s">
        <v>12</v>
      </c>
      <c r="C35" s="24" t="s">
        <v>40</v>
      </c>
      <c r="D35" s="9"/>
      <c r="E35" s="10" t="s">
        <v>12</v>
      </c>
      <c r="F35" s="25"/>
      <c r="G35" s="26"/>
      <c r="H35" s="26"/>
    </row>
    <row r="36" spans="1:8" x14ac:dyDescent="0.25">
      <c r="A36" s="13"/>
      <c r="B36" s="11"/>
      <c r="C36" s="12"/>
      <c r="D36" s="9"/>
      <c r="E36" s="10" t="s">
        <v>13</v>
      </c>
      <c r="F36" s="30"/>
      <c r="G36" s="26"/>
      <c r="H36" s="26"/>
    </row>
    <row r="37" spans="1:8" ht="31.5" x14ac:dyDescent="0.25">
      <c r="A37" s="13"/>
      <c r="B37" s="5">
        <v>6</v>
      </c>
      <c r="C37" s="21" t="s">
        <v>41</v>
      </c>
      <c r="D37" s="6"/>
      <c r="E37" s="7"/>
      <c r="F37" s="22"/>
      <c r="G37" s="23"/>
      <c r="H37" s="23"/>
    </row>
    <row r="38" spans="1:8" x14ac:dyDescent="0.25">
      <c r="A38" s="13"/>
      <c r="B38" s="8" t="s">
        <v>9</v>
      </c>
      <c r="C38" s="24" t="s">
        <v>42</v>
      </c>
      <c r="D38" s="9"/>
      <c r="E38" s="10" t="s">
        <v>9</v>
      </c>
      <c r="F38" s="25"/>
      <c r="G38" s="26"/>
      <c r="H38" s="1" t="b">
        <f>IF(D40="x",H$2,H$1)</f>
        <v>0</v>
      </c>
    </row>
    <row r="39" spans="1:8" x14ac:dyDescent="0.25">
      <c r="A39" s="13"/>
      <c r="B39" s="8" t="s">
        <v>10</v>
      </c>
      <c r="C39" s="24" t="s">
        <v>43</v>
      </c>
      <c r="D39" s="9"/>
      <c r="E39" s="10" t="s">
        <v>10</v>
      </c>
      <c r="F39" s="27" t="str">
        <f>IF(H40=1,IF(H38=H$2,H38,""),"")</f>
        <v/>
      </c>
      <c r="G39" s="26"/>
      <c r="H39" s="1" t="str">
        <f>IF(E$97="comprobar",COUNTIF(D38:D42,"x"),"")</f>
        <v/>
      </c>
    </row>
    <row r="40" spans="1:8" x14ac:dyDescent="0.25">
      <c r="A40" s="13"/>
      <c r="B40" s="8" t="s">
        <v>11</v>
      </c>
      <c r="C40" s="24" t="s">
        <v>31</v>
      </c>
      <c r="D40" s="9"/>
      <c r="E40" s="10" t="s">
        <v>11</v>
      </c>
      <c r="F40" s="28" t="str">
        <f>IF(H40=-0.33,IF(H38=H$1,H38,""),"")</f>
        <v/>
      </c>
      <c r="G40" s="26"/>
      <c r="H40" s="29">
        <f>IF(H39=1,IF(H38=H$2,1,-0.33),0)</f>
        <v>0</v>
      </c>
    </row>
    <row r="41" spans="1:8" x14ac:dyDescent="0.25">
      <c r="A41" s="13"/>
      <c r="B41" s="8" t="s">
        <v>12</v>
      </c>
      <c r="C41" s="24" t="s">
        <v>44</v>
      </c>
      <c r="D41" s="9"/>
      <c r="E41" s="10" t="s">
        <v>12</v>
      </c>
      <c r="F41" s="25"/>
      <c r="G41" s="26"/>
      <c r="H41" s="26"/>
    </row>
    <row r="42" spans="1:8" x14ac:dyDescent="0.25">
      <c r="A42" s="13"/>
      <c r="B42" s="11"/>
      <c r="C42" s="12"/>
      <c r="D42" s="9"/>
      <c r="E42" s="10" t="s">
        <v>13</v>
      </c>
      <c r="F42" s="30"/>
      <c r="G42" s="26"/>
      <c r="H42" s="26"/>
    </row>
    <row r="43" spans="1:8" x14ac:dyDescent="0.25">
      <c r="A43" s="13"/>
      <c r="B43" s="5">
        <v>7</v>
      </c>
      <c r="C43" s="21" t="s">
        <v>45</v>
      </c>
      <c r="D43" s="6"/>
      <c r="E43" s="7"/>
      <c r="F43" s="22"/>
      <c r="G43" s="23"/>
      <c r="H43" s="23"/>
    </row>
    <row r="44" spans="1:8" x14ac:dyDescent="0.25">
      <c r="A44" s="13"/>
      <c r="B44" s="8" t="s">
        <v>9</v>
      </c>
      <c r="C44" s="24" t="s">
        <v>46</v>
      </c>
      <c r="D44" s="9"/>
      <c r="E44" s="10" t="s">
        <v>9</v>
      </c>
      <c r="F44" s="25"/>
      <c r="G44" s="26"/>
      <c r="H44" s="1" t="b">
        <f>IF(D44="x",H$2,H$1)</f>
        <v>0</v>
      </c>
    </row>
    <row r="45" spans="1:8" x14ac:dyDescent="0.25">
      <c r="A45" s="13"/>
      <c r="B45" s="8" t="s">
        <v>10</v>
      </c>
      <c r="C45" s="24" t="s">
        <v>47</v>
      </c>
      <c r="D45" s="9"/>
      <c r="E45" s="10" t="s">
        <v>10</v>
      </c>
      <c r="F45" s="27" t="str">
        <f>IF(H46=1,IF(H44=H$2,H44,""),"")</f>
        <v/>
      </c>
      <c r="G45" s="26"/>
      <c r="H45" s="1" t="str">
        <f>IF(E$97="comprobar",COUNTIF(D44:D48,"x"),"")</f>
        <v/>
      </c>
    </row>
    <row r="46" spans="1:8" x14ac:dyDescent="0.25">
      <c r="A46" s="13"/>
      <c r="B46" s="8" t="s">
        <v>11</v>
      </c>
      <c r="C46" s="24" t="s">
        <v>48</v>
      </c>
      <c r="D46" s="9"/>
      <c r="E46" s="10" t="s">
        <v>11</v>
      </c>
      <c r="F46" s="28" t="str">
        <f>IF(H46=-0.33,IF(H44=H$1,H44,""),"")</f>
        <v/>
      </c>
      <c r="G46" s="26"/>
      <c r="H46" s="29">
        <f>IF(H45=1,IF(H44=H$2,1,-0.33),0)</f>
        <v>0</v>
      </c>
    </row>
    <row r="47" spans="1:8" x14ac:dyDescent="0.25">
      <c r="A47" s="13"/>
      <c r="B47" s="8" t="s">
        <v>12</v>
      </c>
      <c r="C47" s="24" t="s">
        <v>49</v>
      </c>
      <c r="D47" s="9"/>
      <c r="E47" s="10" t="s">
        <v>12</v>
      </c>
      <c r="F47" s="25"/>
      <c r="G47" s="26"/>
      <c r="H47" s="29"/>
    </row>
    <row r="48" spans="1:8" x14ac:dyDescent="0.25">
      <c r="A48" s="13"/>
      <c r="B48" s="11"/>
      <c r="C48" s="12"/>
      <c r="D48" s="9"/>
      <c r="E48" s="10" t="s">
        <v>13</v>
      </c>
      <c r="F48" s="30"/>
      <c r="G48" s="26"/>
      <c r="H48" s="29"/>
    </row>
    <row r="49" spans="1:8" x14ac:dyDescent="0.25">
      <c r="A49" s="13"/>
      <c r="B49" s="5">
        <v>8</v>
      </c>
      <c r="C49" s="21" t="s">
        <v>50</v>
      </c>
      <c r="D49" s="6"/>
      <c r="E49" s="7"/>
      <c r="F49" s="22"/>
      <c r="G49" s="23"/>
      <c r="H49" s="23"/>
    </row>
    <row r="50" spans="1:8" x14ac:dyDescent="0.25">
      <c r="A50" s="13"/>
      <c r="B50" s="8" t="s">
        <v>9</v>
      </c>
      <c r="C50" s="24" t="s">
        <v>51</v>
      </c>
      <c r="D50" s="9"/>
      <c r="E50" s="10" t="s">
        <v>9</v>
      </c>
      <c r="F50" s="25"/>
      <c r="G50" s="26"/>
      <c r="H50" s="1" t="b">
        <f>IF(D53="x",H$2,H$1)</f>
        <v>0</v>
      </c>
    </row>
    <row r="51" spans="1:8" x14ac:dyDescent="0.25">
      <c r="A51" s="13"/>
      <c r="B51" s="8" t="s">
        <v>10</v>
      </c>
      <c r="C51" s="24" t="s">
        <v>52</v>
      </c>
      <c r="D51" s="9"/>
      <c r="E51" s="10" t="s">
        <v>10</v>
      </c>
      <c r="F51" s="27" t="str">
        <f>IF(H52=1,IF(H50=H$2,H50,""),"")</f>
        <v/>
      </c>
      <c r="G51" s="26"/>
      <c r="H51" s="1" t="str">
        <f>IF(E$97="comprobar",COUNTIF(D50:D54,"x"),"")</f>
        <v/>
      </c>
    </row>
    <row r="52" spans="1:8" x14ac:dyDescent="0.25">
      <c r="A52" s="13"/>
      <c r="B52" s="8" t="s">
        <v>11</v>
      </c>
      <c r="C52" s="24" t="s">
        <v>53</v>
      </c>
      <c r="D52" s="9"/>
      <c r="E52" s="10" t="s">
        <v>11</v>
      </c>
      <c r="F52" s="28" t="str">
        <f>IF(H52=-0.33,IF(H50=H$1,H50,""),"")</f>
        <v/>
      </c>
      <c r="G52" s="26"/>
      <c r="H52" s="29">
        <f>IF(H51=1,IF(H50=H$2,1,-0.33),0)</f>
        <v>0</v>
      </c>
    </row>
    <row r="53" spans="1:8" x14ac:dyDescent="0.25">
      <c r="A53" s="13"/>
      <c r="B53" s="8" t="s">
        <v>12</v>
      </c>
      <c r="C53" t="s">
        <v>54</v>
      </c>
      <c r="D53" s="9"/>
      <c r="E53" s="10" t="s">
        <v>12</v>
      </c>
      <c r="F53" s="25"/>
      <c r="G53" s="26"/>
      <c r="H53" s="29"/>
    </row>
    <row r="54" spans="1:8" x14ac:dyDescent="0.25">
      <c r="A54" s="13"/>
      <c r="B54" s="11"/>
      <c r="C54" s="12"/>
      <c r="D54" s="9"/>
      <c r="E54" s="10" t="s">
        <v>13</v>
      </c>
      <c r="F54" s="30"/>
      <c r="G54" s="26"/>
      <c r="H54" s="29"/>
    </row>
    <row r="55" spans="1:8" ht="31.5" x14ac:dyDescent="0.25">
      <c r="A55" s="13"/>
      <c r="B55" s="5">
        <v>9</v>
      </c>
      <c r="C55" s="21" t="s">
        <v>55</v>
      </c>
      <c r="D55" s="6"/>
      <c r="E55" s="7"/>
      <c r="F55" s="22"/>
      <c r="G55" s="23"/>
      <c r="H55" s="23"/>
    </row>
    <row r="56" spans="1:8" x14ac:dyDescent="0.25">
      <c r="A56" s="13"/>
      <c r="B56" s="8" t="s">
        <v>9</v>
      </c>
      <c r="C56" s="24" t="s">
        <v>44</v>
      </c>
      <c r="D56" s="9"/>
      <c r="E56" s="10" t="s">
        <v>9</v>
      </c>
      <c r="F56" s="25"/>
      <c r="G56" s="26"/>
      <c r="H56" s="1" t="b">
        <f>IF(D59="x",H$2,H$1)</f>
        <v>0</v>
      </c>
    </row>
    <row r="57" spans="1:8" x14ac:dyDescent="0.25">
      <c r="A57" s="13"/>
      <c r="B57" s="8" t="s">
        <v>10</v>
      </c>
      <c r="C57" s="24" t="s">
        <v>30</v>
      </c>
      <c r="D57" s="9"/>
      <c r="E57" s="10" t="s">
        <v>10</v>
      </c>
      <c r="F57" s="27" t="str">
        <f>IF(H58=1,IF(H56=H$2,H56,""),"")</f>
        <v/>
      </c>
      <c r="G57" s="26"/>
      <c r="H57" s="1" t="str">
        <f>IF(E$97="comprobar",COUNTIF(D56:D60,"x"),"")</f>
        <v/>
      </c>
    </row>
    <row r="58" spans="1:8" x14ac:dyDescent="0.25">
      <c r="A58" s="13"/>
      <c r="B58" s="8" t="s">
        <v>11</v>
      </c>
      <c r="C58" s="24" t="s">
        <v>42</v>
      </c>
      <c r="D58" s="9"/>
      <c r="E58" s="10" t="s">
        <v>11</v>
      </c>
      <c r="F58" s="28" t="str">
        <f>IF(H58=-0.33,IF(H56=H$1,H56,""),"")</f>
        <v/>
      </c>
      <c r="G58" s="26"/>
      <c r="H58" s="29">
        <f>IF(H57=1,IF(H56=H$2,1,-0.33),0)</f>
        <v>0</v>
      </c>
    </row>
    <row r="59" spans="1:8" x14ac:dyDescent="0.25">
      <c r="A59" s="13"/>
      <c r="B59" s="8" t="s">
        <v>12</v>
      </c>
      <c r="C59" s="24" t="s">
        <v>56</v>
      </c>
      <c r="D59" s="9"/>
      <c r="E59" s="10" t="s">
        <v>12</v>
      </c>
      <c r="F59" s="25"/>
      <c r="G59" s="26"/>
      <c r="H59" s="1"/>
    </row>
    <row r="60" spans="1:8" x14ac:dyDescent="0.25">
      <c r="A60" s="13"/>
      <c r="B60" s="11"/>
      <c r="C60" s="12"/>
      <c r="D60" s="9"/>
      <c r="E60" s="10" t="s">
        <v>13</v>
      </c>
      <c r="F60" s="30"/>
      <c r="G60" s="26"/>
      <c r="H60" s="15"/>
    </row>
    <row r="61" spans="1:8" ht="31.5" x14ac:dyDescent="0.25">
      <c r="A61" s="13"/>
      <c r="B61" s="5">
        <v>10</v>
      </c>
      <c r="C61" s="21" t="s">
        <v>57</v>
      </c>
      <c r="D61" s="6"/>
      <c r="E61" s="7"/>
      <c r="F61" s="22"/>
      <c r="G61" s="31"/>
      <c r="H61" s="31"/>
    </row>
    <row r="62" spans="1:8" x14ac:dyDescent="0.25">
      <c r="A62" s="13"/>
      <c r="B62" s="8" t="s">
        <v>9</v>
      </c>
      <c r="C62" s="24" t="s">
        <v>28</v>
      </c>
      <c r="D62" s="9"/>
      <c r="E62" s="10" t="s">
        <v>9</v>
      </c>
      <c r="F62" s="25"/>
      <c r="G62" s="32"/>
      <c r="H62" s="1" t="b">
        <f>IF(D65="x",H$2,H$1)</f>
        <v>0</v>
      </c>
    </row>
    <row r="63" spans="1:8" x14ac:dyDescent="0.25">
      <c r="A63" s="13"/>
      <c r="B63" s="8" t="s">
        <v>10</v>
      </c>
      <c r="C63" s="24" t="s">
        <v>58</v>
      </c>
      <c r="D63" s="9"/>
      <c r="E63" s="10" t="s">
        <v>10</v>
      </c>
      <c r="F63" s="27" t="str">
        <f>IF(H64=1,IF(H62=H$2,H62,""),"")</f>
        <v/>
      </c>
      <c r="G63" s="32"/>
      <c r="H63" s="1" t="str">
        <f>IF(E$97="comprobar",COUNTIF(D62:D66,"x"),"")</f>
        <v/>
      </c>
    </row>
    <row r="64" spans="1:8" x14ac:dyDescent="0.25">
      <c r="A64" s="13"/>
      <c r="B64" s="8" t="s">
        <v>11</v>
      </c>
      <c r="C64" s="24" t="s">
        <v>44</v>
      </c>
      <c r="D64" s="9"/>
      <c r="E64" s="10" t="s">
        <v>11</v>
      </c>
      <c r="F64" s="28" t="str">
        <f>IF(H64=-0.33,IF(H62=H$1,H62,""),"")</f>
        <v/>
      </c>
      <c r="G64" s="32"/>
      <c r="H64" s="29">
        <f>IF(H63=1,IF(H62=H$2,1,-0.33),0)</f>
        <v>0</v>
      </c>
    </row>
    <row r="65" spans="1:8" x14ac:dyDescent="0.25">
      <c r="A65" s="13"/>
      <c r="B65" s="8" t="s">
        <v>12</v>
      </c>
      <c r="C65" s="24" t="s">
        <v>30</v>
      </c>
      <c r="D65" s="9"/>
      <c r="E65" s="10" t="s">
        <v>12</v>
      </c>
      <c r="F65" s="25"/>
      <c r="G65" s="32"/>
      <c r="H65" s="29"/>
    </row>
    <row r="66" spans="1:8" x14ac:dyDescent="0.25">
      <c r="A66" s="13"/>
      <c r="B66" s="11"/>
      <c r="C66" s="12"/>
      <c r="D66" s="9"/>
      <c r="E66" s="10" t="s">
        <v>13</v>
      </c>
      <c r="F66" s="30"/>
      <c r="G66" s="32"/>
      <c r="H66" s="29"/>
    </row>
    <row r="67" spans="1:8" x14ac:dyDescent="0.25">
      <c r="A67" s="13"/>
      <c r="B67" s="5">
        <v>11</v>
      </c>
      <c r="C67" s="21" t="s">
        <v>59</v>
      </c>
      <c r="D67" s="6"/>
      <c r="E67" s="7"/>
      <c r="F67" s="22"/>
      <c r="G67" s="31"/>
      <c r="H67" s="31"/>
    </row>
    <row r="68" spans="1:8" x14ac:dyDescent="0.25">
      <c r="A68" s="13"/>
      <c r="B68" s="8" t="s">
        <v>9</v>
      </c>
      <c r="C68" s="24" t="s">
        <v>60</v>
      </c>
      <c r="D68" s="9"/>
      <c r="E68" s="10" t="s">
        <v>9</v>
      </c>
      <c r="F68" s="25"/>
      <c r="G68" s="32"/>
      <c r="H68" s="1" t="b">
        <f>IF(D68="x",H$2,H$1)</f>
        <v>0</v>
      </c>
    </row>
    <row r="69" spans="1:8" ht="31.5" x14ac:dyDescent="0.25">
      <c r="A69" s="13"/>
      <c r="B69" s="8" t="s">
        <v>10</v>
      </c>
      <c r="C69" s="24" t="s">
        <v>61</v>
      </c>
      <c r="D69" s="9"/>
      <c r="E69" s="10" t="s">
        <v>10</v>
      </c>
      <c r="F69" s="27" t="str">
        <f>IF(H70=1,IF(H68=H$2,H68,""),"")</f>
        <v/>
      </c>
      <c r="G69" s="32"/>
      <c r="H69" s="1" t="str">
        <f>IF(E$97="comprobar",COUNTIF(D68:D72,"x"),"")</f>
        <v/>
      </c>
    </row>
    <row r="70" spans="1:8" x14ac:dyDescent="0.25">
      <c r="A70" s="13"/>
      <c r="B70" s="8" t="s">
        <v>11</v>
      </c>
      <c r="C70" s="24" t="s">
        <v>62</v>
      </c>
      <c r="D70" s="9"/>
      <c r="E70" s="10" t="s">
        <v>11</v>
      </c>
      <c r="F70" s="28" t="str">
        <f>IF(H70=-0.33,IF(H68=H$1,H68,""),"")</f>
        <v/>
      </c>
      <c r="G70" s="32"/>
      <c r="H70" s="29">
        <f>IF(H69=1,IF(H68=H$2,1,-0.33),0)</f>
        <v>0</v>
      </c>
    </row>
    <row r="71" spans="1:8" x14ac:dyDescent="0.25">
      <c r="A71" s="13"/>
      <c r="B71" s="8" t="s">
        <v>12</v>
      </c>
      <c r="C71" s="24" t="s">
        <v>63</v>
      </c>
      <c r="D71" s="9"/>
      <c r="E71" s="10" t="s">
        <v>12</v>
      </c>
      <c r="F71" s="25"/>
      <c r="G71" s="32"/>
      <c r="H71" s="29"/>
    </row>
    <row r="72" spans="1:8" x14ac:dyDescent="0.25">
      <c r="A72" s="13"/>
      <c r="B72" s="11"/>
      <c r="C72" s="12"/>
      <c r="D72" s="9"/>
      <c r="E72" s="10"/>
      <c r="F72" s="25"/>
      <c r="G72" s="32"/>
      <c r="H72" s="29"/>
    </row>
    <row r="73" spans="1:8" x14ac:dyDescent="0.25">
      <c r="A73" s="13"/>
      <c r="B73" s="5">
        <v>12</v>
      </c>
      <c r="C73" s="21" t="s">
        <v>64</v>
      </c>
      <c r="D73" s="6"/>
      <c r="E73" s="7"/>
      <c r="F73" s="22"/>
      <c r="G73" s="23"/>
      <c r="H73" s="23"/>
    </row>
    <row r="74" spans="1:8" x14ac:dyDescent="0.25">
      <c r="A74" s="13"/>
      <c r="B74" s="8" t="s">
        <v>9</v>
      </c>
      <c r="C74" s="24" t="s">
        <v>65</v>
      </c>
      <c r="D74" s="9"/>
      <c r="E74" s="10" t="s">
        <v>9</v>
      </c>
      <c r="F74" s="25"/>
      <c r="G74" s="26"/>
      <c r="H74" s="1" t="b">
        <f>IF(D75="x",H$2,H$1)</f>
        <v>0</v>
      </c>
    </row>
    <row r="75" spans="1:8" x14ac:dyDescent="0.25">
      <c r="A75" s="13"/>
      <c r="B75" s="8" t="s">
        <v>10</v>
      </c>
      <c r="C75" s="24" t="s">
        <v>66</v>
      </c>
      <c r="D75" s="9"/>
      <c r="E75" s="10" t="s">
        <v>10</v>
      </c>
      <c r="F75" s="27" t="str">
        <f>IF(H76=1,IF(H74=H$2,H74,""),"")</f>
        <v/>
      </c>
      <c r="G75" s="26"/>
      <c r="H75" s="1" t="str">
        <f>IF(E$97="comprobar",COUNTIF(D74:D78,"x"),"")</f>
        <v/>
      </c>
    </row>
    <row r="76" spans="1:8" x14ac:dyDescent="0.25">
      <c r="A76" s="13"/>
      <c r="B76" s="8" t="s">
        <v>11</v>
      </c>
      <c r="C76" s="24" t="s">
        <v>67</v>
      </c>
      <c r="D76" s="9"/>
      <c r="E76" s="10" t="s">
        <v>11</v>
      </c>
      <c r="F76" s="28" t="str">
        <f>IF(H76=-0.33,IF(H74=H$1,H74,""),"")</f>
        <v/>
      </c>
      <c r="G76" s="26"/>
      <c r="H76" s="29">
        <f>IF(H75=1,IF(H74=H$2,1,-0.33),0)</f>
        <v>0</v>
      </c>
    </row>
    <row r="77" spans="1:8" x14ac:dyDescent="0.25">
      <c r="A77" s="13"/>
      <c r="B77" s="8" t="s">
        <v>12</v>
      </c>
      <c r="C77" s="24" t="s">
        <v>68</v>
      </c>
      <c r="D77" s="9"/>
      <c r="E77" s="10" t="s">
        <v>12</v>
      </c>
      <c r="F77" s="25"/>
      <c r="G77" s="26"/>
      <c r="H77" s="29"/>
    </row>
    <row r="78" spans="1:8" x14ac:dyDescent="0.25">
      <c r="A78" s="13"/>
      <c r="B78" s="11"/>
      <c r="C78" s="12"/>
      <c r="D78" s="9"/>
      <c r="E78" s="10" t="s">
        <v>13</v>
      </c>
      <c r="F78" s="30"/>
      <c r="G78" s="26"/>
      <c r="H78" s="29"/>
    </row>
    <row r="79" spans="1:8" x14ac:dyDescent="0.25">
      <c r="A79" s="13"/>
      <c r="B79" s="5">
        <v>13</v>
      </c>
      <c r="C79" s="21" t="s">
        <v>69</v>
      </c>
      <c r="D79" s="6"/>
      <c r="E79" s="7"/>
      <c r="F79" s="22"/>
      <c r="G79" s="23"/>
      <c r="H79" s="23"/>
    </row>
    <row r="80" spans="1:8" ht="31.5" x14ac:dyDescent="0.25">
      <c r="A80" s="13"/>
      <c r="B80" s="8" t="s">
        <v>9</v>
      </c>
      <c r="C80" s="24" t="s">
        <v>70</v>
      </c>
      <c r="D80" s="9"/>
      <c r="E80" s="10" t="s">
        <v>9</v>
      </c>
      <c r="F80" s="25"/>
      <c r="G80" s="26"/>
      <c r="H80" s="1" t="b">
        <f>IF(D81="x",H$2,H$1)</f>
        <v>0</v>
      </c>
    </row>
    <row r="81" spans="1:8" x14ac:dyDescent="0.25">
      <c r="A81" s="13"/>
      <c r="B81" s="8" t="s">
        <v>10</v>
      </c>
      <c r="C81" s="24" t="s">
        <v>71</v>
      </c>
      <c r="D81" s="9"/>
      <c r="E81" s="10" t="s">
        <v>10</v>
      </c>
      <c r="F81" s="27" t="str">
        <f>IF(H82=1,IF(H80=H$2,H80,""),"")</f>
        <v/>
      </c>
      <c r="G81" s="26"/>
      <c r="H81" s="1" t="str">
        <f>IF(E$97="comprobar",COUNTIF(D80:D84,"x"),"")</f>
        <v/>
      </c>
    </row>
    <row r="82" spans="1:8" ht="31.5" x14ac:dyDescent="0.25">
      <c r="A82" s="13"/>
      <c r="B82" s="8" t="s">
        <v>11</v>
      </c>
      <c r="C82" s="24" t="s">
        <v>72</v>
      </c>
      <c r="D82" s="9"/>
      <c r="E82" s="10" t="s">
        <v>11</v>
      </c>
      <c r="F82" s="28" t="str">
        <f>IF(H82=-0.33,IF(H80=H$1,H80,""),"")</f>
        <v/>
      </c>
      <c r="G82" s="26"/>
      <c r="H82" s="29">
        <f t="shared" ref="H82" si="1">IF(H81=1,IF(H80=H$2,1,-0.33),0)</f>
        <v>0</v>
      </c>
    </row>
    <row r="83" spans="1:8" x14ac:dyDescent="0.25">
      <c r="A83" s="13"/>
      <c r="B83" s="8" t="s">
        <v>12</v>
      </c>
      <c r="C83" s="24" t="s">
        <v>73</v>
      </c>
      <c r="D83" s="9"/>
      <c r="E83" s="10" t="s">
        <v>12</v>
      </c>
      <c r="F83" s="25"/>
      <c r="G83" s="26"/>
      <c r="H83" s="26"/>
    </row>
    <row r="84" spans="1:8" x14ac:dyDescent="0.25">
      <c r="A84" s="13"/>
      <c r="B84" s="11"/>
      <c r="C84" s="12"/>
      <c r="D84" s="9"/>
      <c r="E84" s="10" t="s">
        <v>13</v>
      </c>
      <c r="F84" s="30"/>
      <c r="G84" s="26"/>
      <c r="H84" s="26"/>
    </row>
    <row r="85" spans="1:8" x14ac:dyDescent="0.25">
      <c r="A85" s="13"/>
      <c r="B85" s="5">
        <v>14</v>
      </c>
      <c r="C85" s="21" t="s">
        <v>74</v>
      </c>
      <c r="D85" s="6"/>
      <c r="E85" s="7"/>
      <c r="F85" s="22"/>
      <c r="G85" s="23"/>
      <c r="H85" s="23"/>
    </row>
    <row r="86" spans="1:8" x14ac:dyDescent="0.25">
      <c r="A86" s="13"/>
      <c r="B86" s="8" t="s">
        <v>9</v>
      </c>
      <c r="C86" s="24" t="s">
        <v>75</v>
      </c>
      <c r="D86" s="9"/>
      <c r="E86" s="10" t="s">
        <v>9</v>
      </c>
      <c r="F86" s="25"/>
      <c r="G86" s="26"/>
      <c r="H86" s="1" t="b">
        <f>IF(D88="x",H$2,H$1)</f>
        <v>0</v>
      </c>
    </row>
    <row r="87" spans="1:8" x14ac:dyDescent="0.25">
      <c r="A87" s="13"/>
      <c r="B87" s="8" t="s">
        <v>10</v>
      </c>
      <c r="C87" s="24" t="s">
        <v>76</v>
      </c>
      <c r="D87" s="9"/>
      <c r="E87" s="10" t="s">
        <v>10</v>
      </c>
      <c r="F87" s="27" t="str">
        <f>IF(H88=1,IF(H86=H$2,H86,""),"")</f>
        <v/>
      </c>
      <c r="G87" s="26"/>
      <c r="H87" s="1" t="str">
        <f>IF(E$97="comprobar",COUNTIF(D86:D90,"x"),"")</f>
        <v/>
      </c>
    </row>
    <row r="88" spans="1:8" x14ac:dyDescent="0.25">
      <c r="A88" s="13"/>
      <c r="B88" s="8" t="s">
        <v>11</v>
      </c>
      <c r="C88" s="24" t="s">
        <v>77</v>
      </c>
      <c r="D88" s="9"/>
      <c r="E88" s="10" t="s">
        <v>11</v>
      </c>
      <c r="F88" s="28" t="str">
        <f>IF(H88=-0.33,IF(H86=H$1,H86,""),"")</f>
        <v/>
      </c>
      <c r="G88" s="26"/>
      <c r="H88" s="29">
        <f>IF(H87=1,IF(H86=H$2,1,-0.33),0)</f>
        <v>0</v>
      </c>
    </row>
    <row r="89" spans="1:8" x14ac:dyDescent="0.25">
      <c r="A89" s="13"/>
      <c r="B89" s="8" t="s">
        <v>12</v>
      </c>
      <c r="C89" s="24" t="s">
        <v>78</v>
      </c>
      <c r="D89" s="9"/>
      <c r="E89" s="10" t="s">
        <v>12</v>
      </c>
      <c r="F89" s="25"/>
      <c r="G89" s="26"/>
      <c r="H89" s="26"/>
    </row>
    <row r="90" spans="1:8" x14ac:dyDescent="0.25">
      <c r="A90" s="13"/>
      <c r="B90" s="11"/>
      <c r="C90" s="12"/>
      <c r="D90" s="9"/>
      <c r="E90" s="10" t="s">
        <v>13</v>
      </c>
      <c r="F90" s="30"/>
      <c r="G90" s="26"/>
      <c r="H90" s="26"/>
    </row>
    <row r="91" spans="1:8" ht="31.5" x14ac:dyDescent="0.25">
      <c r="A91" s="13"/>
      <c r="B91" s="5">
        <v>15</v>
      </c>
      <c r="C91" s="21" t="s">
        <v>79</v>
      </c>
      <c r="D91" s="6"/>
      <c r="E91" s="7"/>
      <c r="F91" s="22"/>
      <c r="G91" s="23"/>
      <c r="H91" s="23"/>
    </row>
    <row r="92" spans="1:8" x14ac:dyDescent="0.25">
      <c r="A92" s="13"/>
      <c r="B92" s="8" t="s">
        <v>9</v>
      </c>
      <c r="C92" s="24" t="s">
        <v>42</v>
      </c>
      <c r="D92" s="9"/>
      <c r="E92" s="10" t="s">
        <v>9</v>
      </c>
      <c r="F92" s="25"/>
      <c r="G92" s="26"/>
      <c r="H92" s="1" t="b">
        <f>IF(D93="x",H$2,H$1)</f>
        <v>0</v>
      </c>
    </row>
    <row r="93" spans="1:8" x14ac:dyDescent="0.25">
      <c r="A93" s="13"/>
      <c r="B93" s="8" t="s">
        <v>10</v>
      </c>
      <c r="C93" s="24" t="s">
        <v>28</v>
      </c>
      <c r="D93" s="9"/>
      <c r="E93" s="10" t="s">
        <v>10</v>
      </c>
      <c r="F93" s="27" t="str">
        <f>IF(H94=1,IF(H92=H$2,H92,""),"")</f>
        <v/>
      </c>
      <c r="G93" s="26"/>
      <c r="H93" s="1" t="str">
        <f>IF(E$97="comprobar",COUNTIF(D92:D96,"x"),"")</f>
        <v/>
      </c>
    </row>
    <row r="94" spans="1:8" x14ac:dyDescent="0.25">
      <c r="A94" s="13"/>
      <c r="B94" s="8" t="s">
        <v>11</v>
      </c>
      <c r="C94" s="24" t="s">
        <v>29</v>
      </c>
      <c r="D94" s="9"/>
      <c r="E94" s="10" t="s">
        <v>11</v>
      </c>
      <c r="F94" s="28" t="str">
        <f>IF(H94=-0.33,IF(H92=H$1,H92,""),"")</f>
        <v/>
      </c>
      <c r="G94" s="26"/>
      <c r="H94" s="29">
        <f>IF(H93=1,IF(H92=H$2,1,-0.33),0)</f>
        <v>0</v>
      </c>
    </row>
    <row r="95" spans="1:8" x14ac:dyDescent="0.25">
      <c r="A95" s="13"/>
      <c r="B95" s="8" t="s">
        <v>12</v>
      </c>
      <c r="C95" s="24" t="s">
        <v>80</v>
      </c>
      <c r="D95" s="9"/>
      <c r="E95" s="10" t="s">
        <v>12</v>
      </c>
      <c r="F95" s="25"/>
      <c r="G95" s="26"/>
      <c r="H95" s="29"/>
    </row>
    <row r="96" spans="1:8" x14ac:dyDescent="0.25">
      <c r="A96" s="13"/>
      <c r="B96" s="11"/>
      <c r="C96" s="12"/>
      <c r="D96" s="9"/>
      <c r="E96" s="10" t="s">
        <v>13</v>
      </c>
      <c r="F96" s="30"/>
      <c r="G96" s="26"/>
      <c r="H96" s="29"/>
    </row>
    <row r="97" spans="1:8" x14ac:dyDescent="0.25">
      <c r="A97" s="13"/>
      <c r="B97" s="33"/>
      <c r="C97" s="4"/>
      <c r="D97" s="34"/>
      <c r="E97" s="35"/>
      <c r="F97" s="30"/>
      <c r="G97" s="26"/>
      <c r="H97" s="26"/>
    </row>
    <row r="98" spans="1:8" x14ac:dyDescent="0.25">
      <c r="A98" s="13"/>
      <c r="B98" s="33"/>
      <c r="C98" s="4"/>
      <c r="D98" s="34"/>
      <c r="E98" s="36"/>
      <c r="F98" s="37" t="s">
        <v>8</v>
      </c>
      <c r="G98" s="26" t="s">
        <v>6</v>
      </c>
      <c r="H98" s="26" t="s">
        <v>7</v>
      </c>
    </row>
    <row r="99" spans="1:8" ht="19.5" x14ac:dyDescent="0.25">
      <c r="A99" s="13"/>
      <c r="B99" s="33"/>
      <c r="C99" s="38"/>
      <c r="D99" s="51"/>
      <c r="E99" s="51"/>
      <c r="F99" s="39" t="str">
        <f>IF(E97="comprobar",H64+H58+H52+H46+H40+H34+H28+H22+H16+H10+H70+H76+H82+H88+H94,"")</f>
        <v/>
      </c>
      <c r="G99" s="26">
        <f>10/2</f>
        <v>5</v>
      </c>
      <c r="H99" s="26"/>
    </row>
    <row r="100" spans="1:8" ht="16.5" thickBot="1" x14ac:dyDescent="0.3">
      <c r="A100" s="13"/>
      <c r="B100" s="40"/>
      <c r="C100" s="41"/>
      <c r="D100" s="42"/>
      <c r="E100" s="43"/>
      <c r="F100" s="44" t="str">
        <f>IF(F99&gt;G99,G98,H98)</f>
        <v>APROBADO</v>
      </c>
      <c r="G100" s="26"/>
      <c r="H100" s="26"/>
    </row>
    <row r="101" spans="1:8" ht="28.5" x14ac:dyDescent="0.45">
      <c r="B101" s="19" t="s">
        <v>81</v>
      </c>
      <c r="C101" s="49" t="s">
        <v>82</v>
      </c>
      <c r="D101" s="49"/>
      <c r="E101" s="49"/>
      <c r="F101" s="50"/>
      <c r="G101" s="20"/>
      <c r="H101" s="20"/>
    </row>
    <row r="102" spans="1:8" x14ac:dyDescent="0.25">
      <c r="B102" s="5">
        <v>1</v>
      </c>
      <c r="C102" s="21" t="s">
        <v>88</v>
      </c>
      <c r="D102" s="6"/>
      <c r="E102" s="7"/>
      <c r="F102" s="22"/>
      <c r="G102" s="23"/>
      <c r="H102" s="23"/>
    </row>
    <row r="103" spans="1:8" x14ac:dyDescent="0.25">
      <c r="B103" s="8" t="s">
        <v>9</v>
      </c>
      <c r="C103" s="24" t="s">
        <v>89</v>
      </c>
      <c r="D103" s="9"/>
      <c r="E103" s="10" t="s">
        <v>9</v>
      </c>
      <c r="F103" s="25"/>
      <c r="G103" s="26"/>
      <c r="H103" s="1" t="b">
        <f>IF(D105="x",H$2,H$1)</f>
        <v>0</v>
      </c>
    </row>
    <row r="104" spans="1:8" x14ac:dyDescent="0.25">
      <c r="B104" s="8" t="s">
        <v>10</v>
      </c>
      <c r="C104" s="24" t="s">
        <v>90</v>
      </c>
      <c r="D104" s="9"/>
      <c r="E104" s="10" t="s">
        <v>10</v>
      </c>
      <c r="F104" s="27" t="str">
        <f>IF(H105=1,IF(H103=H$2,H103,""),"")</f>
        <v/>
      </c>
      <c r="G104" s="26"/>
      <c r="H104" s="1" t="str">
        <f>IF(G191="comprobar",COUNTIF(D103:D107,"x"),"")</f>
        <v/>
      </c>
    </row>
    <row r="105" spans="1:8" x14ac:dyDescent="0.25">
      <c r="B105" s="8" t="s">
        <v>11</v>
      </c>
      <c r="C105" s="24" t="s">
        <v>46</v>
      </c>
      <c r="D105" s="9"/>
      <c r="E105" s="10" t="s">
        <v>11</v>
      </c>
      <c r="F105" s="28" t="str">
        <f>IF(H105=-0.33,IF(H103=H$1,H103,""),"")</f>
        <v/>
      </c>
      <c r="G105" s="26"/>
      <c r="H105" s="29">
        <f>IF(H104=1,IF(H103=H$2,1,-0.33),0)</f>
        <v>0</v>
      </c>
    </row>
    <row r="106" spans="1:8" x14ac:dyDescent="0.25">
      <c r="B106" s="8" t="s">
        <v>12</v>
      </c>
      <c r="C106" s="24" t="s">
        <v>91</v>
      </c>
      <c r="D106" s="9"/>
      <c r="E106" s="10" t="s">
        <v>12</v>
      </c>
      <c r="F106" s="25"/>
      <c r="G106" s="26"/>
      <c r="H106" s="29"/>
    </row>
    <row r="107" spans="1:8" x14ac:dyDescent="0.25">
      <c r="B107" s="11"/>
      <c r="C107" s="12"/>
      <c r="D107" s="9"/>
      <c r="E107" s="10" t="s">
        <v>13</v>
      </c>
      <c r="F107" s="30"/>
      <c r="G107" s="26"/>
      <c r="H107" s="29"/>
    </row>
    <row r="108" spans="1:8" x14ac:dyDescent="0.25">
      <c r="B108" s="5">
        <v>2</v>
      </c>
      <c r="C108" s="21" t="s">
        <v>92</v>
      </c>
      <c r="D108" s="6"/>
      <c r="E108" s="7"/>
      <c r="F108" s="22"/>
      <c r="G108" s="23"/>
      <c r="H108" s="23"/>
    </row>
    <row r="109" spans="1:8" x14ac:dyDescent="0.25">
      <c r="B109" s="8" t="s">
        <v>9</v>
      </c>
      <c r="C109" s="24" t="s">
        <v>93</v>
      </c>
      <c r="D109" s="9"/>
      <c r="E109" s="10" t="s">
        <v>9</v>
      </c>
      <c r="F109" s="25"/>
      <c r="G109" s="26"/>
      <c r="H109" s="1" t="b">
        <f>IF(D112="x",H$2,H$1)</f>
        <v>0</v>
      </c>
    </row>
    <row r="110" spans="1:8" x14ac:dyDescent="0.25">
      <c r="B110" s="8" t="s">
        <v>10</v>
      </c>
      <c r="C110" s="24" t="s">
        <v>94</v>
      </c>
      <c r="D110" s="9"/>
      <c r="E110" s="10" t="s">
        <v>10</v>
      </c>
      <c r="F110" s="27" t="str">
        <f>IF(H111=1,IF(H109=H$2,H109,""),"")</f>
        <v/>
      </c>
      <c r="G110" s="26"/>
      <c r="H110" s="1" t="str">
        <f>IF(G191="comprobar",COUNTIF(D109:D113,"x"),"")</f>
        <v/>
      </c>
    </row>
    <row r="111" spans="1:8" x14ac:dyDescent="0.25">
      <c r="B111" s="8" t="s">
        <v>11</v>
      </c>
      <c r="C111" s="24" t="s">
        <v>95</v>
      </c>
      <c r="D111" s="9"/>
      <c r="E111" s="10" t="s">
        <v>11</v>
      </c>
      <c r="F111" s="28" t="str">
        <f>IF(H111=-0.33,IF(H109=H$1,H109,""),"")</f>
        <v/>
      </c>
      <c r="G111" s="26"/>
      <c r="H111" s="29">
        <f>IF(H110=1,IF(H109=H$2,1,-0.33),0)</f>
        <v>0</v>
      </c>
    </row>
    <row r="112" spans="1:8" x14ac:dyDescent="0.25">
      <c r="B112" s="8" t="s">
        <v>12</v>
      </c>
      <c r="C112" s="24" t="s">
        <v>96</v>
      </c>
      <c r="D112" s="9"/>
      <c r="E112" s="10" t="s">
        <v>12</v>
      </c>
      <c r="F112" s="25"/>
      <c r="G112" s="26"/>
      <c r="H112" s="26"/>
    </row>
    <row r="113" spans="2:8" x14ac:dyDescent="0.25">
      <c r="B113" s="11"/>
      <c r="C113" s="12"/>
      <c r="D113" s="9"/>
      <c r="E113" s="10" t="s">
        <v>13</v>
      </c>
      <c r="F113" s="30"/>
      <c r="G113" s="26"/>
      <c r="H113" s="26"/>
    </row>
    <row r="114" spans="2:8" x14ac:dyDescent="0.25">
      <c r="B114" s="5">
        <v>3</v>
      </c>
      <c r="C114" s="21" t="s">
        <v>97</v>
      </c>
      <c r="D114" s="6"/>
      <c r="E114" s="7"/>
      <c r="F114" s="22"/>
      <c r="G114" s="23"/>
      <c r="H114" s="23"/>
    </row>
    <row r="115" spans="2:8" x14ac:dyDescent="0.25">
      <c r="B115" s="8" t="s">
        <v>9</v>
      </c>
      <c r="C115" s="24" t="s">
        <v>98</v>
      </c>
      <c r="D115" s="9"/>
      <c r="E115" s="10" t="s">
        <v>9</v>
      </c>
      <c r="F115" s="25"/>
      <c r="G115" s="26"/>
      <c r="H115" s="1" t="b">
        <f>IF(D117="x",H$2,H$1)</f>
        <v>0</v>
      </c>
    </row>
    <row r="116" spans="2:8" x14ac:dyDescent="0.25">
      <c r="B116" s="8" t="s">
        <v>10</v>
      </c>
      <c r="C116" s="24" t="s">
        <v>99</v>
      </c>
      <c r="D116" s="9"/>
      <c r="E116" s="10" t="s">
        <v>10</v>
      </c>
      <c r="F116" s="27" t="str">
        <f>IF(H117=1,IF(H115=H$2,H115,""),"")</f>
        <v/>
      </c>
      <c r="G116" s="26"/>
      <c r="H116" s="1" t="str">
        <f>IF(G191="comprobar",COUNTIF(D115:D119,"x"),"")</f>
        <v/>
      </c>
    </row>
    <row r="117" spans="2:8" x14ac:dyDescent="0.25">
      <c r="B117" s="8" t="s">
        <v>11</v>
      </c>
      <c r="C117" s="24" t="s">
        <v>100</v>
      </c>
      <c r="D117" s="9"/>
      <c r="E117" s="10" t="s">
        <v>11</v>
      </c>
      <c r="F117" s="28" t="str">
        <f>IF(H117=-0.33,IF(H115=H$1,H115,""),"")</f>
        <v/>
      </c>
      <c r="G117" s="26"/>
      <c r="H117" s="29">
        <f>IF(H116=1,IF(H115=H$2,1,-0.33),0)</f>
        <v>0</v>
      </c>
    </row>
    <row r="118" spans="2:8" x14ac:dyDescent="0.25">
      <c r="B118" s="8" t="s">
        <v>12</v>
      </c>
      <c r="C118" s="24" t="s">
        <v>101</v>
      </c>
      <c r="D118" s="9"/>
      <c r="E118" s="10" t="s">
        <v>12</v>
      </c>
      <c r="F118" s="25"/>
      <c r="G118" s="26"/>
      <c r="H118" s="29"/>
    </row>
    <row r="119" spans="2:8" x14ac:dyDescent="0.25">
      <c r="B119" s="11"/>
      <c r="C119" s="12"/>
      <c r="D119" s="9"/>
      <c r="E119" s="10" t="s">
        <v>13</v>
      </c>
      <c r="F119" s="30"/>
      <c r="G119" s="26"/>
      <c r="H119" s="29"/>
    </row>
    <row r="120" spans="2:8" x14ac:dyDescent="0.25">
      <c r="B120" s="5">
        <v>4</v>
      </c>
      <c r="C120" s="21" t="s">
        <v>102</v>
      </c>
      <c r="D120" s="6"/>
      <c r="E120" s="7"/>
      <c r="F120" s="22"/>
      <c r="G120" s="23"/>
      <c r="H120" s="23"/>
    </row>
    <row r="121" spans="2:8" x14ac:dyDescent="0.25">
      <c r="B121" s="8" t="s">
        <v>9</v>
      </c>
      <c r="C121" s="24" t="s">
        <v>103</v>
      </c>
      <c r="D121" s="9"/>
      <c r="E121" s="10" t="s">
        <v>9</v>
      </c>
      <c r="F121" s="25"/>
      <c r="G121" s="26"/>
      <c r="H121" s="1" t="b">
        <f>IF(D121="x",H$2,H$1)</f>
        <v>0</v>
      </c>
    </row>
    <row r="122" spans="2:8" x14ac:dyDescent="0.25">
      <c r="B122" s="8" t="s">
        <v>10</v>
      </c>
      <c r="C122" s="24" t="s">
        <v>104</v>
      </c>
      <c r="D122" s="9"/>
      <c r="E122" s="10" t="s">
        <v>10</v>
      </c>
      <c r="F122" s="27" t="str">
        <f>IF(H123=1,IF(H121=H$2,H121,""),"")</f>
        <v/>
      </c>
      <c r="G122" s="26"/>
      <c r="H122" s="1" t="str">
        <f>IF(G191="comprobar",COUNTIF(D121:D125,"x"),"")</f>
        <v/>
      </c>
    </row>
    <row r="123" spans="2:8" x14ac:dyDescent="0.25">
      <c r="B123" s="8" t="s">
        <v>11</v>
      </c>
      <c r="C123" s="24" t="s">
        <v>105</v>
      </c>
      <c r="D123" s="9"/>
      <c r="E123" s="10" t="s">
        <v>11</v>
      </c>
      <c r="F123" s="28" t="str">
        <f>IF(H123=-0.33,IF(H121=H$1,H121,""),"")</f>
        <v/>
      </c>
      <c r="G123" s="26"/>
      <c r="H123" s="29">
        <f>IF(H122=1,IF(H121=H$2,1,-0.33),0)</f>
        <v>0</v>
      </c>
    </row>
    <row r="124" spans="2:8" x14ac:dyDescent="0.25">
      <c r="B124" s="8" t="s">
        <v>12</v>
      </c>
      <c r="C124" s="24" t="s">
        <v>106</v>
      </c>
      <c r="D124" s="9"/>
      <c r="E124" s="10" t="s">
        <v>12</v>
      </c>
      <c r="F124" s="25"/>
      <c r="G124" s="26"/>
      <c r="H124" s="29"/>
    </row>
    <row r="125" spans="2:8" x14ac:dyDescent="0.25">
      <c r="B125" s="11"/>
      <c r="C125" s="12"/>
      <c r="D125" s="9"/>
      <c r="E125" s="10" t="s">
        <v>13</v>
      </c>
      <c r="F125" s="30"/>
      <c r="G125" s="26"/>
      <c r="H125" s="29"/>
    </row>
    <row r="126" spans="2:8" x14ac:dyDescent="0.25">
      <c r="B126" s="5">
        <v>5</v>
      </c>
      <c r="C126" s="21" t="s">
        <v>107</v>
      </c>
      <c r="D126" s="6"/>
      <c r="E126" s="7"/>
      <c r="F126" s="22"/>
      <c r="G126" s="23"/>
      <c r="H126" s="23"/>
    </row>
    <row r="127" spans="2:8" x14ac:dyDescent="0.25">
      <c r="B127" s="8" t="s">
        <v>9</v>
      </c>
      <c r="C127" s="24" t="s">
        <v>108</v>
      </c>
      <c r="D127" s="9"/>
      <c r="E127" s="10" t="s">
        <v>9</v>
      </c>
      <c r="F127" s="25"/>
      <c r="G127" s="26"/>
      <c r="H127" s="1" t="b">
        <f>IF(D130="x",H$2,H$1)</f>
        <v>0</v>
      </c>
    </row>
    <row r="128" spans="2:8" x14ac:dyDescent="0.25">
      <c r="B128" s="8" t="s">
        <v>10</v>
      </c>
      <c r="C128" s="24" t="s">
        <v>109</v>
      </c>
      <c r="D128" s="9"/>
      <c r="E128" s="10" t="s">
        <v>10</v>
      </c>
      <c r="F128" s="27" t="str">
        <f>IF(H129=1,IF(H127=H$2,H127,""),"")</f>
        <v/>
      </c>
      <c r="G128" s="26"/>
      <c r="H128" s="1" t="str">
        <f>IF(G191="comprobar",COUNTIF(D127:D131,"x"),"")</f>
        <v/>
      </c>
    </row>
    <row r="129" spans="2:8" x14ac:dyDescent="0.25">
      <c r="B129" s="8" t="s">
        <v>11</v>
      </c>
      <c r="C129" s="24" t="s">
        <v>110</v>
      </c>
      <c r="D129" s="9"/>
      <c r="E129" s="10" t="s">
        <v>11</v>
      </c>
      <c r="F129" s="28" t="str">
        <f>IF(H129=-0.33,IF(H127=H$1,H127,""),"")</f>
        <v/>
      </c>
      <c r="G129" s="26"/>
      <c r="H129" s="29">
        <f t="shared" ref="H129" si="2">IF(H128=1,IF(H127=H$2,1,-0.33),0)</f>
        <v>0</v>
      </c>
    </row>
    <row r="130" spans="2:8" x14ac:dyDescent="0.25">
      <c r="B130" s="8" t="s">
        <v>12</v>
      </c>
      <c r="C130" s="24" t="s">
        <v>111</v>
      </c>
      <c r="D130" s="9"/>
      <c r="E130" s="10" t="s">
        <v>12</v>
      </c>
      <c r="F130" s="25"/>
      <c r="G130" s="26"/>
      <c r="H130" s="26"/>
    </row>
    <row r="131" spans="2:8" x14ac:dyDescent="0.25">
      <c r="B131" s="11"/>
      <c r="C131" s="12"/>
      <c r="D131" s="9"/>
      <c r="E131" s="10" t="s">
        <v>13</v>
      </c>
      <c r="F131" s="30"/>
      <c r="G131" s="26"/>
      <c r="H131" s="26"/>
    </row>
    <row r="132" spans="2:8" ht="31.5" x14ac:dyDescent="0.25">
      <c r="B132" s="5">
        <v>6</v>
      </c>
      <c r="C132" s="21" t="s">
        <v>112</v>
      </c>
      <c r="D132" s="6"/>
      <c r="E132" s="7"/>
      <c r="F132" s="22"/>
      <c r="G132" s="23"/>
      <c r="H132" s="23"/>
    </row>
    <row r="133" spans="2:8" x14ac:dyDescent="0.25">
      <c r="B133" s="8" t="s">
        <v>9</v>
      </c>
      <c r="C133" s="24" t="s">
        <v>101</v>
      </c>
      <c r="D133" s="9"/>
      <c r="E133" s="10" t="s">
        <v>9</v>
      </c>
      <c r="F133" s="25"/>
      <c r="G133" s="26"/>
      <c r="H133" s="1" t="b">
        <f>IF(D134="x",H$2,H$1)</f>
        <v>0</v>
      </c>
    </row>
    <row r="134" spans="2:8" x14ac:dyDescent="0.25">
      <c r="B134" s="8" t="s">
        <v>10</v>
      </c>
      <c r="C134" s="24" t="s">
        <v>98</v>
      </c>
      <c r="D134" s="9"/>
      <c r="E134" s="10" t="s">
        <v>10</v>
      </c>
      <c r="F134" s="27" t="str">
        <f>IF(H135=1,IF(H133=H$2,H133,""),"")</f>
        <v/>
      </c>
      <c r="G134" s="26"/>
      <c r="H134" s="1" t="str">
        <f>IF(G191="comprobar",COUNTIF(D133:D137,"x"),"")</f>
        <v/>
      </c>
    </row>
    <row r="135" spans="2:8" x14ac:dyDescent="0.25">
      <c r="B135" s="8" t="s">
        <v>11</v>
      </c>
      <c r="C135" s="24" t="s">
        <v>100</v>
      </c>
      <c r="D135" s="9"/>
      <c r="E135" s="10" t="s">
        <v>11</v>
      </c>
      <c r="F135" s="28" t="str">
        <f>IF(H135=-0.33,IF(H133=H$1,H133,""),"")</f>
        <v/>
      </c>
      <c r="G135" s="26"/>
      <c r="H135" s="29">
        <f>IF(H134=1,IF(H133=H$2,1,-0.33),0)</f>
        <v>0</v>
      </c>
    </row>
    <row r="136" spans="2:8" x14ac:dyDescent="0.25">
      <c r="B136" s="8" t="s">
        <v>12</v>
      </c>
      <c r="C136" s="24" t="s">
        <v>99</v>
      </c>
      <c r="D136" s="9"/>
      <c r="E136" s="10" t="s">
        <v>12</v>
      </c>
      <c r="F136" s="25"/>
      <c r="G136" s="26"/>
      <c r="H136" s="26"/>
    </row>
    <row r="137" spans="2:8" x14ac:dyDescent="0.25">
      <c r="B137" s="11"/>
      <c r="C137" s="12"/>
      <c r="D137" s="9"/>
      <c r="E137" s="10" t="s">
        <v>13</v>
      </c>
      <c r="F137" s="30"/>
      <c r="G137" s="26"/>
      <c r="H137" s="26"/>
    </row>
    <row r="138" spans="2:8" x14ac:dyDescent="0.25">
      <c r="B138" s="5">
        <v>7</v>
      </c>
      <c r="C138" s="21" t="s">
        <v>113</v>
      </c>
      <c r="D138" s="6"/>
      <c r="E138" s="7"/>
      <c r="F138" s="22"/>
      <c r="G138" s="23"/>
      <c r="H138" s="23"/>
    </row>
    <row r="139" spans="2:8" x14ac:dyDescent="0.25">
      <c r="B139" s="8" t="s">
        <v>9</v>
      </c>
      <c r="C139" s="24" t="s">
        <v>114</v>
      </c>
      <c r="D139" s="9"/>
      <c r="E139" s="10" t="s">
        <v>9</v>
      </c>
      <c r="F139" s="25"/>
      <c r="G139" s="26"/>
      <c r="H139" s="1" t="b">
        <f>IF(D141="x",H$2,H$1)</f>
        <v>0</v>
      </c>
    </row>
    <row r="140" spans="2:8" x14ac:dyDescent="0.25">
      <c r="B140" s="8" t="s">
        <v>10</v>
      </c>
      <c r="C140" s="24" t="s">
        <v>115</v>
      </c>
      <c r="D140" s="9"/>
      <c r="E140" s="10" t="s">
        <v>10</v>
      </c>
      <c r="F140" s="27" t="str">
        <f>IF(H141=1,IF(H139=H$2,H139,""),"")</f>
        <v/>
      </c>
      <c r="G140" s="26"/>
      <c r="H140" s="1" t="str">
        <f>IF(G191="comprobar",COUNTIF(D139:D143,"x"),"")</f>
        <v/>
      </c>
    </row>
    <row r="141" spans="2:8" x14ac:dyDescent="0.25">
      <c r="B141" s="8" t="s">
        <v>11</v>
      </c>
      <c r="C141" s="24" t="s">
        <v>116</v>
      </c>
      <c r="D141" s="9"/>
      <c r="E141" s="10" t="s">
        <v>11</v>
      </c>
      <c r="F141" s="28" t="str">
        <f>IF(H141=-0.33,IF(H139=H$1,H139,""),"")</f>
        <v/>
      </c>
      <c r="G141" s="26"/>
      <c r="H141" s="29">
        <f>IF(H140=1,IF(H139=H$2,1,-0.33),0)</f>
        <v>0</v>
      </c>
    </row>
    <row r="142" spans="2:8" x14ac:dyDescent="0.25">
      <c r="B142" s="8" t="s">
        <v>12</v>
      </c>
      <c r="C142" s="24" t="s">
        <v>117</v>
      </c>
      <c r="D142" s="9"/>
      <c r="E142" s="10" t="s">
        <v>12</v>
      </c>
      <c r="F142" s="25"/>
      <c r="G142" s="26"/>
      <c r="H142" s="29"/>
    </row>
    <row r="143" spans="2:8" x14ac:dyDescent="0.25">
      <c r="B143" s="11"/>
      <c r="C143" s="12"/>
      <c r="D143" s="9"/>
      <c r="E143" s="10" t="s">
        <v>13</v>
      </c>
      <c r="F143" s="30"/>
      <c r="G143" s="26"/>
      <c r="H143" s="29"/>
    </row>
    <row r="144" spans="2:8" x14ac:dyDescent="0.25">
      <c r="B144" s="5">
        <v>8</v>
      </c>
      <c r="C144" s="21" t="s">
        <v>118</v>
      </c>
      <c r="D144" s="6"/>
      <c r="E144" s="7"/>
      <c r="F144" s="22"/>
      <c r="G144" s="23"/>
      <c r="H144" s="23"/>
    </row>
    <row r="145" spans="2:8" x14ac:dyDescent="0.25">
      <c r="B145" s="8" t="s">
        <v>9</v>
      </c>
      <c r="C145" s="24" t="s">
        <v>119</v>
      </c>
      <c r="D145" s="9"/>
      <c r="E145" s="10" t="s">
        <v>9</v>
      </c>
      <c r="F145" s="25"/>
      <c r="G145" s="26"/>
      <c r="H145" s="1" t="b">
        <f>IF(D147="x",H$2,H$1)</f>
        <v>0</v>
      </c>
    </row>
    <row r="146" spans="2:8" x14ac:dyDescent="0.25">
      <c r="B146" s="8" t="s">
        <v>10</v>
      </c>
      <c r="C146" s="24" t="s">
        <v>120</v>
      </c>
      <c r="D146" s="9"/>
      <c r="E146" s="10" t="s">
        <v>10</v>
      </c>
      <c r="F146" s="27" t="str">
        <f>IF(H147=1,IF(H145=H$2,H145,""),"")</f>
        <v/>
      </c>
      <c r="G146" s="26"/>
      <c r="H146" s="1" t="str">
        <f>IF(G191="comprobar",COUNTIF(D145:D149,"x"),"")</f>
        <v/>
      </c>
    </row>
    <row r="147" spans="2:8" x14ac:dyDescent="0.25">
      <c r="B147" s="8" t="s">
        <v>11</v>
      </c>
      <c r="C147" s="24" t="s">
        <v>121</v>
      </c>
      <c r="D147" s="9"/>
      <c r="E147" s="10" t="s">
        <v>11</v>
      </c>
      <c r="F147" s="28" t="str">
        <f>IF(H147=-0.33,IF(H145=H$1,H145,""),"")</f>
        <v/>
      </c>
      <c r="G147" s="26"/>
      <c r="H147" s="29">
        <f>IF(H146=1,IF(H145=H$2,1,-0.33),0)</f>
        <v>0</v>
      </c>
    </row>
    <row r="148" spans="2:8" x14ac:dyDescent="0.25">
      <c r="B148" s="8" t="s">
        <v>12</v>
      </c>
      <c r="C148" s="24" t="s">
        <v>122</v>
      </c>
      <c r="D148" s="9"/>
      <c r="E148" s="10" t="s">
        <v>12</v>
      </c>
      <c r="F148" s="25"/>
      <c r="G148" s="26"/>
      <c r="H148" s="29"/>
    </row>
    <row r="149" spans="2:8" x14ac:dyDescent="0.25">
      <c r="B149" s="11"/>
      <c r="C149" s="12"/>
      <c r="D149" s="9"/>
      <c r="E149" s="10" t="s">
        <v>13</v>
      </c>
      <c r="F149" s="30"/>
      <c r="G149" s="26"/>
      <c r="H149" s="29"/>
    </row>
    <row r="150" spans="2:8" x14ac:dyDescent="0.25">
      <c r="B150" s="5">
        <v>9</v>
      </c>
      <c r="C150" s="21" t="s">
        <v>123</v>
      </c>
      <c r="D150" s="6"/>
      <c r="E150" s="7"/>
      <c r="F150" s="22"/>
      <c r="G150" s="23"/>
      <c r="H150" s="23"/>
    </row>
    <row r="151" spans="2:8" x14ac:dyDescent="0.25">
      <c r="B151" s="8" t="s">
        <v>9</v>
      </c>
      <c r="C151" s="24" t="s">
        <v>124</v>
      </c>
      <c r="D151" s="9"/>
      <c r="E151" s="10" t="s">
        <v>9</v>
      </c>
      <c r="F151" s="25"/>
      <c r="G151" s="26"/>
      <c r="H151" s="1" t="b">
        <f>IF(D151="x",H$2,H$1)</f>
        <v>0</v>
      </c>
    </row>
    <row r="152" spans="2:8" x14ac:dyDescent="0.25">
      <c r="B152" s="8" t="s">
        <v>10</v>
      </c>
      <c r="C152" s="24" t="s">
        <v>125</v>
      </c>
      <c r="D152" s="9"/>
      <c r="E152" s="10" t="s">
        <v>10</v>
      </c>
      <c r="F152" s="27" t="str">
        <f>IF(H153=1,IF(H151=H$2,H151,""),"")</f>
        <v/>
      </c>
      <c r="G152" s="26"/>
      <c r="H152" s="1" t="str">
        <f>IF(G191="comprobar",COUNTIF(D151:D155,"x"),"")</f>
        <v/>
      </c>
    </row>
    <row r="153" spans="2:8" x14ac:dyDescent="0.25">
      <c r="B153" s="8" t="s">
        <v>11</v>
      </c>
      <c r="C153" s="24" t="s">
        <v>126</v>
      </c>
      <c r="D153" s="9"/>
      <c r="E153" s="10" t="s">
        <v>11</v>
      </c>
      <c r="F153" s="28" t="str">
        <f>IF(H153=-0.33,IF(H151=H$1,H151,""),"")</f>
        <v/>
      </c>
      <c r="G153" s="26"/>
      <c r="H153" s="29">
        <f>IF(H152=1,IF(H151=H$2,1,-0.33),0)</f>
        <v>0</v>
      </c>
    </row>
    <row r="154" spans="2:8" x14ac:dyDescent="0.25">
      <c r="B154" s="8" t="s">
        <v>12</v>
      </c>
      <c r="C154" s="24" t="s">
        <v>127</v>
      </c>
      <c r="D154" s="9"/>
      <c r="E154" s="10" t="s">
        <v>12</v>
      </c>
      <c r="F154" s="25"/>
      <c r="G154" s="26"/>
      <c r="H154" s="1"/>
    </row>
    <row r="155" spans="2:8" x14ac:dyDescent="0.25">
      <c r="B155" s="11"/>
      <c r="C155" s="12"/>
      <c r="D155" s="9"/>
      <c r="E155" s="10" t="s">
        <v>13</v>
      </c>
      <c r="F155" s="30"/>
      <c r="G155" s="26"/>
      <c r="H155" s="15"/>
    </row>
    <row r="156" spans="2:8" x14ac:dyDescent="0.25">
      <c r="B156" s="5">
        <v>10</v>
      </c>
      <c r="C156" s="21" t="s">
        <v>128</v>
      </c>
      <c r="D156" s="6"/>
      <c r="E156" s="7"/>
      <c r="F156" s="22"/>
      <c r="G156" s="31"/>
      <c r="H156" s="31"/>
    </row>
    <row r="157" spans="2:8" x14ac:dyDescent="0.25">
      <c r="B157" s="8" t="s">
        <v>9</v>
      </c>
      <c r="C157" s="24" t="s">
        <v>129</v>
      </c>
      <c r="D157" s="9"/>
      <c r="E157" s="10" t="s">
        <v>9</v>
      </c>
      <c r="F157" s="25"/>
      <c r="G157" s="32"/>
      <c r="H157" s="1" t="b">
        <f>IF(D158="x",H$2,H$1)</f>
        <v>0</v>
      </c>
    </row>
    <row r="158" spans="2:8" x14ac:dyDescent="0.25">
      <c r="B158" s="8" t="s">
        <v>10</v>
      </c>
      <c r="C158" s="24" t="s">
        <v>130</v>
      </c>
      <c r="D158" s="9"/>
      <c r="E158" s="10" t="s">
        <v>10</v>
      </c>
      <c r="F158" s="27" t="str">
        <f>IF(H159=1,IF(H157=H$2,H157,""),"")</f>
        <v/>
      </c>
      <c r="G158" s="32"/>
      <c r="H158" s="1" t="str">
        <f>IF(G191="comprobar",COUNTIF(D157:D161,"x"),"")</f>
        <v/>
      </c>
    </row>
    <row r="159" spans="2:8" x14ac:dyDescent="0.25">
      <c r="B159" s="8" t="s">
        <v>11</v>
      </c>
      <c r="C159" s="24" t="s">
        <v>131</v>
      </c>
      <c r="D159" s="9"/>
      <c r="E159" s="10" t="s">
        <v>11</v>
      </c>
      <c r="F159" s="28" t="str">
        <f>IF(H159=-0.33,IF(H157=H$1,H157,""),"")</f>
        <v/>
      </c>
      <c r="G159" s="32"/>
      <c r="H159" s="29">
        <f>IF(H158=1,IF(H157=H$2,1,-0.33),0)</f>
        <v>0</v>
      </c>
    </row>
    <row r="160" spans="2:8" x14ac:dyDescent="0.25">
      <c r="B160" s="8" t="s">
        <v>12</v>
      </c>
      <c r="C160" s="24" t="s">
        <v>132</v>
      </c>
      <c r="D160" s="9"/>
      <c r="E160" s="10" t="s">
        <v>12</v>
      </c>
      <c r="F160" s="25"/>
      <c r="G160" s="32"/>
      <c r="H160" s="29"/>
    </row>
    <row r="161" spans="2:8" x14ac:dyDescent="0.25">
      <c r="B161" s="11"/>
      <c r="C161" s="12"/>
      <c r="D161" s="9"/>
      <c r="E161" s="10" t="s">
        <v>13</v>
      </c>
      <c r="F161" s="30"/>
      <c r="G161" s="32"/>
      <c r="H161" s="29"/>
    </row>
    <row r="162" spans="2:8" ht="31.5" x14ac:dyDescent="0.25">
      <c r="B162" s="5">
        <v>11</v>
      </c>
      <c r="C162" s="21" t="s">
        <v>133</v>
      </c>
      <c r="D162" s="6"/>
      <c r="E162" s="7"/>
      <c r="F162" s="22"/>
      <c r="G162" s="31"/>
      <c r="H162" s="31"/>
    </row>
    <row r="163" spans="2:8" x14ac:dyDescent="0.25">
      <c r="B163" s="8" t="s">
        <v>9</v>
      </c>
      <c r="C163" s="24" t="s">
        <v>134</v>
      </c>
      <c r="D163" s="9"/>
      <c r="E163" s="10" t="s">
        <v>9</v>
      </c>
      <c r="F163" s="25"/>
      <c r="G163" s="32"/>
      <c r="H163" s="1" t="b">
        <f>IF(D163="x",H$2,H$1)</f>
        <v>0</v>
      </c>
    </row>
    <row r="164" spans="2:8" x14ac:dyDescent="0.25">
      <c r="B164" s="8" t="s">
        <v>10</v>
      </c>
      <c r="C164" s="24" t="s">
        <v>135</v>
      </c>
      <c r="D164" s="9"/>
      <c r="E164" s="10" t="s">
        <v>10</v>
      </c>
      <c r="F164" s="27" t="str">
        <f>IF(H165=1,IF(H163=H$2,H163,""),"")</f>
        <v/>
      </c>
      <c r="G164" s="32"/>
      <c r="H164" s="1" t="str">
        <f>IF(G191="comprobar",COUNTIF(D163:D167,"x"),"")</f>
        <v/>
      </c>
    </row>
    <row r="165" spans="2:8" x14ac:dyDescent="0.25">
      <c r="B165" s="8" t="s">
        <v>11</v>
      </c>
      <c r="C165" s="24" t="s">
        <v>136</v>
      </c>
      <c r="D165" s="9"/>
      <c r="E165" s="10" t="s">
        <v>11</v>
      </c>
      <c r="F165" s="28" t="str">
        <f>IF(H165=-0.33,IF(H163=H$1,H163,""),"")</f>
        <v/>
      </c>
      <c r="G165" s="32"/>
      <c r="H165" s="29">
        <f>IF(H164=1,IF(H163=H$2,1,-0.33),0)</f>
        <v>0</v>
      </c>
    </row>
    <row r="166" spans="2:8" x14ac:dyDescent="0.25">
      <c r="B166" s="8" t="s">
        <v>12</v>
      </c>
      <c r="C166" s="24" t="s">
        <v>137</v>
      </c>
      <c r="D166" s="9"/>
      <c r="E166" s="10" t="s">
        <v>12</v>
      </c>
      <c r="F166" s="25"/>
      <c r="G166" s="32"/>
      <c r="H166" s="29"/>
    </row>
    <row r="167" spans="2:8" x14ac:dyDescent="0.25">
      <c r="B167" s="11"/>
      <c r="C167" s="12"/>
      <c r="D167" s="9"/>
      <c r="E167" s="10"/>
      <c r="F167" s="25"/>
      <c r="G167" s="32"/>
      <c r="H167" s="29"/>
    </row>
    <row r="168" spans="2:8" x14ac:dyDescent="0.25">
      <c r="B168" s="5">
        <v>12</v>
      </c>
      <c r="C168" s="21" t="s">
        <v>138</v>
      </c>
      <c r="D168" s="6"/>
      <c r="E168" s="7"/>
      <c r="F168" s="22"/>
      <c r="G168" s="23"/>
      <c r="H168" s="23"/>
    </row>
    <row r="169" spans="2:8" x14ac:dyDescent="0.25">
      <c r="B169" s="8" t="s">
        <v>9</v>
      </c>
      <c r="C169" s="24" t="s">
        <v>139</v>
      </c>
      <c r="D169" s="9"/>
      <c r="E169" s="10" t="s">
        <v>9</v>
      </c>
      <c r="F169" s="25"/>
      <c r="G169" s="26"/>
      <c r="H169" s="1" t="b">
        <f>IF(D172="x",H$2,H$1)</f>
        <v>0</v>
      </c>
    </row>
    <row r="170" spans="2:8" x14ac:dyDescent="0.25">
      <c r="B170" s="8" t="s">
        <v>10</v>
      </c>
      <c r="C170" s="24" t="s">
        <v>140</v>
      </c>
      <c r="D170" s="9"/>
      <c r="E170" s="10" t="s">
        <v>10</v>
      </c>
      <c r="F170" s="27" t="str">
        <f>IF(H171=1,IF(H169=H$2,H169,""),"")</f>
        <v/>
      </c>
      <c r="G170" s="26"/>
      <c r="H170" s="1" t="str">
        <f>IF(G191="comprobar",COUNTIF(D169:D173,"x"),"")</f>
        <v/>
      </c>
    </row>
    <row r="171" spans="2:8" x14ac:dyDescent="0.25">
      <c r="B171" s="8" t="s">
        <v>11</v>
      </c>
      <c r="C171" s="24" t="s">
        <v>141</v>
      </c>
      <c r="D171" s="9"/>
      <c r="E171" s="10" t="s">
        <v>11</v>
      </c>
      <c r="F171" s="28" t="str">
        <f>IF(H171=-0.33,IF(H169=H$1,H169,""),"")</f>
        <v/>
      </c>
      <c r="G171" s="26"/>
      <c r="H171" s="29">
        <f>IF(H170=1,IF(H169=H$2,1,-0.33),0)</f>
        <v>0</v>
      </c>
    </row>
    <row r="172" spans="2:8" x14ac:dyDescent="0.25">
      <c r="B172" s="8" t="s">
        <v>12</v>
      </c>
      <c r="C172" s="24" t="s">
        <v>142</v>
      </c>
      <c r="D172" s="9"/>
      <c r="E172" s="10" t="s">
        <v>12</v>
      </c>
      <c r="F172" s="25"/>
      <c r="G172" s="26"/>
      <c r="H172" s="29"/>
    </row>
    <row r="173" spans="2:8" x14ac:dyDescent="0.25">
      <c r="B173" s="11"/>
      <c r="C173" s="12"/>
      <c r="D173" s="9"/>
      <c r="E173" s="10" t="s">
        <v>13</v>
      </c>
      <c r="F173" s="30"/>
      <c r="G173" s="26"/>
      <c r="H173" s="29"/>
    </row>
    <row r="174" spans="2:8" x14ac:dyDescent="0.25">
      <c r="B174" s="5">
        <v>13</v>
      </c>
      <c r="C174" s="21" t="s">
        <v>143</v>
      </c>
      <c r="D174" s="6"/>
      <c r="E174" s="7"/>
      <c r="F174" s="22"/>
      <c r="G174" s="23"/>
      <c r="H174" s="23"/>
    </row>
    <row r="175" spans="2:8" x14ac:dyDescent="0.25">
      <c r="B175" s="8" t="s">
        <v>9</v>
      </c>
      <c r="C175" s="24" t="s">
        <v>144</v>
      </c>
      <c r="D175" s="9"/>
      <c r="E175" s="10" t="s">
        <v>9</v>
      </c>
      <c r="F175" s="25"/>
      <c r="G175" s="26"/>
      <c r="H175" s="1" t="b">
        <f>IF(D175="x",H$2,H$1)</f>
        <v>0</v>
      </c>
    </row>
    <row r="176" spans="2:8" x14ac:dyDescent="0.25">
      <c r="B176" s="8" t="s">
        <v>10</v>
      </c>
      <c r="C176" s="24" t="s">
        <v>145</v>
      </c>
      <c r="D176" s="9"/>
      <c r="E176" s="10" t="s">
        <v>10</v>
      </c>
      <c r="F176" s="27" t="str">
        <f>IF(H177=1,IF(H175=H$2,H175,""),"")</f>
        <v/>
      </c>
      <c r="G176" s="26"/>
      <c r="H176" s="1" t="str">
        <f>IF(G191="comprobar",COUNTIF(D175:D179,"x"),"")</f>
        <v/>
      </c>
    </row>
    <row r="177" spans="2:8" x14ac:dyDescent="0.25">
      <c r="B177" s="8" t="s">
        <v>11</v>
      </c>
      <c r="C177" s="24" t="s">
        <v>146</v>
      </c>
      <c r="D177" s="9"/>
      <c r="E177" s="10" t="s">
        <v>11</v>
      </c>
      <c r="F177" s="28" t="str">
        <f>IF(H177=-0.33,IF(H175=H$1,H175,""),"")</f>
        <v/>
      </c>
      <c r="G177" s="26"/>
      <c r="H177" s="29">
        <f t="shared" ref="H177" si="3">IF(H176=1,IF(H175=H$2,1,-0.33),0)</f>
        <v>0</v>
      </c>
    </row>
    <row r="178" spans="2:8" x14ac:dyDescent="0.25">
      <c r="B178" s="8" t="s">
        <v>12</v>
      </c>
      <c r="C178" s="24" t="s">
        <v>52</v>
      </c>
      <c r="D178" s="9"/>
      <c r="E178" s="10" t="s">
        <v>12</v>
      </c>
      <c r="F178" s="25"/>
      <c r="G178" s="26"/>
      <c r="H178" s="26"/>
    </row>
    <row r="179" spans="2:8" x14ac:dyDescent="0.25">
      <c r="B179" s="11"/>
      <c r="C179" s="12"/>
      <c r="D179" s="9"/>
      <c r="E179" s="10" t="s">
        <v>13</v>
      </c>
      <c r="F179" s="30"/>
      <c r="G179" s="26"/>
      <c r="H179" s="26"/>
    </row>
    <row r="180" spans="2:8" x14ac:dyDescent="0.25">
      <c r="B180" s="5">
        <v>14</v>
      </c>
      <c r="C180" s="21" t="s">
        <v>147</v>
      </c>
      <c r="D180" s="6"/>
      <c r="E180" s="7"/>
      <c r="F180" s="22"/>
      <c r="G180" s="23"/>
      <c r="H180" s="23"/>
    </row>
    <row r="181" spans="2:8" x14ac:dyDescent="0.25">
      <c r="B181" s="8" t="s">
        <v>9</v>
      </c>
      <c r="C181" s="24" t="s">
        <v>148</v>
      </c>
      <c r="D181" s="9"/>
      <c r="E181" s="10" t="s">
        <v>9</v>
      </c>
      <c r="F181" s="25"/>
      <c r="G181" s="26"/>
      <c r="H181" s="1" t="b">
        <f>IF(D182="x",H$2,H$1)</f>
        <v>0</v>
      </c>
    </row>
    <row r="182" spans="2:8" ht="31.5" x14ac:dyDescent="0.25">
      <c r="B182" s="8" t="s">
        <v>10</v>
      </c>
      <c r="C182" s="24" t="s">
        <v>149</v>
      </c>
      <c r="D182" s="9"/>
      <c r="E182" s="10" t="s">
        <v>10</v>
      </c>
      <c r="F182" s="27" t="str">
        <f>IF(H183=1,IF(H181=H$2,H181,""),"")</f>
        <v/>
      </c>
      <c r="G182" s="26"/>
      <c r="H182" s="1" t="str">
        <f>IF(G191="comprobar",COUNTIF(D181:D185,"x"),"")</f>
        <v/>
      </c>
    </row>
    <row r="183" spans="2:8" ht="31.5" x14ac:dyDescent="0.25">
      <c r="B183" s="8" t="s">
        <v>11</v>
      </c>
      <c r="C183" s="24" t="s">
        <v>150</v>
      </c>
      <c r="D183" s="9"/>
      <c r="E183" s="10" t="s">
        <v>11</v>
      </c>
      <c r="F183" s="28" t="str">
        <f>IF(H183=-0.33,IF(H181=H$1,H181,""),"")</f>
        <v/>
      </c>
      <c r="G183" s="26"/>
      <c r="H183" s="29">
        <f>IF(H182=1,IF(H181=H$2,1,-0.33),0)</f>
        <v>0</v>
      </c>
    </row>
    <row r="184" spans="2:8" x14ac:dyDescent="0.25">
      <c r="B184" s="8" t="s">
        <v>12</v>
      </c>
      <c r="C184" s="24" t="s">
        <v>151</v>
      </c>
      <c r="D184" s="9"/>
      <c r="E184" s="10" t="s">
        <v>12</v>
      </c>
      <c r="F184" s="25"/>
      <c r="G184" s="26"/>
      <c r="H184" s="26"/>
    </row>
    <row r="185" spans="2:8" x14ac:dyDescent="0.25">
      <c r="B185" s="11"/>
      <c r="C185" s="12"/>
      <c r="D185" s="9"/>
      <c r="E185" s="10" t="s">
        <v>13</v>
      </c>
      <c r="F185" s="30"/>
      <c r="G185" s="26"/>
      <c r="H185" s="26"/>
    </row>
    <row r="186" spans="2:8" x14ac:dyDescent="0.25">
      <c r="B186" s="5">
        <v>15</v>
      </c>
      <c r="C186" s="21" t="s">
        <v>152</v>
      </c>
      <c r="D186" s="6"/>
      <c r="E186" s="7"/>
      <c r="F186" s="22"/>
      <c r="G186" s="23"/>
      <c r="H186" s="23"/>
    </row>
    <row r="187" spans="2:8" x14ac:dyDescent="0.25">
      <c r="B187" s="8" t="s">
        <v>9</v>
      </c>
      <c r="C187" s="24" t="s">
        <v>153</v>
      </c>
      <c r="D187" s="9"/>
      <c r="E187" s="10" t="s">
        <v>9</v>
      </c>
      <c r="F187" s="25"/>
      <c r="G187" s="26"/>
      <c r="H187" s="1" t="b">
        <f>IF(D188="x",H$2,H$1)</f>
        <v>0</v>
      </c>
    </row>
    <row r="188" spans="2:8" x14ac:dyDescent="0.25">
      <c r="B188" s="8" t="s">
        <v>10</v>
      </c>
      <c r="C188" s="24" t="s">
        <v>154</v>
      </c>
      <c r="D188" s="9"/>
      <c r="E188" s="10" t="s">
        <v>10</v>
      </c>
      <c r="F188" s="27" t="str">
        <f>IF(H189=1,IF(H187=H$2,H187,""),"")</f>
        <v/>
      </c>
      <c r="G188" s="26"/>
      <c r="H188" s="1" t="str">
        <f>IF(G191="comprobar",COUNTIF(D187:D191,"x"),"")</f>
        <v/>
      </c>
    </row>
    <row r="189" spans="2:8" x14ac:dyDescent="0.25">
      <c r="B189" s="8" t="s">
        <v>11</v>
      </c>
      <c r="C189" s="24" t="s">
        <v>155</v>
      </c>
      <c r="D189" s="9"/>
      <c r="E189" s="10" t="s">
        <v>11</v>
      </c>
      <c r="F189" s="28" t="str">
        <f>IF(H189=-0.33,IF(H187=H$1,H187,""),"")</f>
        <v/>
      </c>
      <c r="G189" s="26"/>
      <c r="H189" s="29">
        <f>IF(H188=1,IF(H187=H$2,1,-0.33),0)</f>
        <v>0</v>
      </c>
    </row>
    <row r="190" spans="2:8" x14ac:dyDescent="0.25">
      <c r="B190" s="8" t="s">
        <v>12</v>
      </c>
      <c r="C190" s="24" t="s">
        <v>156</v>
      </c>
      <c r="D190" s="9"/>
      <c r="E190" s="10" t="s">
        <v>12</v>
      </c>
      <c r="F190" s="25"/>
      <c r="G190" s="26"/>
      <c r="H190" s="29"/>
    </row>
    <row r="191" spans="2:8" x14ac:dyDescent="0.25">
      <c r="B191" s="11"/>
      <c r="C191" s="12"/>
      <c r="D191" s="9"/>
      <c r="E191" s="10" t="s">
        <v>13</v>
      </c>
      <c r="F191" s="30"/>
      <c r="G191" s="26"/>
      <c r="H191" s="29"/>
    </row>
    <row r="192" spans="2:8" x14ac:dyDescent="0.25">
      <c r="B192" s="33"/>
      <c r="C192" s="4"/>
      <c r="D192" s="34"/>
      <c r="F192" s="30"/>
      <c r="G192" s="26"/>
      <c r="H192" s="26"/>
    </row>
    <row r="193" spans="2:8" x14ac:dyDescent="0.25">
      <c r="B193" s="33"/>
      <c r="C193" s="4"/>
      <c r="D193" s="34"/>
      <c r="E193" s="36"/>
      <c r="F193" s="37" t="s">
        <v>8</v>
      </c>
      <c r="G193" s="26" t="s">
        <v>6</v>
      </c>
      <c r="H193" s="26" t="s">
        <v>7</v>
      </c>
    </row>
    <row r="194" spans="2:8" ht="19.5" x14ac:dyDescent="0.25">
      <c r="B194" s="33"/>
      <c r="C194" s="38"/>
      <c r="D194" s="51"/>
      <c r="E194" s="51"/>
      <c r="F194" s="39" t="str">
        <f>IF(G191="comprobar",H189+H183+H177+H171+H165+H159+H153+H147+H135+H129+H141+H123+H111+H117+H105,"")</f>
        <v/>
      </c>
      <c r="G194" s="26">
        <f>10/2</f>
        <v>5</v>
      </c>
      <c r="H194" s="26"/>
    </row>
    <row r="195" spans="2:8" ht="16.5" thickBot="1" x14ac:dyDescent="0.3">
      <c r="B195" s="40"/>
      <c r="C195" s="41"/>
      <c r="D195" s="42"/>
      <c r="E195" s="43"/>
      <c r="F195" s="44" t="str">
        <f>IF(F194&gt;G194,G193,H193)</f>
        <v>APROBADO</v>
      </c>
      <c r="G195" s="26"/>
      <c r="H195" s="26"/>
    </row>
    <row r="196" spans="2:8" ht="28.5" x14ac:dyDescent="0.45">
      <c r="B196" s="19" t="s">
        <v>81</v>
      </c>
      <c r="C196" s="49" t="s">
        <v>83</v>
      </c>
      <c r="D196" s="49"/>
      <c r="E196" s="49"/>
      <c r="F196" s="50"/>
      <c r="G196" s="20"/>
      <c r="H196" s="20"/>
    </row>
    <row r="197" spans="2:8" x14ac:dyDescent="0.25">
      <c r="B197" s="5">
        <v>1</v>
      </c>
      <c r="C197" s="21" t="s">
        <v>157</v>
      </c>
      <c r="D197" s="6"/>
      <c r="E197" s="7"/>
      <c r="F197" s="22"/>
      <c r="G197" s="23"/>
      <c r="H197" s="23"/>
    </row>
    <row r="198" spans="2:8" x14ac:dyDescent="0.25">
      <c r="B198" s="8" t="s">
        <v>9</v>
      </c>
      <c r="C198" s="24" t="s">
        <v>158</v>
      </c>
      <c r="D198" s="9"/>
      <c r="E198" s="10" t="s">
        <v>9</v>
      </c>
      <c r="F198" s="25"/>
      <c r="G198" s="26"/>
      <c r="H198" s="1" t="b">
        <f>IF(D199="x",H$2,H$1)</f>
        <v>0</v>
      </c>
    </row>
    <row r="199" spans="2:8" x14ac:dyDescent="0.25">
      <c r="B199" s="8" t="s">
        <v>10</v>
      </c>
      <c r="C199" s="24" t="s">
        <v>159</v>
      </c>
      <c r="D199" s="9"/>
      <c r="E199" s="10" t="s">
        <v>10</v>
      </c>
      <c r="F199" s="27" t="str">
        <f>IF(H200=1,IF(H198=H$2,H198,""),"")</f>
        <v/>
      </c>
      <c r="G199" s="26"/>
      <c r="H199" s="1" t="str">
        <f>IF(E287="comprobar",COUNTIF(D198:D202,"x"),"")</f>
        <v/>
      </c>
    </row>
    <row r="200" spans="2:8" x14ac:dyDescent="0.25">
      <c r="B200" s="8" t="s">
        <v>11</v>
      </c>
      <c r="C200" s="24" t="s">
        <v>160</v>
      </c>
      <c r="D200" s="9"/>
      <c r="E200" s="10" t="s">
        <v>11</v>
      </c>
      <c r="F200" s="28" t="str">
        <f>IF(H200=-0.33,IF(H198=H$1,H198,""),"")</f>
        <v/>
      </c>
      <c r="G200" s="26"/>
      <c r="H200" s="29">
        <f>IF(H199=1,IF(H198=H$2,1,-0.33),0)</f>
        <v>0</v>
      </c>
    </row>
    <row r="201" spans="2:8" x14ac:dyDescent="0.25">
      <c r="B201" s="8" t="s">
        <v>12</v>
      </c>
      <c r="C201" s="24" t="s">
        <v>161</v>
      </c>
      <c r="D201" s="9"/>
      <c r="E201" s="10" t="s">
        <v>12</v>
      </c>
      <c r="F201" s="25"/>
      <c r="G201" s="26"/>
      <c r="H201" s="29"/>
    </row>
    <row r="202" spans="2:8" x14ac:dyDescent="0.25">
      <c r="B202" s="11"/>
      <c r="C202" s="12"/>
      <c r="D202" s="9"/>
      <c r="E202" s="10" t="s">
        <v>13</v>
      </c>
      <c r="F202" s="30"/>
      <c r="G202" s="26"/>
      <c r="H202" s="29"/>
    </row>
    <row r="203" spans="2:8" x14ac:dyDescent="0.25">
      <c r="B203" s="5">
        <v>2</v>
      </c>
      <c r="C203" s="21" t="s">
        <v>162</v>
      </c>
      <c r="D203" s="6"/>
      <c r="E203" s="7"/>
      <c r="F203" s="22"/>
      <c r="G203" s="23"/>
      <c r="H203" s="23"/>
    </row>
    <row r="204" spans="2:8" x14ac:dyDescent="0.25">
      <c r="B204" s="8" t="s">
        <v>9</v>
      </c>
      <c r="C204" s="24" t="s">
        <v>163</v>
      </c>
      <c r="D204" s="9"/>
      <c r="E204" s="10" t="s">
        <v>9</v>
      </c>
      <c r="F204" s="25"/>
      <c r="G204" s="26"/>
      <c r="H204" s="1" t="b">
        <f>IF(D204="x",H$2,H$1)</f>
        <v>0</v>
      </c>
    </row>
    <row r="205" spans="2:8" x14ac:dyDescent="0.25">
      <c r="B205" s="8" t="s">
        <v>10</v>
      </c>
      <c r="C205" s="24" t="s">
        <v>164</v>
      </c>
      <c r="D205" s="9"/>
      <c r="E205" s="10" t="s">
        <v>10</v>
      </c>
      <c r="F205" s="27" t="str">
        <f>IF(H206=1,IF(H204=H$2,H204,""),"")</f>
        <v/>
      </c>
      <c r="G205" s="26"/>
      <c r="H205" s="1" t="str">
        <f>IF(E$97="comprobar",COUNTIF(D204:D208,"x"),"")</f>
        <v/>
      </c>
    </row>
    <row r="206" spans="2:8" x14ac:dyDescent="0.25">
      <c r="B206" s="8" t="s">
        <v>11</v>
      </c>
      <c r="C206" s="24" t="s">
        <v>165</v>
      </c>
      <c r="D206" s="9"/>
      <c r="E206" s="10" t="s">
        <v>11</v>
      </c>
      <c r="F206" s="28" t="str">
        <f>IF(H206=-0.33,IF(H204=H$1,H204,""),"")</f>
        <v/>
      </c>
      <c r="G206" s="26"/>
      <c r="H206" s="29">
        <f>IF(H205=1,IF(H204=H$2,1,-0.33),0)</f>
        <v>0</v>
      </c>
    </row>
    <row r="207" spans="2:8" x14ac:dyDescent="0.25">
      <c r="B207" s="8" t="s">
        <v>12</v>
      </c>
      <c r="C207" s="24" t="s">
        <v>166</v>
      </c>
      <c r="D207" s="9"/>
      <c r="E207" s="10" t="s">
        <v>12</v>
      </c>
      <c r="F207" s="25"/>
      <c r="G207" s="26"/>
      <c r="H207" s="26"/>
    </row>
    <row r="208" spans="2:8" x14ac:dyDescent="0.25">
      <c r="B208" s="11"/>
      <c r="C208" s="12"/>
      <c r="D208" s="9"/>
      <c r="E208" s="10" t="s">
        <v>13</v>
      </c>
      <c r="F208" s="30"/>
      <c r="G208" s="26"/>
      <c r="H208" s="26"/>
    </row>
    <row r="209" spans="2:8" ht="31.5" x14ac:dyDescent="0.25">
      <c r="B209" s="5">
        <v>3</v>
      </c>
      <c r="C209" s="21" t="s">
        <v>167</v>
      </c>
      <c r="D209" s="6"/>
      <c r="E209" s="7"/>
      <c r="F209" s="22"/>
      <c r="G209" s="23"/>
      <c r="H209" s="23"/>
    </row>
    <row r="210" spans="2:8" x14ac:dyDescent="0.25">
      <c r="B210" s="8" t="s">
        <v>9</v>
      </c>
      <c r="C210" s="24" t="s">
        <v>168</v>
      </c>
      <c r="D210" s="9"/>
      <c r="E210" s="10" t="s">
        <v>9</v>
      </c>
      <c r="F210" s="25"/>
      <c r="G210" s="26"/>
      <c r="H210" s="1" t="b">
        <f>IF(D213="x",H$2,H$1)</f>
        <v>0</v>
      </c>
    </row>
    <row r="211" spans="2:8" x14ac:dyDescent="0.25">
      <c r="B211" s="8" t="s">
        <v>10</v>
      </c>
      <c r="C211" s="24" t="s">
        <v>169</v>
      </c>
      <c r="D211" s="9"/>
      <c r="E211" s="10" t="s">
        <v>10</v>
      </c>
      <c r="F211" s="27" t="str">
        <f>IF(H212=1,IF(H210=H$2,H210,""),"")</f>
        <v/>
      </c>
      <c r="G211" s="26"/>
      <c r="H211" s="1" t="str">
        <f>IF(E$97="comprobar",COUNTIF(D210:D214,"x"),"")</f>
        <v/>
      </c>
    </row>
    <row r="212" spans="2:8" x14ac:dyDescent="0.25">
      <c r="B212" s="8" t="s">
        <v>11</v>
      </c>
      <c r="C212" s="24" t="s">
        <v>170</v>
      </c>
      <c r="D212" s="9"/>
      <c r="E212" s="10" t="s">
        <v>11</v>
      </c>
      <c r="F212" s="28" t="str">
        <f>IF(H212=-0.33,IF(H210=H$1,H210,""),"")</f>
        <v/>
      </c>
      <c r="G212" s="26"/>
      <c r="H212" s="29">
        <f>IF(H211=1,IF(H210=H$2,1,-0.33),0)</f>
        <v>0</v>
      </c>
    </row>
    <row r="213" spans="2:8" x14ac:dyDescent="0.25">
      <c r="B213" s="8" t="s">
        <v>12</v>
      </c>
      <c r="C213" s="24" t="s">
        <v>171</v>
      </c>
      <c r="D213" s="9"/>
      <c r="E213" s="10" t="s">
        <v>12</v>
      </c>
      <c r="F213" s="25"/>
      <c r="G213" s="26"/>
      <c r="H213" s="29"/>
    </row>
    <row r="214" spans="2:8" x14ac:dyDescent="0.25">
      <c r="B214" s="11"/>
      <c r="C214" s="12"/>
      <c r="D214" s="9"/>
      <c r="E214" s="10" t="s">
        <v>13</v>
      </c>
      <c r="F214" s="30"/>
      <c r="G214" s="26"/>
      <c r="H214" s="29"/>
    </row>
    <row r="215" spans="2:8" x14ac:dyDescent="0.25">
      <c r="B215" s="5">
        <v>4</v>
      </c>
      <c r="C215" s="21" t="s">
        <v>172</v>
      </c>
      <c r="D215" s="6"/>
      <c r="E215" s="7"/>
      <c r="F215" s="22"/>
      <c r="G215" s="23"/>
      <c r="H215" s="23"/>
    </row>
    <row r="216" spans="2:8" x14ac:dyDescent="0.25">
      <c r="B216" s="8" t="s">
        <v>9</v>
      </c>
      <c r="C216" s="24" t="s">
        <v>173</v>
      </c>
      <c r="D216" s="9"/>
      <c r="E216" s="10" t="s">
        <v>9</v>
      </c>
      <c r="F216" s="25"/>
      <c r="G216" s="26"/>
      <c r="H216" s="1" t="b">
        <f>IF(D218="x",H$2,H$1)</f>
        <v>0</v>
      </c>
    </row>
    <row r="217" spans="2:8" x14ac:dyDescent="0.25">
      <c r="B217" s="8" t="s">
        <v>10</v>
      </c>
      <c r="C217" s="24" t="s">
        <v>174</v>
      </c>
      <c r="D217" s="9"/>
      <c r="E217" s="10" t="s">
        <v>10</v>
      </c>
      <c r="F217" s="27" t="str">
        <f>IF(H218=1,IF(H216=H$2,H216,""),"")</f>
        <v/>
      </c>
      <c r="G217" s="26"/>
      <c r="H217" s="1" t="str">
        <f>IF(E$97="comprobar",COUNTIF(D216:D220,"x"),"")</f>
        <v/>
      </c>
    </row>
    <row r="218" spans="2:8" x14ac:dyDescent="0.25">
      <c r="B218" s="8" t="s">
        <v>11</v>
      </c>
      <c r="C218" s="24" t="s">
        <v>175</v>
      </c>
      <c r="D218" s="9"/>
      <c r="E218" s="10" t="s">
        <v>11</v>
      </c>
      <c r="F218" s="28" t="str">
        <f>IF(H218=-0.33,IF(H216=H$1,H216,""),"")</f>
        <v/>
      </c>
      <c r="G218" s="26"/>
      <c r="H218" s="29">
        <f>IF(H217=1,IF(H216=H$2,1,-0.33),0)</f>
        <v>0</v>
      </c>
    </row>
    <row r="219" spans="2:8" x14ac:dyDescent="0.25">
      <c r="B219" s="8" t="s">
        <v>12</v>
      </c>
      <c r="C219" s="24" t="s">
        <v>176</v>
      </c>
      <c r="D219" s="9"/>
      <c r="E219" s="10" t="s">
        <v>12</v>
      </c>
      <c r="F219" s="25"/>
      <c r="G219" s="26"/>
      <c r="H219" s="29"/>
    </row>
    <row r="220" spans="2:8" x14ac:dyDescent="0.25">
      <c r="B220" s="11"/>
      <c r="C220" s="12"/>
      <c r="D220" s="9"/>
      <c r="E220" s="10" t="s">
        <v>13</v>
      </c>
      <c r="F220" s="30"/>
      <c r="G220" s="26"/>
      <c r="H220" s="29"/>
    </row>
    <row r="221" spans="2:8" ht="31.5" x14ac:dyDescent="0.25">
      <c r="B221" s="5">
        <v>5</v>
      </c>
      <c r="C221" s="21" t="s">
        <v>177</v>
      </c>
      <c r="D221" s="6"/>
      <c r="E221" s="7"/>
      <c r="F221" s="22"/>
      <c r="G221" s="23"/>
      <c r="H221" s="23"/>
    </row>
    <row r="222" spans="2:8" x14ac:dyDescent="0.25">
      <c r="B222" s="8" t="s">
        <v>9</v>
      </c>
      <c r="C222" s="24" t="s">
        <v>178</v>
      </c>
      <c r="D222" s="9"/>
      <c r="E222" s="10" t="s">
        <v>9</v>
      </c>
      <c r="F222" s="25"/>
      <c r="G222" s="26"/>
      <c r="H222" s="1" t="b">
        <f>IF(D225="x",H$2,H$1)</f>
        <v>0</v>
      </c>
    </row>
    <row r="223" spans="2:8" x14ac:dyDescent="0.25">
      <c r="B223" s="8" t="s">
        <v>10</v>
      </c>
      <c r="C223" s="24" t="s">
        <v>179</v>
      </c>
      <c r="D223" s="9"/>
      <c r="E223" s="10" t="s">
        <v>10</v>
      </c>
      <c r="F223" s="27" t="str">
        <f>IF(H224=1,IF(H222=H$2,H222,""),"")</f>
        <v/>
      </c>
      <c r="G223" s="26"/>
      <c r="H223" s="1" t="str">
        <f>IF(E$97="comprobar",COUNTIF(D222:D226,"x"),"")</f>
        <v/>
      </c>
    </row>
    <row r="224" spans="2:8" x14ac:dyDescent="0.25">
      <c r="B224" s="8" t="s">
        <v>11</v>
      </c>
      <c r="C224" s="24" t="s">
        <v>180</v>
      </c>
      <c r="D224" s="9"/>
      <c r="E224" s="10" t="s">
        <v>11</v>
      </c>
      <c r="F224" s="28" t="str">
        <f>IF(H224=-0.33,IF(H222=H$1,H222,""),"")</f>
        <v/>
      </c>
      <c r="G224" s="26"/>
      <c r="H224" s="29">
        <f t="shared" ref="H224" si="4">IF(H223=1,IF(H222=H$2,1,-0.33),0)</f>
        <v>0</v>
      </c>
    </row>
    <row r="225" spans="2:8" x14ac:dyDescent="0.25">
      <c r="B225" s="8" t="s">
        <v>12</v>
      </c>
      <c r="C225" s="24" t="s">
        <v>181</v>
      </c>
      <c r="D225" s="9"/>
      <c r="E225" s="10" t="s">
        <v>12</v>
      </c>
      <c r="F225" s="25"/>
      <c r="G225" s="26"/>
      <c r="H225" s="26"/>
    </row>
    <row r="226" spans="2:8" x14ac:dyDescent="0.25">
      <c r="B226" s="11"/>
      <c r="C226" s="12"/>
      <c r="D226" s="9"/>
      <c r="E226" s="10" t="s">
        <v>13</v>
      </c>
      <c r="F226" s="30"/>
      <c r="G226" s="26"/>
      <c r="H226" s="26"/>
    </row>
    <row r="227" spans="2:8" x14ac:dyDescent="0.25">
      <c r="B227" s="5">
        <v>6</v>
      </c>
      <c r="C227" s="21" t="s">
        <v>182</v>
      </c>
      <c r="D227" s="6"/>
      <c r="E227" s="7"/>
      <c r="F227" s="22"/>
      <c r="G227" s="23"/>
      <c r="H227" s="23"/>
    </row>
    <row r="228" spans="2:8" x14ac:dyDescent="0.25">
      <c r="B228" s="8" t="s">
        <v>9</v>
      </c>
      <c r="C228" s="24" t="s">
        <v>183</v>
      </c>
      <c r="D228" s="9"/>
      <c r="E228" s="10" t="s">
        <v>9</v>
      </c>
      <c r="F228" s="25"/>
      <c r="G228" s="26"/>
      <c r="H228" s="1" t="b">
        <f>IF(D229="x",H$2,H$1)</f>
        <v>0</v>
      </c>
    </row>
    <row r="229" spans="2:8" x14ac:dyDescent="0.25">
      <c r="B229" s="8" t="s">
        <v>10</v>
      </c>
      <c r="C229" s="24" t="s">
        <v>46</v>
      </c>
      <c r="D229" s="9"/>
      <c r="E229" s="10" t="s">
        <v>10</v>
      </c>
      <c r="F229" s="27" t="str">
        <f>IF(H230=1,IF(H228=H$2,H228,""),"")</f>
        <v/>
      </c>
      <c r="G229" s="26"/>
      <c r="H229" s="1" t="str">
        <f>IF(E$97="comprobar",COUNTIF(D228:D232,"x"),"")</f>
        <v/>
      </c>
    </row>
    <row r="230" spans="2:8" x14ac:dyDescent="0.25">
      <c r="B230" s="8" t="s">
        <v>11</v>
      </c>
      <c r="C230" s="24" t="s">
        <v>184</v>
      </c>
      <c r="D230" s="9"/>
      <c r="E230" s="10" t="s">
        <v>11</v>
      </c>
      <c r="F230" s="28" t="str">
        <f>IF(H230=-0.33,IF(H228=H$1,H228,""),"")</f>
        <v/>
      </c>
      <c r="G230" s="26"/>
      <c r="H230" s="29">
        <f>IF(H229=1,IF(H228=H$2,1,-0.33),0)</f>
        <v>0</v>
      </c>
    </row>
    <row r="231" spans="2:8" x14ac:dyDescent="0.25">
      <c r="B231" s="8" t="s">
        <v>12</v>
      </c>
      <c r="C231" s="24" t="s">
        <v>185</v>
      </c>
      <c r="D231" s="9"/>
      <c r="E231" s="10" t="s">
        <v>12</v>
      </c>
      <c r="F231" s="25"/>
      <c r="G231" s="26"/>
      <c r="H231" s="26"/>
    </row>
    <row r="232" spans="2:8" x14ac:dyDescent="0.25">
      <c r="B232" s="11"/>
      <c r="C232" s="12"/>
      <c r="D232" s="9"/>
      <c r="E232" s="10" t="s">
        <v>13</v>
      </c>
      <c r="F232" s="30"/>
      <c r="G232" s="26"/>
      <c r="H232" s="26"/>
    </row>
    <row r="233" spans="2:8" x14ac:dyDescent="0.25">
      <c r="B233" s="5">
        <v>7</v>
      </c>
      <c r="C233" s="21" t="s">
        <v>186</v>
      </c>
      <c r="D233" s="6"/>
      <c r="E233" s="7"/>
      <c r="F233" s="22"/>
      <c r="G233" s="23"/>
      <c r="H233" s="23"/>
    </row>
    <row r="234" spans="2:8" x14ac:dyDescent="0.25">
      <c r="B234" s="8" t="s">
        <v>9</v>
      </c>
      <c r="C234" s="24" t="s">
        <v>187</v>
      </c>
      <c r="D234" s="9"/>
      <c r="E234" s="10" t="s">
        <v>9</v>
      </c>
      <c r="F234" s="25"/>
      <c r="G234" s="26"/>
      <c r="H234" s="1" t="b">
        <f>IF(D235="x",H$2,H$1)</f>
        <v>0</v>
      </c>
    </row>
    <row r="235" spans="2:8" x14ac:dyDescent="0.25">
      <c r="B235" s="8" t="s">
        <v>10</v>
      </c>
      <c r="C235" s="24" t="s">
        <v>46</v>
      </c>
      <c r="D235" s="9"/>
      <c r="E235" s="10" t="s">
        <v>10</v>
      </c>
      <c r="F235" s="27" t="str">
        <f>IF(H236=1,IF(H234=H$2,H234,""),"")</f>
        <v/>
      </c>
      <c r="G235" s="26"/>
      <c r="H235" s="1" t="str">
        <f>IF(E$97="comprobar",COUNTIF(D234:D238,"x"),"")</f>
        <v/>
      </c>
    </row>
    <row r="236" spans="2:8" x14ac:dyDescent="0.25">
      <c r="B236" s="8" t="s">
        <v>11</v>
      </c>
      <c r="C236" s="24" t="s">
        <v>188</v>
      </c>
      <c r="D236" s="9"/>
      <c r="E236" s="10" t="s">
        <v>11</v>
      </c>
      <c r="F236" s="28" t="str">
        <f>IF(H236=-0.33,IF(H234=H$1,H234,""),"")</f>
        <v/>
      </c>
      <c r="G236" s="26"/>
      <c r="H236" s="29">
        <f>IF(H235=1,IF(H234=H$2,1,-0.33),0)</f>
        <v>0</v>
      </c>
    </row>
    <row r="237" spans="2:8" x14ac:dyDescent="0.25">
      <c r="B237" s="8" t="s">
        <v>12</v>
      </c>
      <c r="C237" s="24" t="s">
        <v>189</v>
      </c>
      <c r="D237" s="9"/>
      <c r="E237" s="10" t="s">
        <v>12</v>
      </c>
      <c r="F237" s="25"/>
      <c r="G237" s="26"/>
      <c r="H237" s="29"/>
    </row>
    <row r="238" spans="2:8" x14ac:dyDescent="0.25">
      <c r="B238" s="11"/>
      <c r="C238" s="12"/>
      <c r="D238" s="9"/>
      <c r="E238" s="10" t="s">
        <v>13</v>
      </c>
      <c r="F238" s="30"/>
      <c r="G238" s="26"/>
      <c r="H238" s="29"/>
    </row>
    <row r="239" spans="2:8" ht="31.5" x14ac:dyDescent="0.25">
      <c r="B239" s="5">
        <v>8</v>
      </c>
      <c r="C239" s="21" t="s">
        <v>190</v>
      </c>
      <c r="D239" s="6"/>
      <c r="E239" s="7"/>
      <c r="F239" s="22"/>
      <c r="G239" s="23"/>
      <c r="H239" s="23"/>
    </row>
    <row r="240" spans="2:8" x14ac:dyDescent="0.25">
      <c r="B240" s="8" t="s">
        <v>9</v>
      </c>
      <c r="C240" s="24" t="s">
        <v>191</v>
      </c>
      <c r="D240" s="9"/>
      <c r="E240" s="10" t="s">
        <v>9</v>
      </c>
      <c r="F240" s="25"/>
      <c r="G240" s="26"/>
      <c r="H240" s="1" t="b">
        <f>IF(D243="x",H$2,H$1)</f>
        <v>0</v>
      </c>
    </row>
    <row r="241" spans="2:8" x14ac:dyDescent="0.25">
      <c r="B241" s="8" t="s">
        <v>10</v>
      </c>
      <c r="C241" s="24" t="s">
        <v>170</v>
      </c>
      <c r="D241" s="9"/>
      <c r="E241" s="10" t="s">
        <v>10</v>
      </c>
      <c r="F241" s="27" t="str">
        <f>IF(H242=1,IF(H240=H$2,H240,""),"")</f>
        <v/>
      </c>
      <c r="G241" s="26"/>
      <c r="H241" s="1" t="str">
        <f>IF(E$97="comprobar",COUNTIF(D240:D244,"x"),"")</f>
        <v/>
      </c>
    </row>
    <row r="242" spans="2:8" x14ac:dyDescent="0.25">
      <c r="B242" s="8" t="s">
        <v>11</v>
      </c>
      <c r="C242" s="24" t="s">
        <v>192</v>
      </c>
      <c r="D242" s="9"/>
      <c r="E242" s="10" t="s">
        <v>11</v>
      </c>
      <c r="F242" s="28" t="str">
        <f>IF(H242=-0.33,IF(H240=H$1,H240,""),"")</f>
        <v/>
      </c>
      <c r="G242" s="26"/>
      <c r="H242" s="29">
        <f>IF(H241=1,IF(H240=H$2,1,-0.33),0)</f>
        <v>0</v>
      </c>
    </row>
    <row r="243" spans="2:8" x14ac:dyDescent="0.25">
      <c r="B243" s="8" t="s">
        <v>12</v>
      </c>
      <c r="C243" s="24" t="s">
        <v>193</v>
      </c>
      <c r="D243" s="9"/>
      <c r="E243" s="10" t="s">
        <v>12</v>
      </c>
      <c r="F243" s="25"/>
      <c r="G243" s="26"/>
      <c r="H243" s="29"/>
    </row>
    <row r="244" spans="2:8" x14ac:dyDescent="0.25">
      <c r="B244" s="11"/>
      <c r="C244" s="12"/>
      <c r="D244" s="9"/>
      <c r="E244" s="10" t="s">
        <v>13</v>
      </c>
      <c r="F244" s="30"/>
      <c r="G244" s="26"/>
      <c r="H244" s="29"/>
    </row>
    <row r="245" spans="2:8" ht="31.5" x14ac:dyDescent="0.25">
      <c r="B245" s="5">
        <v>9</v>
      </c>
      <c r="C245" s="21" t="s">
        <v>194</v>
      </c>
      <c r="D245" s="6"/>
      <c r="E245" s="7"/>
      <c r="F245" s="22"/>
      <c r="G245" s="23"/>
      <c r="H245" s="23"/>
    </row>
    <row r="246" spans="2:8" x14ac:dyDescent="0.25">
      <c r="B246" s="8" t="s">
        <v>9</v>
      </c>
      <c r="C246" s="24" t="s">
        <v>195</v>
      </c>
      <c r="D246" s="9"/>
      <c r="E246" s="10" t="s">
        <v>9</v>
      </c>
      <c r="F246" s="25"/>
      <c r="G246" s="26"/>
      <c r="H246" s="1" t="b">
        <f>IF(D246="x",H$2,H$1)</f>
        <v>0</v>
      </c>
    </row>
    <row r="247" spans="2:8" x14ac:dyDescent="0.25">
      <c r="B247" s="8" t="s">
        <v>10</v>
      </c>
      <c r="C247" s="24" t="s">
        <v>196</v>
      </c>
      <c r="D247" s="9"/>
      <c r="E247" s="10" t="s">
        <v>10</v>
      </c>
      <c r="F247" s="27" t="str">
        <f>IF(H248=1,IF(H246=H$2,H246,""),"")</f>
        <v/>
      </c>
      <c r="G247" s="26"/>
      <c r="H247" s="1" t="str">
        <f>IF(E$97="comprobar",COUNTIF(D246:D250,"x"),"")</f>
        <v/>
      </c>
    </row>
    <row r="248" spans="2:8" x14ac:dyDescent="0.25">
      <c r="B248" s="8" t="s">
        <v>11</v>
      </c>
      <c r="C248" s="24" t="s">
        <v>197</v>
      </c>
      <c r="D248" s="9"/>
      <c r="E248" s="10" t="s">
        <v>11</v>
      </c>
      <c r="F248" s="28" t="str">
        <f>IF(H248=-0.33,IF(H246=H$1,H246,""),"")</f>
        <v/>
      </c>
      <c r="G248" s="26"/>
      <c r="H248" s="29">
        <f>IF(H247=1,IF(H246=H$2,1,-0.33),0)</f>
        <v>0</v>
      </c>
    </row>
    <row r="249" spans="2:8" x14ac:dyDescent="0.25">
      <c r="B249" s="8" t="s">
        <v>12</v>
      </c>
      <c r="C249" s="24" t="s">
        <v>198</v>
      </c>
      <c r="D249" s="9"/>
      <c r="E249" s="10" t="s">
        <v>12</v>
      </c>
      <c r="F249" s="25"/>
      <c r="G249" s="26"/>
      <c r="H249" s="1"/>
    </row>
    <row r="250" spans="2:8" x14ac:dyDescent="0.25">
      <c r="B250" s="11"/>
      <c r="C250" s="12"/>
      <c r="D250" s="9"/>
      <c r="E250" s="10" t="s">
        <v>13</v>
      </c>
      <c r="F250" s="30"/>
      <c r="G250" s="26"/>
      <c r="H250" s="15"/>
    </row>
    <row r="251" spans="2:8" x14ac:dyDescent="0.25">
      <c r="B251" s="5">
        <v>10</v>
      </c>
      <c r="C251" s="21" t="s">
        <v>199</v>
      </c>
      <c r="D251" s="6"/>
      <c r="E251" s="7"/>
      <c r="F251" s="22"/>
      <c r="G251" s="31"/>
      <c r="H251" s="31"/>
    </row>
    <row r="252" spans="2:8" x14ac:dyDescent="0.25">
      <c r="B252" s="8" t="s">
        <v>9</v>
      </c>
      <c r="C252" s="24" t="s">
        <v>200</v>
      </c>
      <c r="D252" s="9"/>
      <c r="E252" s="10" t="s">
        <v>9</v>
      </c>
      <c r="F252" s="25"/>
      <c r="G252" s="32"/>
      <c r="H252" s="1" t="b">
        <f>IF(D254="x",H$2,H$1)</f>
        <v>0</v>
      </c>
    </row>
    <row r="253" spans="2:8" x14ac:dyDescent="0.25">
      <c r="B253" s="8" t="s">
        <v>10</v>
      </c>
      <c r="C253" s="24" t="s">
        <v>201</v>
      </c>
      <c r="D253" s="9"/>
      <c r="E253" s="10" t="s">
        <v>10</v>
      </c>
      <c r="F253" s="27" t="str">
        <f>IF(H254=1,IF(H252=H$2,H252,""),"")</f>
        <v/>
      </c>
      <c r="G253" s="32"/>
      <c r="H253" s="1" t="str">
        <f>IF(E$97="comprobar",COUNTIF(D252:D256,"x"),"")</f>
        <v/>
      </c>
    </row>
    <row r="254" spans="2:8" x14ac:dyDescent="0.25">
      <c r="B254" s="8" t="s">
        <v>11</v>
      </c>
      <c r="C254" s="24" t="s">
        <v>46</v>
      </c>
      <c r="D254" s="9"/>
      <c r="E254" s="10" t="s">
        <v>11</v>
      </c>
      <c r="F254" s="28" t="str">
        <f>IF(H254=-0.33,IF(H252=H$1,H252,""),"")</f>
        <v/>
      </c>
      <c r="G254" s="32"/>
      <c r="H254" s="29">
        <f>IF(H253=1,IF(H252=H$2,1,-0.33),0)</f>
        <v>0</v>
      </c>
    </row>
    <row r="255" spans="2:8" x14ac:dyDescent="0.25">
      <c r="B255" s="8" t="s">
        <v>12</v>
      </c>
      <c r="C255" s="24" t="s">
        <v>202</v>
      </c>
      <c r="D255" s="9"/>
      <c r="E255" s="10" t="s">
        <v>12</v>
      </c>
      <c r="F255" s="25"/>
      <c r="G255" s="32"/>
      <c r="H255" s="29"/>
    </row>
    <row r="256" spans="2:8" x14ac:dyDescent="0.25">
      <c r="B256" s="11"/>
      <c r="C256" s="12"/>
      <c r="D256" s="9"/>
      <c r="E256" s="10" t="s">
        <v>13</v>
      </c>
      <c r="F256" s="30"/>
      <c r="G256" s="32"/>
      <c r="H256" s="29"/>
    </row>
    <row r="257" spans="2:8" x14ac:dyDescent="0.25">
      <c r="B257" s="5">
        <v>11</v>
      </c>
      <c r="C257" s="21" t="s">
        <v>203</v>
      </c>
      <c r="D257" s="6"/>
      <c r="E257" s="7"/>
      <c r="F257" s="22"/>
      <c r="G257" s="31"/>
      <c r="H257" s="31"/>
    </row>
    <row r="258" spans="2:8" x14ac:dyDescent="0.25">
      <c r="B258" s="8" t="s">
        <v>9</v>
      </c>
      <c r="C258" s="24" t="s">
        <v>204</v>
      </c>
      <c r="D258" s="9"/>
      <c r="E258" s="10" t="s">
        <v>9</v>
      </c>
      <c r="F258" s="25"/>
      <c r="G258" s="32"/>
      <c r="H258" s="1" t="b">
        <f>IF(D258="x",H$2,H$1)</f>
        <v>0</v>
      </c>
    </row>
    <row r="259" spans="2:8" x14ac:dyDescent="0.25">
      <c r="B259" s="8" t="s">
        <v>10</v>
      </c>
      <c r="C259" s="24" t="s">
        <v>205</v>
      </c>
      <c r="D259" s="9"/>
      <c r="E259" s="10" t="s">
        <v>10</v>
      </c>
      <c r="F259" s="27" t="str">
        <f>IF(H260=1,IF(H258=H$2,H258,""),"")</f>
        <v/>
      </c>
      <c r="G259" s="32"/>
      <c r="H259" s="1" t="str">
        <f>IF(E$97="comprobar",COUNTIF(D258:D262,"x"),"")</f>
        <v/>
      </c>
    </row>
    <row r="260" spans="2:8" x14ac:dyDescent="0.25">
      <c r="B260" s="8" t="s">
        <v>11</v>
      </c>
      <c r="C260" s="24" t="s">
        <v>206</v>
      </c>
      <c r="D260" s="9"/>
      <c r="E260" s="10" t="s">
        <v>11</v>
      </c>
      <c r="F260" s="28" t="str">
        <f>IF(H260=-0.33,IF(H258=H$1,H258,""),"")</f>
        <v/>
      </c>
      <c r="G260" s="32"/>
      <c r="H260" s="29">
        <f>IF(H259=1,IF(H258=H$2,1,-0.33),0)</f>
        <v>0</v>
      </c>
    </row>
    <row r="261" spans="2:8" x14ac:dyDescent="0.25">
      <c r="B261" s="8" t="s">
        <v>12</v>
      </c>
      <c r="C261" s="24" t="s">
        <v>207</v>
      </c>
      <c r="D261" s="9"/>
      <c r="E261" s="10" t="s">
        <v>12</v>
      </c>
      <c r="F261" s="25"/>
      <c r="G261" s="32"/>
      <c r="H261" s="29"/>
    </row>
    <row r="262" spans="2:8" x14ac:dyDescent="0.25">
      <c r="B262" s="11"/>
      <c r="C262" s="12"/>
      <c r="D262" s="9"/>
      <c r="E262" s="10"/>
      <c r="F262" s="25"/>
      <c r="G262" s="32"/>
      <c r="H262" s="29"/>
    </row>
    <row r="263" spans="2:8" ht="31.5" x14ac:dyDescent="0.25">
      <c r="B263" s="5">
        <v>12</v>
      </c>
      <c r="C263" s="21" t="s">
        <v>208</v>
      </c>
      <c r="D263" s="6"/>
      <c r="E263" s="7"/>
      <c r="F263" s="22"/>
      <c r="G263" s="23"/>
      <c r="H263" s="23"/>
    </row>
    <row r="264" spans="2:8" x14ac:dyDescent="0.25">
      <c r="B264" s="8" t="s">
        <v>9</v>
      </c>
      <c r="C264" s="24" t="s">
        <v>170</v>
      </c>
      <c r="D264" s="9"/>
      <c r="E264" s="10" t="s">
        <v>9</v>
      </c>
      <c r="F264" s="25"/>
      <c r="G264" s="26"/>
      <c r="H264" s="1" t="b">
        <f>IF(D266="x",H$2,H$1)</f>
        <v>0</v>
      </c>
    </row>
    <row r="265" spans="2:8" x14ac:dyDescent="0.25">
      <c r="B265" s="8" t="s">
        <v>10</v>
      </c>
      <c r="C265" s="24" t="s">
        <v>209</v>
      </c>
      <c r="D265" s="9"/>
      <c r="E265" s="10" t="s">
        <v>10</v>
      </c>
      <c r="F265" s="27" t="str">
        <f>IF(H266=1,IF(H264=H$2,H264,""),"")</f>
        <v/>
      </c>
      <c r="G265" s="26"/>
      <c r="H265" s="1" t="str">
        <f>IF(E$97="comprobar",COUNTIF(D264:D268,"x"),"")</f>
        <v/>
      </c>
    </row>
    <row r="266" spans="2:8" x14ac:dyDescent="0.25">
      <c r="B266" s="8" t="s">
        <v>11</v>
      </c>
      <c r="C266" s="24" t="s">
        <v>192</v>
      </c>
      <c r="D266" s="9"/>
      <c r="E266" s="10" t="s">
        <v>11</v>
      </c>
      <c r="F266" s="28" t="str">
        <f>IF(H266=-0.33,IF(H264=H$1,H264,""),"")</f>
        <v/>
      </c>
      <c r="G266" s="26"/>
      <c r="H266" s="29">
        <f>IF(H265=1,IF(H264=H$2,1,-0.33),0)</f>
        <v>0</v>
      </c>
    </row>
    <row r="267" spans="2:8" x14ac:dyDescent="0.25">
      <c r="B267" s="8" t="s">
        <v>12</v>
      </c>
      <c r="C267" s="24" t="s">
        <v>171</v>
      </c>
      <c r="D267" s="9"/>
      <c r="E267" s="10" t="s">
        <v>12</v>
      </c>
      <c r="F267" s="25"/>
      <c r="G267" s="26"/>
      <c r="H267" s="29"/>
    </row>
    <row r="268" spans="2:8" x14ac:dyDescent="0.25">
      <c r="B268" s="11"/>
      <c r="C268" s="12"/>
      <c r="D268" s="9"/>
      <c r="E268" s="10" t="s">
        <v>13</v>
      </c>
      <c r="F268" s="30"/>
      <c r="G268" s="26"/>
      <c r="H268" s="29"/>
    </row>
    <row r="269" spans="2:8" x14ac:dyDescent="0.25">
      <c r="B269" s="5">
        <v>13</v>
      </c>
      <c r="C269" s="21" t="s">
        <v>210</v>
      </c>
      <c r="D269" s="6"/>
      <c r="E269" s="7"/>
      <c r="F269" s="22"/>
      <c r="G269" s="23"/>
      <c r="H269" s="23"/>
    </row>
    <row r="270" spans="2:8" x14ac:dyDescent="0.25">
      <c r="B270" s="8" t="s">
        <v>9</v>
      </c>
      <c r="C270" s="24" t="s">
        <v>211</v>
      </c>
      <c r="D270" s="9"/>
      <c r="E270" s="10" t="s">
        <v>9</v>
      </c>
      <c r="F270" s="25"/>
      <c r="G270" s="26"/>
      <c r="H270" s="1" t="b">
        <f>IF(D273="x",H$2,H$1)</f>
        <v>0</v>
      </c>
    </row>
    <row r="271" spans="2:8" x14ac:dyDescent="0.25">
      <c r="B271" s="8" t="s">
        <v>10</v>
      </c>
      <c r="C271" s="24" t="s">
        <v>212</v>
      </c>
      <c r="D271" s="9"/>
      <c r="E271" s="10" t="s">
        <v>10</v>
      </c>
      <c r="F271" s="27" t="str">
        <f>IF(H272=1,IF(H270=H$2,H270,""),"")</f>
        <v/>
      </c>
      <c r="G271" s="26"/>
      <c r="H271" s="1" t="str">
        <f>IF(E$97="comprobar",COUNTIF(D270:D274,"x"),"")</f>
        <v/>
      </c>
    </row>
    <row r="272" spans="2:8" x14ac:dyDescent="0.25">
      <c r="B272" s="8" t="s">
        <v>11</v>
      </c>
      <c r="C272" s="24" t="s">
        <v>213</v>
      </c>
      <c r="D272" s="9"/>
      <c r="E272" s="10" t="s">
        <v>11</v>
      </c>
      <c r="F272" s="28" t="str">
        <f>IF(H272=-0.33,IF(H270=H$1,H270,""),"")</f>
        <v/>
      </c>
      <c r="G272" s="26"/>
      <c r="H272" s="29">
        <f t="shared" ref="H272" si="5">IF(H271=1,IF(H270=H$2,1,-0.33),0)</f>
        <v>0</v>
      </c>
    </row>
    <row r="273" spans="2:8" x14ac:dyDescent="0.25">
      <c r="B273" s="8" t="s">
        <v>12</v>
      </c>
      <c r="C273" s="24" t="s">
        <v>214</v>
      </c>
      <c r="D273" s="9"/>
      <c r="E273" s="10" t="s">
        <v>12</v>
      </c>
      <c r="F273" s="25"/>
      <c r="G273" s="26"/>
      <c r="H273" s="26"/>
    </row>
    <row r="274" spans="2:8" x14ac:dyDescent="0.25">
      <c r="B274" s="11"/>
      <c r="C274" s="12"/>
      <c r="D274" s="9"/>
      <c r="E274" s="10" t="s">
        <v>13</v>
      </c>
      <c r="F274" s="30"/>
      <c r="G274" s="26"/>
      <c r="H274" s="26"/>
    </row>
    <row r="275" spans="2:8" ht="31.5" x14ac:dyDescent="0.25">
      <c r="B275" s="5">
        <v>14</v>
      </c>
      <c r="C275" s="21" t="s">
        <v>215</v>
      </c>
      <c r="D275" s="6"/>
      <c r="E275" s="7"/>
      <c r="F275" s="22"/>
      <c r="G275" s="23"/>
      <c r="H275" s="23"/>
    </row>
    <row r="276" spans="2:8" x14ac:dyDescent="0.25">
      <c r="B276" s="8" t="s">
        <v>9</v>
      </c>
      <c r="C276" s="52">
        <v>1156520</v>
      </c>
      <c r="D276" s="9"/>
      <c r="E276" s="10" t="s">
        <v>9</v>
      </c>
      <c r="F276" s="25"/>
      <c r="G276" s="26"/>
      <c r="H276" s="1" t="b">
        <f>IF(D278="x",H$2,H$1)</f>
        <v>0</v>
      </c>
    </row>
    <row r="277" spans="2:8" x14ac:dyDescent="0.25">
      <c r="B277" s="8" t="s">
        <v>10</v>
      </c>
      <c r="C277" s="52">
        <v>4625</v>
      </c>
      <c r="D277" s="9"/>
      <c r="E277" s="10" t="s">
        <v>10</v>
      </c>
      <c r="F277" s="27" t="str">
        <f>IF(H278=1,IF(H276=H$2,H276,""),"")</f>
        <v/>
      </c>
      <c r="G277" s="26"/>
      <c r="H277" s="1" t="str">
        <f>IF(E$97="comprobar",COUNTIF(D276:D280,"x"),"")</f>
        <v/>
      </c>
    </row>
    <row r="278" spans="2:8" x14ac:dyDescent="0.25">
      <c r="B278" s="8" t="s">
        <v>11</v>
      </c>
      <c r="C278" s="52">
        <v>1156250</v>
      </c>
      <c r="D278" s="9"/>
      <c r="E278" s="10" t="s">
        <v>11</v>
      </c>
      <c r="F278" s="28" t="str">
        <f>IF(H278=-0.33,IF(H276=H$1,H276,""),"")</f>
        <v/>
      </c>
      <c r="G278" s="26"/>
      <c r="H278" s="29">
        <f>IF(H277=1,IF(H276=H$2,1,-0.33),0)</f>
        <v>0</v>
      </c>
    </row>
    <row r="279" spans="2:8" x14ac:dyDescent="0.25">
      <c r="B279" s="8" t="s">
        <v>12</v>
      </c>
      <c r="C279" s="52">
        <v>54054</v>
      </c>
      <c r="D279" s="9"/>
      <c r="E279" s="10" t="s">
        <v>12</v>
      </c>
      <c r="F279" s="25"/>
      <c r="G279" s="26"/>
      <c r="H279" s="26"/>
    </row>
    <row r="280" spans="2:8" x14ac:dyDescent="0.25">
      <c r="B280" s="11"/>
      <c r="C280" s="12"/>
      <c r="D280" s="9"/>
      <c r="E280" s="10" t="s">
        <v>13</v>
      </c>
      <c r="F280" s="30"/>
      <c r="G280" s="26"/>
      <c r="H280" s="26"/>
    </row>
    <row r="281" spans="2:8" ht="31.5" x14ac:dyDescent="0.25">
      <c r="B281" s="5">
        <v>15</v>
      </c>
      <c r="C281" s="21" t="s">
        <v>216</v>
      </c>
      <c r="D281" s="6"/>
      <c r="E281" s="7"/>
      <c r="F281" s="22"/>
      <c r="G281" s="23"/>
      <c r="H281" s="23"/>
    </row>
    <row r="282" spans="2:8" x14ac:dyDescent="0.25">
      <c r="B282" s="8" t="s">
        <v>9</v>
      </c>
      <c r="C282" s="24" t="s">
        <v>217</v>
      </c>
      <c r="D282" s="9"/>
      <c r="E282" s="10" t="s">
        <v>9</v>
      </c>
      <c r="F282" s="25"/>
      <c r="G282" s="26"/>
      <c r="H282" s="1" t="b">
        <f>IF(D283="x",H$2,H$1)</f>
        <v>0</v>
      </c>
    </row>
    <row r="283" spans="2:8" x14ac:dyDescent="0.25">
      <c r="B283" s="8" t="s">
        <v>10</v>
      </c>
      <c r="C283" s="24" t="s">
        <v>164</v>
      </c>
      <c r="D283" s="9"/>
      <c r="E283" s="10" t="s">
        <v>10</v>
      </c>
      <c r="F283" s="27" t="str">
        <f>IF(H284=1,IF(H282=H$2,H282,""),"")</f>
        <v/>
      </c>
      <c r="G283" s="26"/>
      <c r="H283" s="1" t="str">
        <f>IF(E$97="comprobar",COUNTIF(D282:D286,"x"),"")</f>
        <v/>
      </c>
    </row>
    <row r="284" spans="2:8" x14ac:dyDescent="0.25">
      <c r="B284" s="8" t="s">
        <v>11</v>
      </c>
      <c r="C284" s="24" t="s">
        <v>165</v>
      </c>
      <c r="D284" s="9"/>
      <c r="E284" s="10" t="s">
        <v>11</v>
      </c>
      <c r="F284" s="28" t="str">
        <f>IF(H284=-0.33,IF(H282=H$1,H282,""),"")</f>
        <v/>
      </c>
      <c r="G284" s="26"/>
      <c r="H284" s="29">
        <f>IF(H283=1,IF(H282=H$2,1,-0.33),0)</f>
        <v>0</v>
      </c>
    </row>
    <row r="285" spans="2:8" x14ac:dyDescent="0.25">
      <c r="B285" s="8" t="s">
        <v>12</v>
      </c>
      <c r="C285" s="24" t="s">
        <v>218</v>
      </c>
      <c r="D285" s="9"/>
      <c r="E285" s="10" t="s">
        <v>12</v>
      </c>
      <c r="F285" s="25"/>
      <c r="G285" s="26"/>
      <c r="H285" s="29"/>
    </row>
    <row r="286" spans="2:8" x14ac:dyDescent="0.25">
      <c r="B286" s="11"/>
      <c r="C286" s="12"/>
      <c r="D286" s="9"/>
      <c r="E286" s="10" t="s">
        <v>13</v>
      </c>
      <c r="F286" s="30"/>
      <c r="G286" s="26"/>
      <c r="H286" s="29"/>
    </row>
    <row r="287" spans="2:8" x14ac:dyDescent="0.25">
      <c r="B287" s="33"/>
      <c r="C287" s="4"/>
      <c r="D287" s="34"/>
      <c r="E287" s="35"/>
      <c r="F287" s="30"/>
      <c r="G287" s="26"/>
      <c r="H287" s="26"/>
    </row>
    <row r="288" spans="2:8" x14ac:dyDescent="0.25">
      <c r="B288" s="33"/>
      <c r="C288" s="4"/>
      <c r="D288" s="34"/>
      <c r="E288" s="36"/>
      <c r="F288" s="37" t="s">
        <v>8</v>
      </c>
      <c r="G288" s="26" t="s">
        <v>6</v>
      </c>
      <c r="H288" s="26" t="s">
        <v>7</v>
      </c>
    </row>
    <row r="289" spans="2:8" ht="19.5" x14ac:dyDescent="0.25">
      <c r="B289" s="33"/>
      <c r="C289" s="38"/>
      <c r="D289" s="51"/>
      <c r="E289" s="51"/>
      <c r="F289" s="39" t="str">
        <f>IF(E287="comprobar",H254+H248+H242+H236+H230+H224+H218+H212+H206+H200+H260+H266+H272+H278+H284,"")</f>
        <v/>
      </c>
      <c r="G289" s="26">
        <f>10/2</f>
        <v>5</v>
      </c>
      <c r="H289" s="26"/>
    </row>
    <row r="290" spans="2:8" ht="16.5" thickBot="1" x14ac:dyDescent="0.3">
      <c r="B290" s="40"/>
      <c r="C290" s="41"/>
      <c r="D290" s="42"/>
      <c r="E290" s="43"/>
      <c r="F290" s="44" t="str">
        <f>IF(F289&gt;G289,G288,H288)</f>
        <v>APROBADO</v>
      </c>
      <c r="G290" s="26"/>
      <c r="H290" s="26"/>
    </row>
    <row r="291" spans="2:8" ht="28.5" x14ac:dyDescent="0.45">
      <c r="B291" s="19" t="s">
        <v>81</v>
      </c>
      <c r="C291" s="49" t="s">
        <v>84</v>
      </c>
      <c r="D291" s="49"/>
      <c r="E291" s="49"/>
      <c r="F291" s="50"/>
      <c r="G291" s="20"/>
      <c r="H291" s="20"/>
    </row>
    <row r="292" spans="2:8" x14ac:dyDescent="0.25">
      <c r="B292" s="5">
        <v>1</v>
      </c>
      <c r="C292" s="21" t="s">
        <v>219</v>
      </c>
      <c r="D292" s="6"/>
      <c r="E292" s="7"/>
      <c r="F292" s="22"/>
      <c r="G292" s="23"/>
      <c r="H292" s="23"/>
    </row>
    <row r="293" spans="2:8" x14ac:dyDescent="0.25">
      <c r="B293" s="8" t="s">
        <v>9</v>
      </c>
      <c r="C293" s="24" t="s">
        <v>220</v>
      </c>
      <c r="D293" s="9"/>
      <c r="E293" s="10" t="s">
        <v>9</v>
      </c>
      <c r="F293" s="25"/>
      <c r="G293" s="26"/>
      <c r="H293" s="1" t="b">
        <f>IF(D296="x",H$2,H$1)</f>
        <v>0</v>
      </c>
    </row>
    <row r="294" spans="2:8" x14ac:dyDescent="0.25">
      <c r="B294" s="8" t="s">
        <v>10</v>
      </c>
      <c r="C294" s="24" t="s">
        <v>221</v>
      </c>
      <c r="D294" s="9"/>
      <c r="E294" s="10" t="s">
        <v>10</v>
      </c>
      <c r="F294" s="27" t="str">
        <f>IF(H295=1,IF(H293=H$2,H293,""),"")</f>
        <v/>
      </c>
      <c r="G294" s="26"/>
      <c r="H294" s="1" t="str">
        <f>IF(E382="comprobar",COUNTIF(D293:D297,"x"),"")</f>
        <v/>
      </c>
    </row>
    <row r="295" spans="2:8" x14ac:dyDescent="0.25">
      <c r="B295" s="8" t="s">
        <v>11</v>
      </c>
      <c r="C295" s="24" t="s">
        <v>222</v>
      </c>
      <c r="D295" s="9"/>
      <c r="E295" s="10" t="s">
        <v>11</v>
      </c>
      <c r="F295" s="28" t="str">
        <f>IF(H295=-0.33,IF(H293=H$1,H293,""),"")</f>
        <v/>
      </c>
      <c r="G295" s="26"/>
      <c r="H295" s="29">
        <f>IF(H294=1,IF(H293=H$2,1,-0.33),0)</f>
        <v>0</v>
      </c>
    </row>
    <row r="296" spans="2:8" x14ac:dyDescent="0.25">
      <c r="B296" s="8" t="s">
        <v>12</v>
      </c>
      <c r="C296" s="24" t="s">
        <v>223</v>
      </c>
      <c r="D296" s="9"/>
      <c r="E296" s="10" t="s">
        <v>12</v>
      </c>
      <c r="F296" s="25"/>
      <c r="G296" s="26"/>
      <c r="H296" s="29"/>
    </row>
    <row r="297" spans="2:8" x14ac:dyDescent="0.25">
      <c r="B297" s="11"/>
      <c r="C297" s="12"/>
      <c r="D297" s="9"/>
      <c r="E297" s="10" t="s">
        <v>13</v>
      </c>
      <c r="F297" s="30"/>
      <c r="G297" s="26"/>
      <c r="H297" s="29"/>
    </row>
    <row r="298" spans="2:8" ht="31.5" x14ac:dyDescent="0.25">
      <c r="B298" s="5">
        <v>2</v>
      </c>
      <c r="C298" s="21" t="s">
        <v>224</v>
      </c>
      <c r="D298" s="6"/>
      <c r="E298" s="7"/>
      <c r="F298" s="22"/>
      <c r="G298" s="23"/>
      <c r="H298" s="23"/>
    </row>
    <row r="299" spans="2:8" x14ac:dyDescent="0.25">
      <c r="B299" s="8" t="s">
        <v>9</v>
      </c>
      <c r="C299" s="24" t="s">
        <v>225</v>
      </c>
      <c r="D299" s="9"/>
      <c r="E299" s="10" t="s">
        <v>9</v>
      </c>
      <c r="F299" s="25"/>
      <c r="G299" s="26"/>
      <c r="H299" s="1" t="b">
        <f>IF(D302="x",H$2,H$1)</f>
        <v>0</v>
      </c>
    </row>
    <row r="300" spans="2:8" x14ac:dyDescent="0.25">
      <c r="B300" s="8" t="s">
        <v>10</v>
      </c>
      <c r="C300" s="24" t="s">
        <v>226</v>
      </c>
      <c r="D300" s="9"/>
      <c r="E300" s="10" t="s">
        <v>10</v>
      </c>
      <c r="F300" s="27" t="str">
        <f>IF(H301=1,IF(H299=H$2,H299,""),"")</f>
        <v/>
      </c>
      <c r="G300" s="26"/>
      <c r="H300" s="1" t="str">
        <f>IF(E382="comprobar",COUNTIF(D299:D303,"x"),"")</f>
        <v/>
      </c>
    </row>
    <row r="301" spans="2:8" x14ac:dyDescent="0.25">
      <c r="B301" s="8" t="s">
        <v>11</v>
      </c>
      <c r="C301" s="24" t="s">
        <v>227</v>
      </c>
      <c r="D301" s="9"/>
      <c r="E301" s="10" t="s">
        <v>11</v>
      </c>
      <c r="F301" s="28" t="str">
        <f>IF(H301=-0.33,IF(H299=H$1,H299,""),"")</f>
        <v/>
      </c>
      <c r="G301" s="26"/>
      <c r="H301" s="29">
        <f>IF(H300=1,IF(H299=H$2,1,-0.33),0)</f>
        <v>0</v>
      </c>
    </row>
    <row r="302" spans="2:8" x14ac:dyDescent="0.25">
      <c r="B302" s="8" t="s">
        <v>12</v>
      </c>
      <c r="C302" s="24" t="s">
        <v>228</v>
      </c>
      <c r="D302" s="9"/>
      <c r="E302" s="10" t="s">
        <v>12</v>
      </c>
      <c r="F302" s="25"/>
      <c r="G302" s="26"/>
      <c r="H302" s="26"/>
    </row>
    <row r="303" spans="2:8" x14ac:dyDescent="0.25">
      <c r="B303" s="11"/>
      <c r="C303" s="12"/>
      <c r="D303" s="9"/>
      <c r="E303" s="10" t="s">
        <v>13</v>
      </c>
      <c r="F303" s="30"/>
      <c r="G303" s="26"/>
      <c r="H303" s="26"/>
    </row>
    <row r="304" spans="2:8" x14ac:dyDescent="0.25">
      <c r="B304" s="5">
        <v>3</v>
      </c>
      <c r="C304" s="21" t="s">
        <v>229</v>
      </c>
      <c r="D304" s="6"/>
      <c r="E304" s="7"/>
      <c r="F304" s="22"/>
      <c r="G304" s="23"/>
      <c r="H304" s="23"/>
    </row>
    <row r="305" spans="2:8" x14ac:dyDescent="0.25">
      <c r="B305" s="8" t="s">
        <v>9</v>
      </c>
      <c r="C305" s="24" t="s">
        <v>230</v>
      </c>
      <c r="D305" s="9"/>
      <c r="E305" s="10" t="s">
        <v>9</v>
      </c>
      <c r="F305" s="25"/>
      <c r="G305" s="26"/>
      <c r="H305" s="1" t="b">
        <f>IF(D306="x",H$2,H$1)</f>
        <v>0</v>
      </c>
    </row>
    <row r="306" spans="2:8" x14ac:dyDescent="0.25">
      <c r="B306" s="8" t="s">
        <v>10</v>
      </c>
      <c r="C306" s="24" t="s">
        <v>231</v>
      </c>
      <c r="D306" s="9"/>
      <c r="E306" s="10" t="s">
        <v>10</v>
      </c>
      <c r="F306" s="27" t="str">
        <f>IF(H307=1,IF(H305=H$2,H305,""),"")</f>
        <v/>
      </c>
      <c r="G306" s="26"/>
      <c r="H306" s="1" t="str">
        <f>IF(E382="comprobar",COUNTIF(D305:D309,"x"),"")</f>
        <v/>
      </c>
    </row>
    <row r="307" spans="2:8" x14ac:dyDescent="0.25">
      <c r="B307" s="8" t="s">
        <v>11</v>
      </c>
      <c r="C307" s="24" t="s">
        <v>232</v>
      </c>
      <c r="D307" s="9"/>
      <c r="E307" s="10" t="s">
        <v>11</v>
      </c>
      <c r="F307" s="28" t="str">
        <f>IF(H307=-0.33,IF(H305=H$1,H305,""),"")</f>
        <v/>
      </c>
      <c r="G307" s="26"/>
      <c r="H307" s="29">
        <f>IF(H306=1,IF(H305=H$2,1,-0.33),0)</f>
        <v>0</v>
      </c>
    </row>
    <row r="308" spans="2:8" x14ac:dyDescent="0.25">
      <c r="B308" s="8" t="s">
        <v>12</v>
      </c>
      <c r="C308" s="24" t="s">
        <v>233</v>
      </c>
      <c r="D308" s="9"/>
      <c r="E308" s="10" t="s">
        <v>12</v>
      </c>
      <c r="F308" s="25"/>
      <c r="G308" s="26"/>
      <c r="H308" s="29"/>
    </row>
    <row r="309" spans="2:8" x14ac:dyDescent="0.25">
      <c r="B309" s="11"/>
      <c r="C309" s="12"/>
      <c r="D309" s="9"/>
      <c r="E309" s="10" t="s">
        <v>13</v>
      </c>
      <c r="F309" s="30"/>
      <c r="G309" s="26"/>
      <c r="H309" s="29"/>
    </row>
    <row r="310" spans="2:8" ht="31.5" x14ac:dyDescent="0.25">
      <c r="B310" s="5">
        <v>4</v>
      </c>
      <c r="C310" s="21" t="s">
        <v>234</v>
      </c>
      <c r="D310" s="6"/>
      <c r="E310" s="7"/>
      <c r="F310" s="22"/>
      <c r="G310" s="23"/>
      <c r="H310" s="23"/>
    </row>
    <row r="311" spans="2:8" x14ac:dyDescent="0.25">
      <c r="B311" s="8" t="s">
        <v>9</v>
      </c>
      <c r="C311" s="24" t="s">
        <v>235</v>
      </c>
      <c r="D311" s="9"/>
      <c r="E311" s="10" t="s">
        <v>9</v>
      </c>
      <c r="F311" s="25"/>
      <c r="G311" s="26"/>
      <c r="H311" s="1" t="b">
        <f>IF(D311="x",H$2,H$1)</f>
        <v>0</v>
      </c>
    </row>
    <row r="312" spans="2:8" x14ac:dyDescent="0.25">
      <c r="B312" s="8" t="s">
        <v>10</v>
      </c>
      <c r="C312" s="24" t="s">
        <v>236</v>
      </c>
      <c r="D312" s="9"/>
      <c r="E312" s="10" t="s">
        <v>10</v>
      </c>
      <c r="F312" s="27" t="str">
        <f>IF(H313=1,IF(H311=H$2,H311,""),"")</f>
        <v/>
      </c>
      <c r="G312" s="26"/>
      <c r="H312" s="1" t="str">
        <f>IF(E382="comprobar",COUNTIF(D311:D315,"x"),"")</f>
        <v/>
      </c>
    </row>
    <row r="313" spans="2:8" x14ac:dyDescent="0.25">
      <c r="B313" s="8" t="s">
        <v>11</v>
      </c>
      <c r="C313" s="24" t="s">
        <v>93</v>
      </c>
      <c r="D313" s="9"/>
      <c r="E313" s="10" t="s">
        <v>11</v>
      </c>
      <c r="F313" s="28" t="str">
        <f>IF(H313=-0.33,IF(H311=H$1,H311,""),"")</f>
        <v/>
      </c>
      <c r="G313" s="26"/>
      <c r="H313" s="29">
        <f>IF(H312=1,IF(H311=H$2,1,-0.33),0)</f>
        <v>0</v>
      </c>
    </row>
    <row r="314" spans="2:8" x14ac:dyDescent="0.25">
      <c r="B314" s="8" t="s">
        <v>12</v>
      </c>
      <c r="C314" s="24" t="s">
        <v>237</v>
      </c>
      <c r="D314" s="9"/>
      <c r="E314" s="10" t="s">
        <v>12</v>
      </c>
      <c r="F314" s="25"/>
      <c r="G314" s="26"/>
      <c r="H314" s="29"/>
    </row>
    <row r="315" spans="2:8" x14ac:dyDescent="0.25">
      <c r="B315" s="11"/>
      <c r="C315" s="12"/>
      <c r="D315" s="9"/>
      <c r="E315" s="10" t="s">
        <v>13</v>
      </c>
      <c r="F315" s="30"/>
      <c r="G315" s="26"/>
      <c r="H315" s="29"/>
    </row>
    <row r="316" spans="2:8" ht="31.5" x14ac:dyDescent="0.25">
      <c r="B316" s="5">
        <v>5</v>
      </c>
      <c r="C316" s="21" t="s">
        <v>238</v>
      </c>
      <c r="D316" s="6"/>
      <c r="E316" s="7"/>
      <c r="F316" s="22"/>
      <c r="G316" s="23"/>
      <c r="H316" s="23"/>
    </row>
    <row r="317" spans="2:8" x14ac:dyDescent="0.25">
      <c r="B317" s="8" t="s">
        <v>9</v>
      </c>
      <c r="C317" s="24" t="s">
        <v>239</v>
      </c>
      <c r="D317" s="9"/>
      <c r="E317" s="10" t="s">
        <v>9</v>
      </c>
      <c r="F317" s="25"/>
      <c r="G317" s="26"/>
      <c r="H317" s="1" t="b">
        <f>IF(D318="x",H$2,H$1)</f>
        <v>0</v>
      </c>
    </row>
    <row r="318" spans="2:8" x14ac:dyDescent="0.25">
      <c r="B318" s="8" t="s">
        <v>10</v>
      </c>
      <c r="C318" s="24" t="s">
        <v>240</v>
      </c>
      <c r="D318" s="9"/>
      <c r="E318" s="10" t="s">
        <v>10</v>
      </c>
      <c r="F318" s="27" t="str">
        <f>IF(H319=1,IF(H317=H$2,H317,""),"")</f>
        <v/>
      </c>
      <c r="G318" s="26"/>
      <c r="H318" s="1" t="str">
        <f>IF(E382="comprobar",COUNTIF(D317:D321,"x"),"")</f>
        <v/>
      </c>
    </row>
    <row r="319" spans="2:8" x14ac:dyDescent="0.25">
      <c r="B319" s="8" t="s">
        <v>11</v>
      </c>
      <c r="C319" s="24" t="s">
        <v>93</v>
      </c>
      <c r="D319" s="9"/>
      <c r="E319" s="10" t="s">
        <v>11</v>
      </c>
      <c r="F319" s="28" t="str">
        <f>IF(H319=-0.33,IF(H317=H$1,H317,""),"")</f>
        <v/>
      </c>
      <c r="G319" s="26"/>
      <c r="H319" s="29">
        <f t="shared" ref="H319" si="6">IF(H318=1,IF(H317=H$2,1,-0.33),0)</f>
        <v>0</v>
      </c>
    </row>
    <row r="320" spans="2:8" x14ac:dyDescent="0.25">
      <c r="B320" s="8" t="s">
        <v>12</v>
      </c>
      <c r="C320" s="24" t="s">
        <v>241</v>
      </c>
      <c r="D320" s="9"/>
      <c r="E320" s="10" t="s">
        <v>12</v>
      </c>
      <c r="F320" s="25"/>
      <c r="G320" s="26"/>
      <c r="H320" s="26"/>
    </row>
    <row r="321" spans="2:8" x14ac:dyDescent="0.25">
      <c r="B321" s="11"/>
      <c r="C321" s="12"/>
      <c r="D321" s="9"/>
      <c r="E321" s="10" t="s">
        <v>13</v>
      </c>
      <c r="F321" s="30"/>
      <c r="G321" s="26"/>
      <c r="H321" s="26"/>
    </row>
    <row r="322" spans="2:8" ht="31.5" x14ac:dyDescent="0.25">
      <c r="B322" s="5">
        <v>6</v>
      </c>
      <c r="C322" s="21" t="s">
        <v>242</v>
      </c>
      <c r="D322" s="6"/>
      <c r="E322" s="7"/>
      <c r="F322" s="22"/>
      <c r="G322" s="23"/>
      <c r="H322" s="23"/>
    </row>
    <row r="323" spans="2:8" x14ac:dyDescent="0.25">
      <c r="B323" s="8" t="s">
        <v>9</v>
      </c>
      <c r="C323" s="24" t="s">
        <v>243</v>
      </c>
      <c r="D323" s="9"/>
      <c r="E323" s="10" t="s">
        <v>9</v>
      </c>
      <c r="F323" s="25"/>
      <c r="G323" s="26"/>
      <c r="H323" s="1" t="b">
        <f>IF(D324="x",H$2,H$1)</f>
        <v>0</v>
      </c>
    </row>
    <row r="324" spans="2:8" x14ac:dyDescent="0.25">
      <c r="B324" s="8" t="s">
        <v>10</v>
      </c>
      <c r="C324" s="24" t="s">
        <v>244</v>
      </c>
      <c r="D324" s="9"/>
      <c r="E324" s="10" t="s">
        <v>10</v>
      </c>
      <c r="F324" s="27" t="str">
        <f>IF(H325=1,IF(H323=H$2,H323,""),"")</f>
        <v/>
      </c>
      <c r="G324" s="26"/>
      <c r="H324" s="1" t="str">
        <f>IF(E382="comprobar",COUNTIF(D323:D327,"x"),"")</f>
        <v/>
      </c>
    </row>
    <row r="325" spans="2:8" x14ac:dyDescent="0.25">
      <c r="B325" s="8" t="s">
        <v>11</v>
      </c>
      <c r="C325" s="24" t="s">
        <v>245</v>
      </c>
      <c r="D325" s="9"/>
      <c r="E325" s="10" t="s">
        <v>11</v>
      </c>
      <c r="F325" s="28" t="str">
        <f>IF(H325=-0.33,IF(H323=H$1,H323,""),"")</f>
        <v/>
      </c>
      <c r="G325" s="26"/>
      <c r="H325" s="29">
        <f>IF(H324=1,IF(H323=H$2,1,-0.33),0)</f>
        <v>0</v>
      </c>
    </row>
    <row r="326" spans="2:8" x14ac:dyDescent="0.25">
      <c r="B326" s="8" t="s">
        <v>12</v>
      </c>
      <c r="C326" s="24" t="s">
        <v>246</v>
      </c>
      <c r="D326" s="9"/>
      <c r="E326" s="10" t="s">
        <v>12</v>
      </c>
      <c r="F326" s="25"/>
      <c r="G326" s="26"/>
      <c r="H326" s="26"/>
    </row>
    <row r="327" spans="2:8" x14ac:dyDescent="0.25">
      <c r="B327" s="11"/>
      <c r="C327" s="12"/>
      <c r="D327" s="9"/>
      <c r="E327" s="10" t="s">
        <v>13</v>
      </c>
      <c r="F327" s="30"/>
      <c r="G327" s="26"/>
      <c r="H327" s="26"/>
    </row>
    <row r="328" spans="2:8" x14ac:dyDescent="0.25">
      <c r="B328" s="5">
        <v>7</v>
      </c>
      <c r="C328" s="21" t="s">
        <v>247</v>
      </c>
      <c r="D328" s="6"/>
      <c r="E328" s="7"/>
      <c r="F328" s="22"/>
      <c r="G328" s="23"/>
      <c r="H328" s="23"/>
    </row>
    <row r="329" spans="2:8" x14ac:dyDescent="0.25">
      <c r="B329" s="8" t="s">
        <v>9</v>
      </c>
      <c r="C329" s="24" t="s">
        <v>248</v>
      </c>
      <c r="D329" s="9"/>
      <c r="E329" s="10" t="s">
        <v>9</v>
      </c>
      <c r="F329" s="25"/>
      <c r="G329" s="26"/>
      <c r="H329" s="1" t="b">
        <f>IF(D330="x",H$2,H$1)</f>
        <v>0</v>
      </c>
    </row>
    <row r="330" spans="2:8" x14ac:dyDescent="0.25">
      <c r="B330" s="8" t="s">
        <v>10</v>
      </c>
      <c r="C330" s="24" t="s">
        <v>46</v>
      </c>
      <c r="D330" s="9"/>
      <c r="E330" s="10" t="s">
        <v>10</v>
      </c>
      <c r="F330" s="27" t="str">
        <f>IF(H331=1,IF(H329=H$2,H329,""),"")</f>
        <v/>
      </c>
      <c r="G330" s="26"/>
      <c r="H330" s="1" t="str">
        <f>IF(E382="comprobar",COUNTIF(D329:D333,"x"),"")</f>
        <v/>
      </c>
    </row>
    <row r="331" spans="2:8" x14ac:dyDescent="0.25">
      <c r="B331" s="8" t="s">
        <v>11</v>
      </c>
      <c r="C331" s="24" t="s">
        <v>249</v>
      </c>
      <c r="D331" s="9"/>
      <c r="E331" s="10" t="s">
        <v>11</v>
      </c>
      <c r="F331" s="28" t="str">
        <f>IF(H331=-0.33,IF(H329=H$1,H329,""),"")</f>
        <v/>
      </c>
      <c r="G331" s="26"/>
      <c r="H331" s="29">
        <f>IF(H330=1,IF(H329=H$2,1,-0.33),0)</f>
        <v>0</v>
      </c>
    </row>
    <row r="332" spans="2:8" x14ac:dyDescent="0.25">
      <c r="B332" s="8" t="s">
        <v>12</v>
      </c>
      <c r="C332" s="24" t="s">
        <v>250</v>
      </c>
      <c r="D332" s="9"/>
      <c r="E332" s="10" t="s">
        <v>12</v>
      </c>
      <c r="F332" s="25"/>
      <c r="G332" s="26"/>
      <c r="H332" s="29"/>
    </row>
    <row r="333" spans="2:8" x14ac:dyDescent="0.25">
      <c r="B333" s="11"/>
      <c r="C333" s="12"/>
      <c r="D333" s="9"/>
      <c r="E333" s="10" t="s">
        <v>13</v>
      </c>
      <c r="F333" s="30"/>
      <c r="G333" s="26"/>
      <c r="H333" s="29"/>
    </row>
    <row r="334" spans="2:8" x14ac:dyDescent="0.25">
      <c r="B334" s="5">
        <v>8</v>
      </c>
      <c r="C334" s="21" t="s">
        <v>251</v>
      </c>
      <c r="D334" s="6"/>
      <c r="E334" s="7"/>
      <c r="F334" s="22"/>
      <c r="G334" s="23"/>
      <c r="H334" s="23"/>
    </row>
    <row r="335" spans="2:8" x14ac:dyDescent="0.25">
      <c r="B335" s="8" t="s">
        <v>9</v>
      </c>
      <c r="C335" s="24" t="s">
        <v>252</v>
      </c>
      <c r="D335" s="9"/>
      <c r="E335" s="10" t="s">
        <v>9</v>
      </c>
      <c r="F335" s="25"/>
      <c r="G335" s="26"/>
      <c r="H335" s="1" t="b">
        <f>IF(D338="x",H$2,H$1)</f>
        <v>0</v>
      </c>
    </row>
    <row r="336" spans="2:8" x14ac:dyDescent="0.25">
      <c r="B336" s="8" t="s">
        <v>10</v>
      </c>
      <c r="C336" s="24" t="s">
        <v>253</v>
      </c>
      <c r="D336" s="9"/>
      <c r="E336" s="10" t="s">
        <v>10</v>
      </c>
      <c r="F336" s="27" t="str">
        <f>IF(H337=1,IF(H335=H$2,H335,""),"")</f>
        <v/>
      </c>
      <c r="G336" s="26"/>
      <c r="H336" s="1" t="str">
        <f>IF(E382="comprobar",COUNTIF(D335:D339,"x"),"")</f>
        <v/>
      </c>
    </row>
    <row r="337" spans="2:8" x14ac:dyDescent="0.25">
      <c r="B337" s="8" t="s">
        <v>11</v>
      </c>
      <c r="C337" s="24" t="s">
        <v>254</v>
      </c>
      <c r="D337" s="9"/>
      <c r="E337" s="10" t="s">
        <v>11</v>
      </c>
      <c r="F337" s="28" t="str">
        <f>IF(H337=-0.33,IF(H335=H$1,H335,""),"")</f>
        <v/>
      </c>
      <c r="G337" s="26"/>
      <c r="H337" s="29">
        <f>IF(H336=1,IF(H335=H$2,1,-0.33),0)</f>
        <v>0</v>
      </c>
    </row>
    <row r="338" spans="2:8" x14ac:dyDescent="0.25">
      <c r="B338" s="8" t="s">
        <v>12</v>
      </c>
      <c r="C338" s="24" t="s">
        <v>255</v>
      </c>
      <c r="D338" s="9"/>
      <c r="E338" s="10" t="s">
        <v>12</v>
      </c>
      <c r="F338" s="25"/>
      <c r="G338" s="26"/>
      <c r="H338" s="29"/>
    </row>
    <row r="339" spans="2:8" x14ac:dyDescent="0.25">
      <c r="B339" s="11"/>
      <c r="C339" s="12"/>
      <c r="D339" s="9"/>
      <c r="E339" s="10" t="s">
        <v>13</v>
      </c>
      <c r="F339" s="30"/>
      <c r="G339" s="26"/>
      <c r="H339" s="29"/>
    </row>
    <row r="340" spans="2:8" ht="31.5" x14ac:dyDescent="0.25">
      <c r="B340" s="5">
        <v>9</v>
      </c>
      <c r="C340" s="21" t="s">
        <v>256</v>
      </c>
      <c r="D340" s="6"/>
      <c r="E340" s="7"/>
      <c r="F340" s="22"/>
      <c r="G340" s="23"/>
      <c r="H340" s="23"/>
    </row>
    <row r="341" spans="2:8" x14ac:dyDescent="0.25">
      <c r="B341" s="8" t="s">
        <v>9</v>
      </c>
      <c r="C341" s="24" t="s">
        <v>257</v>
      </c>
      <c r="D341" s="9"/>
      <c r="E341" s="10" t="s">
        <v>9</v>
      </c>
      <c r="F341" s="25"/>
      <c r="G341" s="26"/>
      <c r="H341" s="1" t="b">
        <f>IF(D342="x",H$2,H$1)</f>
        <v>0</v>
      </c>
    </row>
    <row r="342" spans="2:8" x14ac:dyDescent="0.25">
      <c r="B342" s="8" t="s">
        <v>10</v>
      </c>
      <c r="C342" s="24" t="s">
        <v>258</v>
      </c>
      <c r="D342" s="9"/>
      <c r="E342" s="10" t="s">
        <v>10</v>
      </c>
      <c r="F342" s="27" t="str">
        <f>IF(H343=1,IF(H341=H$2,H341,""),"")</f>
        <v/>
      </c>
      <c r="G342" s="26"/>
      <c r="H342" s="1" t="str">
        <f>IF(E382="comprobar",COUNTIF(D341:D345,"x"),"")</f>
        <v/>
      </c>
    </row>
    <row r="343" spans="2:8" x14ac:dyDescent="0.25">
      <c r="B343" s="8" t="s">
        <v>11</v>
      </c>
      <c r="C343" s="24" t="s">
        <v>259</v>
      </c>
      <c r="D343" s="9"/>
      <c r="E343" s="10" t="s">
        <v>11</v>
      </c>
      <c r="F343" s="28" t="str">
        <f>IF(H343=-0.33,IF(H341=H$1,H341,""),"")</f>
        <v/>
      </c>
      <c r="G343" s="26"/>
      <c r="H343" s="29">
        <f>IF(H342=1,IF(H341=H$2,1,-0.33),0)</f>
        <v>0</v>
      </c>
    </row>
    <row r="344" spans="2:8" x14ac:dyDescent="0.25">
      <c r="B344" s="8" t="s">
        <v>12</v>
      </c>
      <c r="C344" s="24" t="s">
        <v>260</v>
      </c>
      <c r="D344" s="9"/>
      <c r="E344" s="10" t="s">
        <v>12</v>
      </c>
      <c r="F344" s="25"/>
      <c r="G344" s="26"/>
      <c r="H344" s="1"/>
    </row>
    <row r="345" spans="2:8" x14ac:dyDescent="0.25">
      <c r="B345" s="11"/>
      <c r="C345" s="12"/>
      <c r="D345" s="9"/>
      <c r="E345" s="10" t="s">
        <v>13</v>
      </c>
      <c r="F345" s="30"/>
      <c r="G345" s="26"/>
      <c r="H345" s="15"/>
    </row>
    <row r="346" spans="2:8" ht="31.5" x14ac:dyDescent="0.25">
      <c r="B346" s="5">
        <v>10</v>
      </c>
      <c r="C346" s="21" t="s">
        <v>261</v>
      </c>
      <c r="D346" s="6"/>
      <c r="E346" s="7"/>
      <c r="F346" s="22"/>
      <c r="G346" s="31"/>
      <c r="H346" s="31"/>
    </row>
    <row r="347" spans="2:8" x14ac:dyDescent="0.25">
      <c r="B347" s="8" t="s">
        <v>9</v>
      </c>
      <c r="C347" s="24" t="s">
        <v>262</v>
      </c>
      <c r="D347" s="9"/>
      <c r="E347" s="10" t="s">
        <v>9</v>
      </c>
      <c r="F347" s="25"/>
      <c r="G347" s="32"/>
      <c r="H347" s="1" t="b">
        <f>IF(D347="x",H$2,H$1)</f>
        <v>0</v>
      </c>
    </row>
    <row r="348" spans="2:8" x14ac:dyDescent="0.25">
      <c r="B348" s="8" t="s">
        <v>10</v>
      </c>
      <c r="C348" s="24" t="s">
        <v>220</v>
      </c>
      <c r="D348" s="9"/>
      <c r="E348" s="10" t="s">
        <v>10</v>
      </c>
      <c r="F348" s="27" t="str">
        <f>IF(H349=1,IF(H347=H$2,H347,""),"")</f>
        <v/>
      </c>
      <c r="G348" s="32"/>
      <c r="H348" s="1" t="str">
        <f>IF(E382="comprobar",COUNTIF(D347:D351,"x"),"")</f>
        <v/>
      </c>
    </row>
    <row r="349" spans="2:8" x14ac:dyDescent="0.25">
      <c r="B349" s="8" t="s">
        <v>11</v>
      </c>
      <c r="C349" s="24" t="s">
        <v>222</v>
      </c>
      <c r="D349" s="9"/>
      <c r="E349" s="10" t="s">
        <v>11</v>
      </c>
      <c r="F349" s="28" t="str">
        <f>IF(H349=-0.33,IF(H347=H$1,H347,""),"")</f>
        <v/>
      </c>
      <c r="G349" s="32"/>
      <c r="H349" s="29">
        <f>IF(H348=1,IF(H347=H$2,1,-0.33),0)</f>
        <v>0</v>
      </c>
    </row>
    <row r="350" spans="2:8" x14ac:dyDescent="0.25">
      <c r="B350" s="8" t="s">
        <v>12</v>
      </c>
      <c r="C350" s="24" t="s">
        <v>221</v>
      </c>
      <c r="D350" s="9"/>
      <c r="E350" s="10" t="s">
        <v>12</v>
      </c>
      <c r="F350" s="25"/>
      <c r="G350" s="32"/>
      <c r="H350" s="29"/>
    </row>
    <row r="351" spans="2:8" x14ac:dyDescent="0.25">
      <c r="B351" s="11"/>
      <c r="C351" s="12"/>
      <c r="D351" s="9"/>
      <c r="E351" s="10" t="s">
        <v>13</v>
      </c>
      <c r="F351" s="30"/>
      <c r="G351" s="32"/>
      <c r="H351" s="29"/>
    </row>
    <row r="352" spans="2:8" ht="31.5" x14ac:dyDescent="0.25">
      <c r="B352" s="5">
        <v>11</v>
      </c>
      <c r="C352" s="21" t="s">
        <v>263</v>
      </c>
      <c r="D352" s="6"/>
      <c r="E352" s="7"/>
      <c r="F352" s="22"/>
      <c r="G352" s="31"/>
      <c r="H352" s="31"/>
    </row>
    <row r="353" spans="2:8" x14ac:dyDescent="0.25">
      <c r="B353" s="8" t="s">
        <v>9</v>
      </c>
      <c r="C353" s="24" t="s">
        <v>260</v>
      </c>
      <c r="D353" s="9"/>
      <c r="E353" s="10" t="s">
        <v>9</v>
      </c>
      <c r="F353" s="25"/>
      <c r="G353" s="32"/>
      <c r="H353" s="1" t="b">
        <f>IF(D353="x",H$2,H$1)</f>
        <v>0</v>
      </c>
    </row>
    <row r="354" spans="2:8" x14ac:dyDescent="0.25">
      <c r="B354" s="8" t="s">
        <v>10</v>
      </c>
      <c r="C354" s="24" t="s">
        <v>257</v>
      </c>
      <c r="D354" s="9"/>
      <c r="E354" s="10" t="s">
        <v>10</v>
      </c>
      <c r="F354" s="27" t="str">
        <f>IF(H355=1,IF(H353=H$2,H353,""),"")</f>
        <v/>
      </c>
      <c r="G354" s="32"/>
      <c r="H354" s="1" t="str">
        <f>IF(E382="comprobar",COUNTIF(D353:D357,"x"),"")</f>
        <v/>
      </c>
    </row>
    <row r="355" spans="2:8" x14ac:dyDescent="0.25">
      <c r="B355" s="8" t="s">
        <v>11</v>
      </c>
      <c r="C355" s="24" t="s">
        <v>258</v>
      </c>
      <c r="D355" s="9"/>
      <c r="E355" s="10" t="s">
        <v>11</v>
      </c>
      <c r="F355" s="28" t="str">
        <f>IF(H355=-0.33,IF(H353=H$1,H353,""),"")</f>
        <v/>
      </c>
      <c r="G355" s="32"/>
      <c r="H355" s="29">
        <f>IF(H354=1,IF(H353=H$2,1,-0.33),0)</f>
        <v>0</v>
      </c>
    </row>
    <row r="356" spans="2:8" x14ac:dyDescent="0.25">
      <c r="B356" s="8" t="s">
        <v>12</v>
      </c>
      <c r="C356" s="24" t="s">
        <v>259</v>
      </c>
      <c r="D356" s="9"/>
      <c r="E356" s="10" t="s">
        <v>12</v>
      </c>
      <c r="F356" s="25"/>
      <c r="G356" s="32"/>
      <c r="H356" s="29"/>
    </row>
    <row r="357" spans="2:8" x14ac:dyDescent="0.25">
      <c r="B357" s="11"/>
      <c r="C357" s="12"/>
      <c r="D357" s="9"/>
      <c r="E357" s="10"/>
      <c r="F357" s="25"/>
      <c r="G357" s="32"/>
      <c r="H357" s="29"/>
    </row>
    <row r="358" spans="2:8" x14ac:dyDescent="0.25">
      <c r="B358" s="5">
        <v>12</v>
      </c>
      <c r="C358" s="21" t="s">
        <v>264</v>
      </c>
      <c r="D358" s="6"/>
      <c r="E358" s="7"/>
      <c r="F358" s="22"/>
      <c r="G358" s="23"/>
      <c r="H358" s="23"/>
    </row>
    <row r="359" spans="2:8" x14ac:dyDescent="0.25">
      <c r="B359" s="8" t="s">
        <v>9</v>
      </c>
      <c r="C359" s="24" t="s">
        <v>265</v>
      </c>
      <c r="D359" s="9"/>
      <c r="E359" s="10" t="s">
        <v>9</v>
      </c>
      <c r="F359" s="25"/>
      <c r="G359" s="26"/>
      <c r="H359" s="1" t="b">
        <f>IF(D361="x",H$2,H$1)</f>
        <v>0</v>
      </c>
    </row>
    <row r="360" spans="2:8" x14ac:dyDescent="0.25">
      <c r="B360" s="8" t="s">
        <v>10</v>
      </c>
      <c r="C360" s="24" t="s">
        <v>266</v>
      </c>
      <c r="D360" s="9"/>
      <c r="E360" s="10" t="s">
        <v>10</v>
      </c>
      <c r="F360" s="27" t="str">
        <f>IF(H361=1,IF(H359=H$2,H359,""),"")</f>
        <v/>
      </c>
      <c r="G360" s="26"/>
      <c r="H360" s="1" t="str">
        <f>IF(E382="comprobar",COUNTIF(D359:D363,"x"),"")</f>
        <v/>
      </c>
    </row>
    <row r="361" spans="2:8" x14ac:dyDescent="0.25">
      <c r="B361" s="8" t="s">
        <v>11</v>
      </c>
      <c r="C361" s="24" t="s">
        <v>267</v>
      </c>
      <c r="D361" s="9"/>
      <c r="E361" s="10" t="s">
        <v>11</v>
      </c>
      <c r="F361" s="28" t="str">
        <f>IF(H361=-0.33,IF(H359=H$1,H359,""),"")</f>
        <v/>
      </c>
      <c r="G361" s="26"/>
      <c r="H361" s="29">
        <f>IF(H360=1,IF(H359=H$2,1,-0.33),0)</f>
        <v>0</v>
      </c>
    </row>
    <row r="362" spans="2:8" x14ac:dyDescent="0.25">
      <c r="B362" s="8" t="s">
        <v>12</v>
      </c>
      <c r="C362" s="24" t="s">
        <v>268</v>
      </c>
      <c r="D362" s="9"/>
      <c r="E362" s="10" t="s">
        <v>12</v>
      </c>
      <c r="F362" s="25"/>
      <c r="G362" s="26"/>
      <c r="H362" s="29"/>
    </row>
    <row r="363" spans="2:8" x14ac:dyDescent="0.25">
      <c r="B363" s="11"/>
      <c r="C363" s="12"/>
      <c r="D363" s="9"/>
      <c r="E363" s="10" t="s">
        <v>13</v>
      </c>
      <c r="F363" s="30"/>
      <c r="G363" s="26"/>
      <c r="H363" s="29"/>
    </row>
    <row r="364" spans="2:8" ht="31.5" x14ac:dyDescent="0.25">
      <c r="B364" s="5">
        <v>13</v>
      </c>
      <c r="C364" s="21" t="s">
        <v>269</v>
      </c>
      <c r="D364" s="6"/>
      <c r="E364" s="7"/>
      <c r="F364" s="22"/>
      <c r="G364" s="23"/>
      <c r="H364" s="23"/>
    </row>
    <row r="365" spans="2:8" x14ac:dyDescent="0.25">
      <c r="B365" s="8" t="s">
        <v>9</v>
      </c>
      <c r="C365" s="24" t="s">
        <v>220</v>
      </c>
      <c r="D365" s="9"/>
      <c r="E365" s="10" t="s">
        <v>9</v>
      </c>
      <c r="F365" s="25"/>
      <c r="G365" s="26"/>
      <c r="H365" s="1" t="b">
        <f>IF(D368="x",H$2,H$1)</f>
        <v>0</v>
      </c>
    </row>
    <row r="366" spans="2:8" x14ac:dyDescent="0.25">
      <c r="B366" s="8" t="s">
        <v>10</v>
      </c>
      <c r="C366" s="24" t="s">
        <v>262</v>
      </c>
      <c r="D366" s="9"/>
      <c r="E366" s="10" t="s">
        <v>10</v>
      </c>
      <c r="F366" s="27" t="str">
        <f>IF(H367=1,IF(H365=H$2,H365,""),"")</f>
        <v/>
      </c>
      <c r="G366" s="26"/>
      <c r="H366" s="1" t="str">
        <f>IF(E382="comprobar",COUNTIF(D365:D369,"x"),"")</f>
        <v/>
      </c>
    </row>
    <row r="367" spans="2:8" x14ac:dyDescent="0.25">
      <c r="B367" s="8" t="s">
        <v>11</v>
      </c>
      <c r="C367" s="24" t="s">
        <v>222</v>
      </c>
      <c r="D367" s="9"/>
      <c r="E367" s="10" t="s">
        <v>11</v>
      </c>
      <c r="F367" s="28" t="str">
        <f>IF(H367=-0.33,IF(H365=H$1,H365,""),"")</f>
        <v/>
      </c>
      <c r="G367" s="26"/>
      <c r="H367" s="29">
        <f t="shared" ref="H367" si="7">IF(H366=1,IF(H365=H$2,1,-0.33),0)</f>
        <v>0</v>
      </c>
    </row>
    <row r="368" spans="2:8" x14ac:dyDescent="0.25">
      <c r="B368" s="8" t="s">
        <v>12</v>
      </c>
      <c r="C368" s="24" t="s">
        <v>221</v>
      </c>
      <c r="D368" s="9"/>
      <c r="E368" s="10" t="s">
        <v>12</v>
      </c>
      <c r="F368" s="25"/>
      <c r="G368" s="26"/>
      <c r="H368" s="26"/>
    </row>
    <row r="369" spans="2:8" x14ac:dyDescent="0.25">
      <c r="B369" s="11"/>
      <c r="C369" s="12"/>
      <c r="D369" s="9"/>
      <c r="E369" s="10" t="s">
        <v>13</v>
      </c>
      <c r="F369" s="30"/>
      <c r="G369" s="26"/>
      <c r="H369" s="26"/>
    </row>
    <row r="370" spans="2:8" x14ac:dyDescent="0.25">
      <c r="B370" s="5">
        <v>14</v>
      </c>
      <c r="C370" s="21" t="s">
        <v>270</v>
      </c>
      <c r="D370" s="6"/>
      <c r="E370" s="7"/>
      <c r="F370" s="22"/>
      <c r="G370" s="23"/>
      <c r="H370" s="23"/>
    </row>
    <row r="371" spans="2:8" x14ac:dyDescent="0.25">
      <c r="B371" s="8" t="s">
        <v>9</v>
      </c>
      <c r="C371" s="24" t="s">
        <v>271</v>
      </c>
      <c r="D371" s="9"/>
      <c r="E371" s="10" t="s">
        <v>9</v>
      </c>
      <c r="F371" s="25"/>
      <c r="G371" s="26"/>
      <c r="H371" s="1" t="b">
        <f>IF(D372="x",H$2,H$1)</f>
        <v>0</v>
      </c>
    </row>
    <row r="372" spans="2:8" x14ac:dyDescent="0.25">
      <c r="B372" s="8" t="s">
        <v>10</v>
      </c>
      <c r="C372" s="24" t="s">
        <v>272</v>
      </c>
      <c r="D372" s="9"/>
      <c r="E372" s="10" t="s">
        <v>10</v>
      </c>
      <c r="F372" s="27" t="str">
        <f>IF(H373=1,IF(H371=H$2,H371,""),"")</f>
        <v/>
      </c>
      <c r="G372" s="26"/>
      <c r="H372" s="1" t="str">
        <f>IF(E382="comprobar",COUNTIF(D371:D375,"x"),"")</f>
        <v/>
      </c>
    </row>
    <row r="373" spans="2:8" x14ac:dyDescent="0.25">
      <c r="B373" s="8" t="s">
        <v>11</v>
      </c>
      <c r="C373" s="24" t="s">
        <v>93</v>
      </c>
      <c r="D373" s="9"/>
      <c r="E373" s="10" t="s">
        <v>11</v>
      </c>
      <c r="F373" s="28" t="str">
        <f>IF(H373=-0.33,IF(H371=H$1,H371,""),"")</f>
        <v/>
      </c>
      <c r="G373" s="26"/>
      <c r="H373" s="29">
        <f>IF(H372=1,IF(H371=H$2,1,-0.33),0)</f>
        <v>0</v>
      </c>
    </row>
    <row r="374" spans="2:8" x14ac:dyDescent="0.25">
      <c r="B374" s="8" t="s">
        <v>12</v>
      </c>
      <c r="C374" s="24" t="s">
        <v>273</v>
      </c>
      <c r="D374" s="9"/>
      <c r="E374" s="10" t="s">
        <v>12</v>
      </c>
      <c r="F374" s="25"/>
      <c r="G374" s="26"/>
      <c r="H374" s="26"/>
    </row>
    <row r="375" spans="2:8" x14ac:dyDescent="0.25">
      <c r="B375" s="11"/>
      <c r="C375" s="12"/>
      <c r="D375" s="9"/>
      <c r="E375" s="10" t="s">
        <v>13</v>
      </c>
      <c r="F375" s="30"/>
      <c r="G375" s="26"/>
      <c r="H375" s="26"/>
    </row>
    <row r="376" spans="2:8" x14ac:dyDescent="0.25">
      <c r="B376" s="5">
        <v>15</v>
      </c>
      <c r="C376" s="21" t="s">
        <v>274</v>
      </c>
      <c r="D376" s="6"/>
      <c r="E376" s="7"/>
      <c r="F376" s="22"/>
      <c r="G376" s="23"/>
      <c r="H376" s="23"/>
    </row>
    <row r="377" spans="2:8" x14ac:dyDescent="0.25">
      <c r="B377" s="8" t="s">
        <v>9</v>
      </c>
      <c r="C377" s="24" t="s">
        <v>275</v>
      </c>
      <c r="D377" s="9"/>
      <c r="E377" s="10" t="s">
        <v>9</v>
      </c>
      <c r="F377" s="25"/>
      <c r="G377" s="26"/>
      <c r="H377" s="1" t="b">
        <f>IF(D378="x",H$2,H$1)</f>
        <v>0</v>
      </c>
    </row>
    <row r="378" spans="2:8" x14ac:dyDescent="0.25">
      <c r="B378" s="8" t="s">
        <v>10</v>
      </c>
      <c r="C378" s="24" t="s">
        <v>276</v>
      </c>
      <c r="D378" s="9"/>
      <c r="E378" s="10" t="s">
        <v>10</v>
      </c>
      <c r="F378" s="27" t="str">
        <f>IF(H379=1,IF(H377=H$2,H377,""),"")</f>
        <v/>
      </c>
      <c r="G378" s="26"/>
      <c r="H378" s="1" t="str">
        <f>IF(E382="comprobar",COUNTIF(D377:D381,"x"),"")</f>
        <v/>
      </c>
    </row>
    <row r="379" spans="2:8" x14ac:dyDescent="0.25">
      <c r="B379" s="8" t="s">
        <v>11</v>
      </c>
      <c r="C379" s="24" t="s">
        <v>277</v>
      </c>
      <c r="D379" s="9"/>
      <c r="E379" s="10" t="s">
        <v>11</v>
      </c>
      <c r="F379" s="28" t="str">
        <f>IF(H379=-0.33,IF(H377=H$1,H377,""),"")</f>
        <v/>
      </c>
      <c r="G379" s="26"/>
      <c r="H379" s="29">
        <f>IF(H378=1,IF(H377=H$2,1,-0.33),0)</f>
        <v>0</v>
      </c>
    </row>
    <row r="380" spans="2:8" x14ac:dyDescent="0.25">
      <c r="B380" s="8" t="s">
        <v>12</v>
      </c>
      <c r="C380" s="24" t="s">
        <v>278</v>
      </c>
      <c r="D380" s="9"/>
      <c r="E380" s="10" t="s">
        <v>12</v>
      </c>
      <c r="F380" s="25"/>
      <c r="G380" s="26"/>
      <c r="H380" s="29"/>
    </row>
    <row r="381" spans="2:8" x14ac:dyDescent="0.25">
      <c r="B381" s="11"/>
      <c r="C381" s="12"/>
      <c r="D381" s="9"/>
      <c r="E381" s="10" t="s">
        <v>13</v>
      </c>
      <c r="F381" s="30"/>
      <c r="G381" s="26"/>
      <c r="H381" s="29"/>
    </row>
    <row r="382" spans="2:8" x14ac:dyDescent="0.25">
      <c r="B382" s="33"/>
      <c r="C382" s="4"/>
      <c r="D382" s="34"/>
      <c r="E382" s="35"/>
      <c r="F382" s="30"/>
      <c r="G382" s="26"/>
      <c r="H382" s="26"/>
    </row>
    <row r="383" spans="2:8" x14ac:dyDescent="0.25">
      <c r="B383" s="33"/>
      <c r="C383" s="4"/>
      <c r="D383" s="34"/>
      <c r="E383" s="36"/>
      <c r="F383" s="37" t="s">
        <v>8</v>
      </c>
      <c r="G383" s="26" t="s">
        <v>6</v>
      </c>
      <c r="H383" s="26" t="s">
        <v>7</v>
      </c>
    </row>
    <row r="384" spans="2:8" ht="19.5" x14ac:dyDescent="0.25">
      <c r="B384" s="33"/>
      <c r="C384" s="38"/>
      <c r="D384" s="51"/>
      <c r="E384" s="51"/>
      <c r="F384" s="39" t="str">
        <f>IF(E382="comprobar",H349+H343+H337+H331+H325+H319+H313+H307+H301+H295+H355+H361+H367+H373+H379,"")</f>
        <v/>
      </c>
      <c r="G384" s="26">
        <f>10/2</f>
        <v>5</v>
      </c>
      <c r="H384" s="26"/>
    </row>
    <row r="385" spans="2:8" ht="16.5" thickBot="1" x14ac:dyDescent="0.3">
      <c r="B385" s="40"/>
      <c r="C385" s="41"/>
      <c r="D385" s="42"/>
      <c r="E385" s="43"/>
      <c r="F385" s="44" t="str">
        <f>IF(F384&gt;G384,G383,H383)</f>
        <v>APROBADO</v>
      </c>
      <c r="G385" s="26"/>
      <c r="H385" s="26"/>
    </row>
    <row r="386" spans="2:8" ht="28.5" x14ac:dyDescent="0.45">
      <c r="B386" s="19" t="s">
        <v>81</v>
      </c>
      <c r="C386" s="49" t="s">
        <v>85</v>
      </c>
      <c r="D386" s="49"/>
      <c r="E386" s="49"/>
      <c r="F386" s="50"/>
      <c r="G386" s="20"/>
      <c r="H386" s="20"/>
    </row>
    <row r="387" spans="2:8" x14ac:dyDescent="0.25">
      <c r="B387" s="5">
        <v>1</v>
      </c>
      <c r="C387" s="21" t="s">
        <v>279</v>
      </c>
      <c r="D387" s="6"/>
      <c r="E387" s="7"/>
      <c r="F387" s="22"/>
      <c r="G387" s="23"/>
      <c r="H387" s="23"/>
    </row>
    <row r="388" spans="2:8" x14ac:dyDescent="0.25">
      <c r="B388" s="8" t="s">
        <v>9</v>
      </c>
      <c r="C388" s="24" t="s">
        <v>93</v>
      </c>
      <c r="D388" s="9"/>
      <c r="E388" s="10" t="s">
        <v>9</v>
      </c>
      <c r="F388" s="25"/>
      <c r="G388" s="26"/>
      <c r="H388" s="1" t="b">
        <f>IF(D388="x",H$2,H$1)</f>
        <v>0</v>
      </c>
    </row>
    <row r="389" spans="2:8" x14ac:dyDescent="0.25">
      <c r="B389" s="8" t="s">
        <v>10</v>
      </c>
      <c r="C389" s="24" t="s">
        <v>280</v>
      </c>
      <c r="D389" s="9"/>
      <c r="E389" s="10" t="s">
        <v>10</v>
      </c>
      <c r="F389" s="27" t="str">
        <f>IF(H390=1,IF(H388=H$2,H388,""),"")</f>
        <v/>
      </c>
      <c r="G389" s="26"/>
      <c r="H389" s="1" t="str">
        <f>IF(E477="comprobar",COUNTIF(D388:D392,"x"),"")</f>
        <v/>
      </c>
    </row>
    <row r="390" spans="2:8" x14ac:dyDescent="0.25">
      <c r="B390" s="8" t="s">
        <v>11</v>
      </c>
      <c r="C390" s="24" t="s">
        <v>281</v>
      </c>
      <c r="D390" s="9"/>
      <c r="E390" s="10" t="s">
        <v>11</v>
      </c>
      <c r="F390" s="28" t="str">
        <f>IF(H390=-0.33,IF(H388=H$1,H388,""),"")</f>
        <v/>
      </c>
      <c r="G390" s="26"/>
      <c r="H390" s="29">
        <f>IF(H389=1,IF(H388=H$2,1,-0.33),0)</f>
        <v>0</v>
      </c>
    </row>
    <row r="391" spans="2:8" x14ac:dyDescent="0.25">
      <c r="B391" s="8" t="s">
        <v>12</v>
      </c>
      <c r="C391" s="24" t="s">
        <v>282</v>
      </c>
      <c r="D391" s="9"/>
      <c r="E391" s="10" t="s">
        <v>12</v>
      </c>
      <c r="F391" s="25"/>
      <c r="G391" s="26"/>
      <c r="H391" s="29"/>
    </row>
    <row r="392" spans="2:8" x14ac:dyDescent="0.25">
      <c r="B392" s="11"/>
      <c r="C392" s="12"/>
      <c r="D392" s="9"/>
      <c r="E392" s="10" t="s">
        <v>13</v>
      </c>
      <c r="F392" s="30"/>
      <c r="G392" s="26"/>
      <c r="H392" s="29"/>
    </row>
    <row r="393" spans="2:8" x14ac:dyDescent="0.25">
      <c r="B393" s="5">
        <v>2</v>
      </c>
      <c r="C393" s="21" t="s">
        <v>279</v>
      </c>
      <c r="D393" s="6"/>
      <c r="E393" s="7"/>
      <c r="F393" s="22"/>
      <c r="G393" s="23"/>
      <c r="H393" s="23"/>
    </row>
    <row r="394" spans="2:8" x14ac:dyDescent="0.25">
      <c r="B394" s="8" t="s">
        <v>9</v>
      </c>
      <c r="C394" s="24" t="s">
        <v>283</v>
      </c>
      <c r="D394" s="9"/>
      <c r="E394" s="10" t="s">
        <v>9</v>
      </c>
      <c r="F394" s="25"/>
      <c r="G394" s="26"/>
      <c r="H394" s="1" t="b">
        <f>IF(D396="x",H$2,H$1)</f>
        <v>0</v>
      </c>
    </row>
    <row r="395" spans="2:8" x14ac:dyDescent="0.25">
      <c r="B395" s="8" t="s">
        <v>10</v>
      </c>
      <c r="C395" s="24" t="s">
        <v>284</v>
      </c>
      <c r="D395" s="9"/>
      <c r="E395" s="10" t="s">
        <v>10</v>
      </c>
      <c r="F395" s="27" t="str">
        <f>IF(H396=1,IF(H394=H$2,H394,""),"")</f>
        <v/>
      </c>
      <c r="G395" s="26"/>
      <c r="H395" s="1" t="str">
        <f>IF(E477="comprobar",COUNTIF(D394:D398,"x"),"")</f>
        <v/>
      </c>
    </row>
    <row r="396" spans="2:8" x14ac:dyDescent="0.25">
      <c r="B396" s="8" t="s">
        <v>11</v>
      </c>
      <c r="C396" s="24" t="s">
        <v>46</v>
      </c>
      <c r="D396" s="9"/>
      <c r="E396" s="10" t="s">
        <v>11</v>
      </c>
      <c r="F396" s="28" t="str">
        <f>IF(H396=-0.33,IF(H394=H$1,H394,""),"")</f>
        <v/>
      </c>
      <c r="G396" s="26"/>
      <c r="H396" s="29">
        <f>IF(H395=1,IF(H394=H$2,1,-0.33),0)</f>
        <v>0</v>
      </c>
    </row>
    <row r="397" spans="2:8" x14ac:dyDescent="0.25">
      <c r="B397" s="8" t="s">
        <v>12</v>
      </c>
      <c r="C397" s="24" t="s">
        <v>285</v>
      </c>
      <c r="D397" s="9"/>
      <c r="E397" s="10" t="s">
        <v>12</v>
      </c>
      <c r="F397" s="25"/>
      <c r="G397" s="26"/>
      <c r="H397" s="26"/>
    </row>
    <row r="398" spans="2:8" x14ac:dyDescent="0.25">
      <c r="B398" s="11"/>
      <c r="C398" s="12"/>
      <c r="D398" s="9"/>
      <c r="E398" s="10" t="s">
        <v>13</v>
      </c>
      <c r="F398" s="30"/>
      <c r="G398" s="26"/>
      <c r="H398" s="26"/>
    </row>
    <row r="399" spans="2:8" x14ac:dyDescent="0.25">
      <c r="B399" s="5">
        <v>3</v>
      </c>
      <c r="C399" s="21" t="s">
        <v>286</v>
      </c>
      <c r="D399" s="6"/>
      <c r="E399" s="7"/>
      <c r="F399" s="22"/>
      <c r="G399" s="23"/>
      <c r="H399" s="23"/>
    </row>
    <row r="400" spans="2:8" x14ac:dyDescent="0.25">
      <c r="B400" s="8" t="s">
        <v>9</v>
      </c>
      <c r="C400" s="24" t="s">
        <v>287</v>
      </c>
      <c r="D400" s="9"/>
      <c r="E400" s="10" t="s">
        <v>9</v>
      </c>
      <c r="F400" s="25"/>
      <c r="G400" s="26"/>
      <c r="H400" s="1" t="b">
        <f>IF(D402="x",H$2,H$1)</f>
        <v>0</v>
      </c>
    </row>
    <row r="401" spans="2:8" x14ac:dyDescent="0.25">
      <c r="B401" s="8" t="s">
        <v>10</v>
      </c>
      <c r="C401" s="24" t="s">
        <v>288</v>
      </c>
      <c r="D401" s="9"/>
      <c r="E401" s="10" t="s">
        <v>10</v>
      </c>
      <c r="F401" s="27" t="str">
        <f>IF(H402=1,IF(H400=H$2,H400,""),"")</f>
        <v/>
      </c>
      <c r="G401" s="26"/>
      <c r="H401" s="1" t="str">
        <f>IF(E477="comprobar",COUNTIF(D400:D404,"x"),"")</f>
        <v/>
      </c>
    </row>
    <row r="402" spans="2:8" x14ac:dyDescent="0.25">
      <c r="B402" s="8" t="s">
        <v>11</v>
      </c>
      <c r="C402" s="24" t="s">
        <v>289</v>
      </c>
      <c r="D402" s="9"/>
      <c r="E402" s="10" t="s">
        <v>11</v>
      </c>
      <c r="F402" s="28" t="str">
        <f>IF(H402=-0.33,IF(H400=H$1,H400,""),"")</f>
        <v/>
      </c>
      <c r="G402" s="26"/>
      <c r="H402" s="29">
        <f>IF(H401=1,IF(H400=H$2,1,-0.33),0)</f>
        <v>0</v>
      </c>
    </row>
    <row r="403" spans="2:8" x14ac:dyDescent="0.25">
      <c r="B403" s="8" t="s">
        <v>12</v>
      </c>
      <c r="C403" s="24" t="s">
        <v>290</v>
      </c>
      <c r="D403" s="9"/>
      <c r="E403" s="10" t="s">
        <v>12</v>
      </c>
      <c r="F403" s="25"/>
      <c r="G403" s="26"/>
      <c r="H403" s="29"/>
    </row>
    <row r="404" spans="2:8" x14ac:dyDescent="0.25">
      <c r="B404" s="11"/>
      <c r="C404" s="12"/>
      <c r="D404" s="9"/>
      <c r="E404" s="10" t="s">
        <v>13</v>
      </c>
      <c r="F404" s="30"/>
      <c r="G404" s="26"/>
      <c r="H404" s="29"/>
    </row>
    <row r="405" spans="2:8" x14ac:dyDescent="0.25">
      <c r="B405" s="5">
        <v>4</v>
      </c>
      <c r="C405" s="21" t="s">
        <v>291</v>
      </c>
      <c r="D405" s="6"/>
      <c r="E405" s="7"/>
      <c r="F405" s="22"/>
      <c r="G405" s="23"/>
      <c r="H405" s="23"/>
    </row>
    <row r="406" spans="2:8" x14ac:dyDescent="0.25">
      <c r="B406" s="8" t="s">
        <v>9</v>
      </c>
      <c r="C406" s="24" t="s">
        <v>292</v>
      </c>
      <c r="D406" s="9"/>
      <c r="E406" s="10" t="s">
        <v>9</v>
      </c>
      <c r="F406" s="25"/>
      <c r="G406" s="26"/>
      <c r="H406" s="1" t="b">
        <f>IF(D408="x",H$2,H$1)</f>
        <v>0</v>
      </c>
    </row>
    <row r="407" spans="2:8" x14ac:dyDescent="0.25">
      <c r="B407" s="8" t="s">
        <v>10</v>
      </c>
      <c r="C407" s="24" t="s">
        <v>293</v>
      </c>
      <c r="D407" s="9"/>
      <c r="E407" s="10" t="s">
        <v>10</v>
      </c>
      <c r="F407" s="27" t="str">
        <f>IF(H408=1,IF(H406=H$2,H406,""),"")</f>
        <v/>
      </c>
      <c r="G407" s="26"/>
      <c r="H407" s="1" t="str">
        <f>IF(E477="comprobar",COUNTIF(D406:D410,"x"),"")</f>
        <v/>
      </c>
    </row>
    <row r="408" spans="2:8" x14ac:dyDescent="0.25">
      <c r="B408" s="8" t="s">
        <v>11</v>
      </c>
      <c r="C408" s="24" t="s">
        <v>294</v>
      </c>
      <c r="D408" s="9"/>
      <c r="E408" s="10" t="s">
        <v>11</v>
      </c>
      <c r="F408" s="28" t="str">
        <f>IF(H408=-0.33,IF(H406=H$1,H406,""),"")</f>
        <v/>
      </c>
      <c r="G408" s="26"/>
      <c r="H408" s="29">
        <f>IF(H407=1,IF(H406=H$2,1,-0.33),0)</f>
        <v>0</v>
      </c>
    </row>
    <row r="409" spans="2:8" x14ac:dyDescent="0.25">
      <c r="B409" s="8" t="s">
        <v>12</v>
      </c>
      <c r="C409" s="24" t="s">
        <v>295</v>
      </c>
      <c r="D409" s="9"/>
      <c r="E409" s="10" t="s">
        <v>12</v>
      </c>
      <c r="F409" s="25"/>
      <c r="G409" s="26"/>
      <c r="H409" s="29"/>
    </row>
    <row r="410" spans="2:8" x14ac:dyDescent="0.25">
      <c r="B410" s="11"/>
      <c r="C410" s="12"/>
      <c r="D410" s="9"/>
      <c r="E410" s="10" t="s">
        <v>13</v>
      </c>
      <c r="F410" s="30"/>
      <c r="G410" s="26"/>
      <c r="H410" s="29"/>
    </row>
    <row r="411" spans="2:8" x14ac:dyDescent="0.25">
      <c r="B411" s="5">
        <v>5</v>
      </c>
      <c r="C411" s="21" t="s">
        <v>296</v>
      </c>
      <c r="D411" s="6"/>
      <c r="E411" s="7"/>
      <c r="F411" s="22"/>
      <c r="G411" s="23"/>
      <c r="H411" s="23"/>
    </row>
    <row r="412" spans="2:8" x14ac:dyDescent="0.25">
      <c r="B412" s="8" t="s">
        <v>9</v>
      </c>
      <c r="C412" s="24" t="s">
        <v>297</v>
      </c>
      <c r="D412" s="9"/>
      <c r="E412" s="10" t="s">
        <v>9</v>
      </c>
      <c r="F412" s="25"/>
      <c r="G412" s="26"/>
      <c r="H412" s="1" t="b">
        <f>IF(D415="x",H$2,H$1)</f>
        <v>0</v>
      </c>
    </row>
    <row r="413" spans="2:8" x14ac:dyDescent="0.25">
      <c r="B413" s="8" t="s">
        <v>10</v>
      </c>
      <c r="C413" s="24" t="s">
        <v>298</v>
      </c>
      <c r="D413" s="9"/>
      <c r="E413" s="10" t="s">
        <v>10</v>
      </c>
      <c r="F413" s="27" t="str">
        <f>IF(H414=1,IF(H412=H$2,H412,""),"")</f>
        <v/>
      </c>
      <c r="G413" s="26"/>
      <c r="H413" s="1" t="str">
        <f>IF(E477="comprobar",COUNTIF(D412:D416,"x"),"")</f>
        <v/>
      </c>
    </row>
    <row r="414" spans="2:8" x14ac:dyDescent="0.25">
      <c r="B414" s="8" t="s">
        <v>11</v>
      </c>
      <c r="C414" s="24" t="s">
        <v>299</v>
      </c>
      <c r="D414" s="9"/>
      <c r="E414" s="10" t="s">
        <v>11</v>
      </c>
      <c r="F414" s="28" t="str">
        <f>IF(H414=-0.33,IF(H412=H$1,H412,""),"")</f>
        <v/>
      </c>
      <c r="G414" s="26"/>
      <c r="H414" s="29">
        <f t="shared" ref="H414" si="8">IF(H413=1,IF(H412=H$2,1,-0.33),0)</f>
        <v>0</v>
      </c>
    </row>
    <row r="415" spans="2:8" x14ac:dyDescent="0.25">
      <c r="B415" s="8" t="s">
        <v>12</v>
      </c>
      <c r="C415" s="24" t="s">
        <v>300</v>
      </c>
      <c r="D415" s="9"/>
      <c r="E415" s="10" t="s">
        <v>12</v>
      </c>
      <c r="F415" s="25"/>
      <c r="G415" s="26"/>
      <c r="H415" s="26"/>
    </row>
    <row r="416" spans="2:8" x14ac:dyDescent="0.25">
      <c r="B416" s="11"/>
      <c r="C416" s="12"/>
      <c r="D416" s="9"/>
      <c r="E416" s="10" t="s">
        <v>13</v>
      </c>
      <c r="F416" s="30"/>
      <c r="G416" s="26"/>
      <c r="H416" s="26"/>
    </row>
    <row r="417" spans="2:8" x14ac:dyDescent="0.25">
      <c r="B417" s="5">
        <v>6</v>
      </c>
      <c r="C417" s="21" t="s">
        <v>301</v>
      </c>
      <c r="D417" s="6"/>
      <c r="E417" s="7"/>
      <c r="F417" s="22"/>
      <c r="G417" s="23"/>
      <c r="H417" s="23"/>
    </row>
    <row r="418" spans="2:8" x14ac:dyDescent="0.25">
      <c r="B418" s="8" t="s">
        <v>9</v>
      </c>
      <c r="C418" s="24" t="s">
        <v>302</v>
      </c>
      <c r="D418" s="9"/>
      <c r="E418" s="10" t="s">
        <v>9</v>
      </c>
      <c r="F418" s="25"/>
      <c r="G418" s="26"/>
      <c r="H418" s="1" t="b">
        <f>IF(D418="x",H$2,H$1)</f>
        <v>0</v>
      </c>
    </row>
    <row r="419" spans="2:8" x14ac:dyDescent="0.25">
      <c r="B419" s="8" t="s">
        <v>10</v>
      </c>
      <c r="C419" s="24" t="s">
        <v>303</v>
      </c>
      <c r="D419" s="9"/>
      <c r="E419" s="10" t="s">
        <v>10</v>
      </c>
      <c r="F419" s="27" t="str">
        <f>IF(H420=1,IF(H418=H$2,H418,""),"")</f>
        <v/>
      </c>
      <c r="G419" s="26"/>
      <c r="H419" s="1" t="str">
        <f>IF(E477="comprobar",COUNTIF(D418:D422,"x"),"")</f>
        <v/>
      </c>
    </row>
    <row r="420" spans="2:8" x14ac:dyDescent="0.25">
      <c r="B420" s="8" t="s">
        <v>11</v>
      </c>
      <c r="C420" s="24" t="s">
        <v>46</v>
      </c>
      <c r="D420" s="9"/>
      <c r="E420" s="10" t="s">
        <v>11</v>
      </c>
      <c r="F420" s="28" t="str">
        <f>IF(H420=-0.33,IF(H418=H$1,H418,""),"")</f>
        <v/>
      </c>
      <c r="G420" s="26"/>
      <c r="H420" s="29">
        <f>IF(H419=1,IF(H418=H$2,1,-0.33),0)</f>
        <v>0</v>
      </c>
    </row>
    <row r="421" spans="2:8" x14ac:dyDescent="0.25">
      <c r="B421" s="8" t="s">
        <v>12</v>
      </c>
      <c r="C421" s="24" t="s">
        <v>304</v>
      </c>
      <c r="D421" s="9"/>
      <c r="E421" s="10" t="s">
        <v>12</v>
      </c>
      <c r="F421" s="25"/>
      <c r="G421" s="26"/>
      <c r="H421" s="26"/>
    </row>
    <row r="422" spans="2:8" x14ac:dyDescent="0.25">
      <c r="B422" s="11"/>
      <c r="C422" s="12"/>
      <c r="D422" s="9"/>
      <c r="E422" s="10" t="s">
        <v>13</v>
      </c>
      <c r="F422" s="30"/>
      <c r="G422" s="26"/>
      <c r="H422" s="26"/>
    </row>
    <row r="423" spans="2:8" x14ac:dyDescent="0.25">
      <c r="B423" s="5">
        <v>7</v>
      </c>
      <c r="C423" s="21" t="s">
        <v>305</v>
      </c>
      <c r="D423" s="6"/>
      <c r="E423" s="7"/>
      <c r="F423" s="22"/>
      <c r="G423" s="23"/>
      <c r="H423" s="23"/>
    </row>
    <row r="424" spans="2:8" x14ac:dyDescent="0.25">
      <c r="B424" s="8" t="s">
        <v>9</v>
      </c>
      <c r="C424" s="24" t="s">
        <v>306</v>
      </c>
      <c r="D424" s="9"/>
      <c r="E424" s="10" t="s">
        <v>9</v>
      </c>
      <c r="F424" s="25"/>
      <c r="G424" s="26"/>
      <c r="H424" s="1" t="b">
        <f>IF(D426="x",H$2,H$1)</f>
        <v>0</v>
      </c>
    </row>
    <row r="425" spans="2:8" x14ac:dyDescent="0.25">
      <c r="B425" s="8" t="s">
        <v>10</v>
      </c>
      <c r="C425" s="24" t="s">
        <v>307</v>
      </c>
      <c r="D425" s="9"/>
      <c r="E425" s="10" t="s">
        <v>10</v>
      </c>
      <c r="F425" s="27" t="str">
        <f>IF(H426=1,IF(H424=H$2,H424,""),"")</f>
        <v/>
      </c>
      <c r="G425" s="26"/>
      <c r="H425" s="1" t="str">
        <f>IF(E477="comprobar",COUNTIF(D424:D428,"x"),"")</f>
        <v/>
      </c>
    </row>
    <row r="426" spans="2:8" x14ac:dyDescent="0.25">
      <c r="B426" s="8" t="s">
        <v>11</v>
      </c>
      <c r="C426" s="24" t="s">
        <v>308</v>
      </c>
      <c r="D426" s="9"/>
      <c r="E426" s="10" t="s">
        <v>11</v>
      </c>
      <c r="F426" s="28" t="str">
        <f>IF(H426=-0.33,IF(H424=H$1,H424,""),"")</f>
        <v/>
      </c>
      <c r="G426" s="26"/>
      <c r="H426" s="29">
        <f>IF(H425=1,IF(H424=H$2,1,-0.33),0)</f>
        <v>0</v>
      </c>
    </row>
    <row r="427" spans="2:8" x14ac:dyDescent="0.25">
      <c r="B427" s="8" t="s">
        <v>12</v>
      </c>
      <c r="C427" s="24" t="s">
        <v>309</v>
      </c>
      <c r="D427" s="9"/>
      <c r="E427" s="10" t="s">
        <v>12</v>
      </c>
      <c r="F427" s="25"/>
      <c r="G427" s="26"/>
      <c r="H427" s="29"/>
    </row>
    <row r="428" spans="2:8" x14ac:dyDescent="0.25">
      <c r="B428" s="11"/>
      <c r="C428" s="12"/>
      <c r="D428" s="9"/>
      <c r="E428" s="10" t="s">
        <v>13</v>
      </c>
      <c r="F428" s="30"/>
      <c r="G428" s="26"/>
      <c r="H428" s="29"/>
    </row>
    <row r="429" spans="2:8" x14ac:dyDescent="0.25">
      <c r="B429" s="5">
        <v>8</v>
      </c>
      <c r="C429" s="21" t="s">
        <v>310</v>
      </c>
      <c r="D429" s="6"/>
      <c r="E429" s="7"/>
      <c r="F429" s="22"/>
      <c r="G429" s="23"/>
      <c r="H429" s="23"/>
    </row>
    <row r="430" spans="2:8" x14ac:dyDescent="0.25">
      <c r="B430" s="8" t="s">
        <v>9</v>
      </c>
      <c r="C430" s="24" t="s">
        <v>46</v>
      </c>
      <c r="D430" s="9"/>
      <c r="E430" s="10" t="s">
        <v>9</v>
      </c>
      <c r="F430" s="25"/>
      <c r="G430" s="26"/>
      <c r="H430" s="1" t="b">
        <f>IF(D430="x",H$2,H$1)</f>
        <v>0</v>
      </c>
    </row>
    <row r="431" spans="2:8" x14ac:dyDescent="0.25">
      <c r="B431" s="8" t="s">
        <v>10</v>
      </c>
      <c r="C431" s="24" t="s">
        <v>311</v>
      </c>
      <c r="D431" s="9"/>
      <c r="E431" s="10" t="s">
        <v>10</v>
      </c>
      <c r="F431" s="27" t="str">
        <f>IF(H432=1,IF(H430=H$2,H430,""),"")</f>
        <v/>
      </c>
      <c r="G431" s="26"/>
      <c r="H431" s="1" t="str">
        <f>IF(E477="comprobar",COUNTIF(D430:D434,"x"),"")</f>
        <v/>
      </c>
    </row>
    <row r="432" spans="2:8" x14ac:dyDescent="0.25">
      <c r="B432" s="8" t="s">
        <v>11</v>
      </c>
      <c r="C432" s="24" t="s">
        <v>312</v>
      </c>
      <c r="D432" s="9"/>
      <c r="E432" s="10" t="s">
        <v>11</v>
      </c>
      <c r="F432" s="28" t="str">
        <f>IF(H432=-0.33,IF(H430=H$1,H430,""),"")</f>
        <v/>
      </c>
      <c r="G432" s="26"/>
      <c r="H432" s="29">
        <f>IF(H431=1,IF(H430=H$2,1,-0.33),0)</f>
        <v>0</v>
      </c>
    </row>
    <row r="433" spans="2:8" x14ac:dyDescent="0.25">
      <c r="B433" s="8" t="s">
        <v>12</v>
      </c>
      <c r="C433" s="24" t="s">
        <v>313</v>
      </c>
      <c r="D433" s="9"/>
      <c r="E433" s="10" t="s">
        <v>12</v>
      </c>
      <c r="F433" s="25"/>
      <c r="G433" s="26"/>
      <c r="H433" s="29"/>
    </row>
    <row r="434" spans="2:8" x14ac:dyDescent="0.25">
      <c r="B434" s="11"/>
      <c r="C434" s="12"/>
      <c r="D434" s="9"/>
      <c r="E434" s="10" t="s">
        <v>13</v>
      </c>
      <c r="F434" s="30"/>
      <c r="G434" s="26"/>
      <c r="H434" s="29"/>
    </row>
    <row r="435" spans="2:8" x14ac:dyDescent="0.25">
      <c r="B435" s="5">
        <v>9</v>
      </c>
      <c r="C435" s="21" t="s">
        <v>314</v>
      </c>
      <c r="D435" s="6"/>
      <c r="E435" s="7"/>
      <c r="F435" s="22"/>
      <c r="G435" s="23"/>
      <c r="H435" s="23"/>
    </row>
    <row r="436" spans="2:8" x14ac:dyDescent="0.25">
      <c r="B436" s="8" t="s">
        <v>9</v>
      </c>
      <c r="C436" s="24" t="s">
        <v>315</v>
      </c>
      <c r="D436" s="9"/>
      <c r="E436" s="10" t="s">
        <v>9</v>
      </c>
      <c r="F436" s="25"/>
      <c r="G436" s="26"/>
      <c r="H436" s="1" t="b">
        <f>IF(D437="x",H$2,H$1)</f>
        <v>0</v>
      </c>
    </row>
    <row r="437" spans="2:8" x14ac:dyDescent="0.25">
      <c r="B437" s="8" t="s">
        <v>10</v>
      </c>
      <c r="C437" s="24" t="s">
        <v>316</v>
      </c>
      <c r="D437" s="9"/>
      <c r="E437" s="10" t="s">
        <v>10</v>
      </c>
      <c r="F437" s="27" t="str">
        <f>IF(H438=1,IF(H436=H$2,H436,""),"")</f>
        <v/>
      </c>
      <c r="G437" s="26"/>
      <c r="H437" s="1" t="str">
        <f>IF(E477="comprobar",COUNTIF(D436:D440,"x"),"")</f>
        <v/>
      </c>
    </row>
    <row r="438" spans="2:8" x14ac:dyDescent="0.25">
      <c r="B438" s="8" t="s">
        <v>11</v>
      </c>
      <c r="C438" s="24" t="s">
        <v>317</v>
      </c>
      <c r="D438" s="9"/>
      <c r="E438" s="10" t="s">
        <v>11</v>
      </c>
      <c r="F438" s="28" t="str">
        <f>IF(H438=-0.33,IF(H436=H$1,H436,""),"")</f>
        <v/>
      </c>
      <c r="G438" s="26"/>
      <c r="H438" s="29">
        <f>IF(H437=1,IF(H436=H$2,1,-0.33),0)</f>
        <v>0</v>
      </c>
    </row>
    <row r="439" spans="2:8" x14ac:dyDescent="0.25">
      <c r="B439" s="8" t="s">
        <v>12</v>
      </c>
      <c r="C439" s="24" t="s">
        <v>46</v>
      </c>
      <c r="D439" s="9"/>
      <c r="E439" s="10" t="s">
        <v>12</v>
      </c>
      <c r="F439" s="25"/>
      <c r="G439" s="26"/>
      <c r="H439" s="1"/>
    </row>
    <row r="440" spans="2:8" x14ac:dyDescent="0.25">
      <c r="B440" s="11"/>
      <c r="C440" s="12"/>
      <c r="D440" s="9"/>
      <c r="E440" s="10" t="s">
        <v>13</v>
      </c>
      <c r="F440" s="30"/>
      <c r="G440" s="26"/>
      <c r="H440" s="15"/>
    </row>
    <row r="441" spans="2:8" x14ac:dyDescent="0.25">
      <c r="B441" s="5">
        <v>10</v>
      </c>
      <c r="C441" s="21" t="s">
        <v>318</v>
      </c>
      <c r="D441" s="6"/>
      <c r="E441" s="7"/>
      <c r="F441" s="22"/>
      <c r="G441" s="31"/>
      <c r="H441" s="31"/>
    </row>
    <row r="442" spans="2:8" x14ac:dyDescent="0.25">
      <c r="B442" s="8" t="s">
        <v>9</v>
      </c>
      <c r="C442" s="24" t="s">
        <v>46</v>
      </c>
      <c r="D442" s="9"/>
      <c r="E442" s="10" t="s">
        <v>9</v>
      </c>
      <c r="F442" s="25"/>
      <c r="G442" s="32"/>
      <c r="H442" s="1" t="b">
        <f>IF(D443="x",H$2,H$1)</f>
        <v>0</v>
      </c>
    </row>
    <row r="443" spans="2:8" ht="31.5" x14ac:dyDescent="0.25">
      <c r="B443" s="8" t="s">
        <v>10</v>
      </c>
      <c r="C443" s="24" t="s">
        <v>319</v>
      </c>
      <c r="D443" s="9"/>
      <c r="E443" s="10" t="s">
        <v>10</v>
      </c>
      <c r="F443" s="27" t="str">
        <f>IF(H444=1,IF(H442=H$2,H442,""),"")</f>
        <v/>
      </c>
      <c r="G443" s="32"/>
      <c r="H443" s="1" t="str">
        <f>IF(E477="comprobar",COUNTIF(D442:D446,"x"),"")</f>
        <v/>
      </c>
    </row>
    <row r="444" spans="2:8" x14ac:dyDescent="0.25">
      <c r="B444" s="8" t="s">
        <v>11</v>
      </c>
      <c r="C444" s="24" t="s">
        <v>320</v>
      </c>
      <c r="D444" s="9"/>
      <c r="E444" s="10" t="s">
        <v>11</v>
      </c>
      <c r="F444" s="28" t="str">
        <f>IF(H444=-0.33,IF(H442=H$1,H442,""),"")</f>
        <v/>
      </c>
      <c r="G444" s="32"/>
      <c r="H444" s="29">
        <f>IF(H443=1,IF(H442=H$2,1,-0.33),0)</f>
        <v>0</v>
      </c>
    </row>
    <row r="445" spans="2:8" x14ac:dyDescent="0.25">
      <c r="B445" s="8" t="s">
        <v>12</v>
      </c>
      <c r="C445" s="24" t="s">
        <v>321</v>
      </c>
      <c r="D445" s="9"/>
      <c r="E445" s="10" t="s">
        <v>12</v>
      </c>
      <c r="F445" s="25"/>
      <c r="G445" s="32"/>
      <c r="H445" s="29"/>
    </row>
    <row r="446" spans="2:8" x14ac:dyDescent="0.25">
      <c r="B446" s="11"/>
      <c r="C446" s="12"/>
      <c r="D446" s="9"/>
      <c r="E446" s="10" t="s">
        <v>13</v>
      </c>
      <c r="F446" s="30"/>
      <c r="G446" s="32"/>
      <c r="H446" s="29"/>
    </row>
    <row r="447" spans="2:8" x14ac:dyDescent="0.25">
      <c r="B447" s="5">
        <v>11</v>
      </c>
      <c r="C447" s="21" t="s">
        <v>322</v>
      </c>
      <c r="D447" s="6"/>
      <c r="E447" s="7"/>
      <c r="F447" s="22"/>
      <c r="G447" s="31"/>
      <c r="H447" s="31"/>
    </row>
    <row r="448" spans="2:8" x14ac:dyDescent="0.25">
      <c r="B448" s="8" t="s">
        <v>9</v>
      </c>
      <c r="C448" s="24" t="s">
        <v>46</v>
      </c>
      <c r="D448" s="9"/>
      <c r="E448" s="10" t="s">
        <v>9</v>
      </c>
      <c r="F448" s="25"/>
      <c r="G448" s="32"/>
      <c r="H448" s="1" t="b">
        <f>IF(D450="x",H$2,H$1)</f>
        <v>0</v>
      </c>
    </row>
    <row r="449" spans="2:8" ht="31.5" x14ac:dyDescent="0.25">
      <c r="B449" s="8" t="s">
        <v>10</v>
      </c>
      <c r="C449" s="24" t="s">
        <v>323</v>
      </c>
      <c r="D449" s="9"/>
      <c r="E449" s="10" t="s">
        <v>10</v>
      </c>
      <c r="F449" s="27" t="str">
        <f>IF(H450=1,IF(H448=H$2,H448,""),"")</f>
        <v/>
      </c>
      <c r="G449" s="32"/>
      <c r="H449" s="1" t="str">
        <f>IF(E477="comprobar",COUNTIF(D448:D452,"x"),"")</f>
        <v/>
      </c>
    </row>
    <row r="450" spans="2:8" x14ac:dyDescent="0.25">
      <c r="B450" s="8" t="s">
        <v>11</v>
      </c>
      <c r="C450" s="24" t="s">
        <v>324</v>
      </c>
      <c r="D450" s="9"/>
      <c r="E450" s="10" t="s">
        <v>11</v>
      </c>
      <c r="F450" s="28" t="str">
        <f>IF(H450=-0.33,IF(H448=H$1,H448,""),"")</f>
        <v/>
      </c>
      <c r="G450" s="32"/>
      <c r="H450" s="29">
        <f>IF(H449=1,IF(H448=H$2,1,-0.33),0)</f>
        <v>0</v>
      </c>
    </row>
    <row r="451" spans="2:8" x14ac:dyDescent="0.25">
      <c r="B451" s="8" t="s">
        <v>12</v>
      </c>
      <c r="C451" s="24" t="s">
        <v>325</v>
      </c>
      <c r="D451" s="9"/>
      <c r="E451" s="10" t="s">
        <v>12</v>
      </c>
      <c r="F451" s="25"/>
      <c r="G451" s="32"/>
      <c r="H451" s="29"/>
    </row>
    <row r="452" spans="2:8" x14ac:dyDescent="0.25">
      <c r="B452" s="11"/>
      <c r="C452" s="12"/>
      <c r="D452" s="9"/>
      <c r="E452" s="10"/>
      <c r="F452" s="25"/>
      <c r="G452" s="32"/>
      <c r="H452" s="29"/>
    </row>
    <row r="453" spans="2:8" x14ac:dyDescent="0.25">
      <c r="B453" s="5">
        <v>12</v>
      </c>
      <c r="C453" s="21" t="s">
        <v>326</v>
      </c>
      <c r="D453" s="6"/>
      <c r="E453" s="7"/>
      <c r="F453" s="22"/>
      <c r="G453" s="23"/>
      <c r="H453" s="23"/>
    </row>
    <row r="454" spans="2:8" x14ac:dyDescent="0.25">
      <c r="B454" s="8" t="s">
        <v>9</v>
      </c>
      <c r="C454" s="24" t="s">
        <v>327</v>
      </c>
      <c r="D454" s="9"/>
      <c r="E454" s="10" t="s">
        <v>9</v>
      </c>
      <c r="F454" s="25"/>
      <c r="G454" s="26"/>
      <c r="H454" s="1" t="b">
        <f>IF(D455="x",H$2,H$1)</f>
        <v>0</v>
      </c>
    </row>
    <row r="455" spans="2:8" ht="31.5" x14ac:dyDescent="0.25">
      <c r="B455" s="8" t="s">
        <v>10</v>
      </c>
      <c r="C455" s="24" t="s">
        <v>328</v>
      </c>
      <c r="D455" s="9"/>
      <c r="E455" s="10" t="s">
        <v>10</v>
      </c>
      <c r="F455" s="27" t="str">
        <f>IF(H456=1,IF(H454=H$2,H454,""),"")</f>
        <v/>
      </c>
      <c r="G455" s="26"/>
      <c r="H455" s="1" t="str">
        <f>IF(E477="comprobar",COUNTIF(D454:D458,"x"),"")</f>
        <v/>
      </c>
    </row>
    <row r="456" spans="2:8" x14ac:dyDescent="0.25">
      <c r="B456" s="8" t="s">
        <v>11</v>
      </c>
      <c r="C456" s="24" t="s">
        <v>46</v>
      </c>
      <c r="D456" s="9"/>
      <c r="E456" s="10" t="s">
        <v>11</v>
      </c>
      <c r="F456" s="28" t="str">
        <f>IF(H456=-0.33,IF(H454=H$1,H454,""),"")</f>
        <v/>
      </c>
      <c r="G456" s="26"/>
      <c r="H456" s="29">
        <f>IF(H455=1,IF(H454=H$2,1,-0.33),0)</f>
        <v>0</v>
      </c>
    </row>
    <row r="457" spans="2:8" ht="31.5" x14ac:dyDescent="0.25">
      <c r="B457" s="8" t="s">
        <v>12</v>
      </c>
      <c r="C457" s="24" t="s">
        <v>329</v>
      </c>
      <c r="D457" s="9"/>
      <c r="E457" s="10" t="s">
        <v>12</v>
      </c>
      <c r="F457" s="25"/>
      <c r="G457" s="26"/>
      <c r="H457" s="29"/>
    </row>
    <row r="458" spans="2:8" x14ac:dyDescent="0.25">
      <c r="B458" s="11"/>
      <c r="C458" s="12"/>
      <c r="D458" s="9"/>
      <c r="E458" s="10" t="s">
        <v>13</v>
      </c>
      <c r="F458" s="30"/>
      <c r="G458" s="26"/>
      <c r="H458" s="29"/>
    </row>
    <row r="459" spans="2:8" x14ac:dyDescent="0.25">
      <c r="B459" s="5">
        <v>13</v>
      </c>
      <c r="C459" s="21" t="s">
        <v>330</v>
      </c>
      <c r="D459" s="6"/>
      <c r="E459" s="7"/>
      <c r="F459" s="22"/>
      <c r="G459" s="23"/>
      <c r="H459" s="23"/>
    </row>
    <row r="460" spans="2:8" x14ac:dyDescent="0.25">
      <c r="B460" s="8" t="s">
        <v>9</v>
      </c>
      <c r="C460" s="24" t="s">
        <v>331</v>
      </c>
      <c r="D460" s="9"/>
      <c r="E460" s="10" t="s">
        <v>9</v>
      </c>
      <c r="F460" s="25"/>
      <c r="G460" s="26"/>
      <c r="H460" s="1" t="b">
        <f>IF(D463="x",H$2,H$1)</f>
        <v>0</v>
      </c>
    </row>
    <row r="461" spans="2:8" x14ac:dyDescent="0.25">
      <c r="B461" s="8" t="s">
        <v>10</v>
      </c>
      <c r="C461" s="24" t="s">
        <v>332</v>
      </c>
      <c r="D461" s="9"/>
      <c r="E461" s="10" t="s">
        <v>10</v>
      </c>
      <c r="F461" s="27" t="str">
        <f>IF(H462=1,IF(H460=H$2,H460,""),"")</f>
        <v/>
      </c>
      <c r="G461" s="26"/>
      <c r="H461" s="1" t="str">
        <f>IF(E477="comprobar",COUNTIF(D460:D464,"x"),"")</f>
        <v/>
      </c>
    </row>
    <row r="462" spans="2:8" x14ac:dyDescent="0.25">
      <c r="B462" s="8" t="s">
        <v>11</v>
      </c>
      <c r="C462" s="24" t="s">
        <v>246</v>
      </c>
      <c r="D462" s="9"/>
      <c r="E462" s="10" t="s">
        <v>11</v>
      </c>
      <c r="F462" s="28" t="str">
        <f>IF(H462=-0.33,IF(H460=H$1,H460,""),"")</f>
        <v/>
      </c>
      <c r="G462" s="26"/>
      <c r="H462" s="29">
        <f t="shared" ref="H462" si="9">IF(H461=1,IF(H460=H$2,1,-0.33),0)</f>
        <v>0</v>
      </c>
    </row>
    <row r="463" spans="2:8" x14ac:dyDescent="0.25">
      <c r="B463" s="8" t="s">
        <v>12</v>
      </c>
      <c r="C463" s="24" t="s">
        <v>333</v>
      </c>
      <c r="D463" s="9"/>
      <c r="E463" s="10" t="s">
        <v>12</v>
      </c>
      <c r="F463" s="25"/>
      <c r="G463" s="26"/>
      <c r="H463" s="26"/>
    </row>
    <row r="464" spans="2:8" x14ac:dyDescent="0.25">
      <c r="B464" s="11"/>
      <c r="C464" s="12"/>
      <c r="D464" s="9"/>
      <c r="E464" s="10" t="s">
        <v>13</v>
      </c>
      <c r="F464" s="30"/>
      <c r="G464" s="26"/>
      <c r="H464" s="26"/>
    </row>
    <row r="465" spans="2:8" x14ac:dyDescent="0.25">
      <c r="B465" s="5">
        <v>14</v>
      </c>
      <c r="C465" s="21" t="s">
        <v>334</v>
      </c>
      <c r="D465" s="6"/>
      <c r="E465" s="7"/>
      <c r="F465" s="22"/>
      <c r="G465" s="23"/>
      <c r="H465" s="23"/>
    </row>
    <row r="466" spans="2:8" x14ac:dyDescent="0.25">
      <c r="B466" s="8" t="s">
        <v>9</v>
      </c>
      <c r="C466" s="24" t="s">
        <v>335</v>
      </c>
      <c r="D466" s="9"/>
      <c r="E466" s="10" t="s">
        <v>9</v>
      </c>
      <c r="F466" s="25"/>
      <c r="G466" s="26"/>
      <c r="H466" s="1" t="b">
        <f>IF(D468="x",H$2,H$1)</f>
        <v>0</v>
      </c>
    </row>
    <row r="467" spans="2:8" x14ac:dyDescent="0.25">
      <c r="B467" s="8" t="s">
        <v>10</v>
      </c>
      <c r="C467" s="24" t="s">
        <v>336</v>
      </c>
      <c r="D467" s="9"/>
      <c r="E467" s="10" t="s">
        <v>10</v>
      </c>
      <c r="F467" s="27" t="str">
        <f>IF(H468=1,IF(H466=H$2,H466,""),"")</f>
        <v/>
      </c>
      <c r="G467" s="26"/>
      <c r="H467" s="1" t="str">
        <f>IF(E477="comprobar",COUNTIF(D466:D470,"x"),"")</f>
        <v/>
      </c>
    </row>
    <row r="468" spans="2:8" x14ac:dyDescent="0.25">
      <c r="B468" s="8" t="s">
        <v>11</v>
      </c>
      <c r="C468" s="24" t="s">
        <v>337</v>
      </c>
      <c r="D468" s="9"/>
      <c r="E468" s="10" t="s">
        <v>11</v>
      </c>
      <c r="F468" s="28" t="str">
        <f>IF(H468=-0.33,IF(H466=H$1,H466,""),"")</f>
        <v/>
      </c>
      <c r="G468" s="26"/>
      <c r="H468" s="29">
        <f>IF(H467=1,IF(H466=H$2,1,-0.33),0)</f>
        <v>0</v>
      </c>
    </row>
    <row r="469" spans="2:8" x14ac:dyDescent="0.25">
      <c r="B469" s="8" t="s">
        <v>12</v>
      </c>
      <c r="C469" s="24" t="s">
        <v>338</v>
      </c>
      <c r="D469" s="9"/>
      <c r="E469" s="10" t="s">
        <v>12</v>
      </c>
      <c r="F469" s="25"/>
      <c r="G469" s="26"/>
      <c r="H469" s="26"/>
    </row>
    <row r="470" spans="2:8" x14ac:dyDescent="0.25">
      <c r="B470" s="11"/>
      <c r="C470" s="12"/>
      <c r="D470" s="9"/>
      <c r="E470" s="10" t="s">
        <v>13</v>
      </c>
      <c r="F470" s="30"/>
      <c r="G470" s="26"/>
      <c r="H470" s="26"/>
    </row>
    <row r="471" spans="2:8" x14ac:dyDescent="0.25">
      <c r="B471" s="5">
        <v>15</v>
      </c>
      <c r="C471" s="21" t="s">
        <v>326</v>
      </c>
      <c r="D471" s="6"/>
      <c r="E471" s="7"/>
      <c r="F471" s="22"/>
      <c r="G471" s="23"/>
      <c r="H471" s="23"/>
    </row>
    <row r="472" spans="2:8" x14ac:dyDescent="0.25">
      <c r="B472" s="8" t="s">
        <v>9</v>
      </c>
      <c r="C472" s="24" t="s">
        <v>339</v>
      </c>
      <c r="D472" s="9"/>
      <c r="E472" s="10" t="s">
        <v>9</v>
      </c>
      <c r="F472" s="25"/>
      <c r="G472" s="26"/>
      <c r="H472" s="1" t="b">
        <f>IF(D475="x",H$2,H$1)</f>
        <v>0</v>
      </c>
    </row>
    <row r="473" spans="2:8" x14ac:dyDescent="0.25">
      <c r="B473" s="8" t="s">
        <v>10</v>
      </c>
      <c r="C473" s="24" t="s">
        <v>46</v>
      </c>
      <c r="D473" s="9"/>
      <c r="E473" s="10" t="s">
        <v>10</v>
      </c>
      <c r="F473" s="27" t="str">
        <f>IF(H474=1,IF(H472=H$2,H472,""),"")</f>
        <v/>
      </c>
      <c r="G473" s="26"/>
      <c r="H473" s="1" t="str">
        <f>IF(E477="comprobar",COUNTIF(D472:D476,"x"),"")</f>
        <v/>
      </c>
    </row>
    <row r="474" spans="2:8" x14ac:dyDescent="0.25">
      <c r="B474" s="8" t="s">
        <v>11</v>
      </c>
      <c r="C474" s="24" t="s">
        <v>340</v>
      </c>
      <c r="D474" s="9"/>
      <c r="E474" s="10" t="s">
        <v>11</v>
      </c>
      <c r="F474" s="28" t="str">
        <f>IF(H474=-0.33,IF(H472=H$1,H472,""),"")</f>
        <v/>
      </c>
      <c r="G474" s="26"/>
      <c r="H474" s="29">
        <f>IF(H473=1,IF(H472=H$2,1,-0.33),0)</f>
        <v>0</v>
      </c>
    </row>
    <row r="475" spans="2:8" s="45" customFormat="1" ht="31.5" x14ac:dyDescent="0.25">
      <c r="B475" s="8" t="s">
        <v>12</v>
      </c>
      <c r="C475" s="24" t="s">
        <v>341</v>
      </c>
      <c r="D475" s="9"/>
      <c r="E475" s="10" t="s">
        <v>12</v>
      </c>
      <c r="F475" s="25"/>
      <c r="G475" s="10"/>
      <c r="H475" s="1"/>
    </row>
    <row r="476" spans="2:8" x14ac:dyDescent="0.25">
      <c r="B476" s="11"/>
      <c r="C476" s="12"/>
      <c r="D476" s="9"/>
      <c r="E476" s="10" t="s">
        <v>13</v>
      </c>
      <c r="F476" s="30"/>
      <c r="G476" s="26"/>
      <c r="H476" s="29"/>
    </row>
    <row r="477" spans="2:8" x14ac:dyDescent="0.25">
      <c r="B477" s="33"/>
      <c r="C477" s="4"/>
      <c r="D477" s="34"/>
      <c r="E477" s="35"/>
      <c r="F477" s="30"/>
      <c r="G477" s="26"/>
      <c r="H477" s="26"/>
    </row>
    <row r="478" spans="2:8" x14ac:dyDescent="0.25">
      <c r="B478" s="33"/>
      <c r="C478" s="4"/>
      <c r="D478" s="34"/>
      <c r="E478" s="36"/>
      <c r="F478" s="37" t="s">
        <v>8</v>
      </c>
      <c r="G478" s="26" t="s">
        <v>6</v>
      </c>
      <c r="H478" s="26" t="s">
        <v>7</v>
      </c>
    </row>
    <row r="479" spans="2:8" ht="19.5" x14ac:dyDescent="0.25">
      <c r="B479" s="33"/>
      <c r="C479" s="38"/>
      <c r="D479" s="51"/>
      <c r="E479" s="51"/>
      <c r="F479" s="39" t="str">
        <f>IF(E477="comprobar",H444+H438+H432+H426+H420+H414+H408+H402+H396+H390+H450+H456+H462+H468+H474,"")</f>
        <v/>
      </c>
      <c r="G479" s="26">
        <f>10/2</f>
        <v>5</v>
      </c>
      <c r="H479" s="26"/>
    </row>
    <row r="480" spans="2:8" ht="16.5" thickBot="1" x14ac:dyDescent="0.3">
      <c r="B480" s="40"/>
      <c r="C480" s="41"/>
      <c r="D480" s="42"/>
      <c r="E480" s="43"/>
      <c r="F480" s="44" t="str">
        <f>IF(F479&gt;G479,G478,H478)</f>
        <v>APROBADO</v>
      </c>
      <c r="G480" s="26"/>
      <c r="H480" s="26"/>
    </row>
    <row r="481" spans="2:8" ht="28.5" x14ac:dyDescent="0.45">
      <c r="B481" s="19" t="s">
        <v>81</v>
      </c>
      <c r="C481" s="49" t="s">
        <v>86</v>
      </c>
      <c r="D481" s="49"/>
      <c r="E481" s="49"/>
      <c r="F481" s="50"/>
      <c r="G481" s="20"/>
      <c r="H481" s="20"/>
    </row>
    <row r="482" spans="2:8" x14ac:dyDescent="0.25">
      <c r="B482" s="5">
        <v>1</v>
      </c>
      <c r="C482" s="21" t="s">
        <v>342</v>
      </c>
      <c r="D482" s="6"/>
      <c r="E482" s="7"/>
      <c r="F482" s="22"/>
      <c r="G482" s="23"/>
      <c r="H482" s="23"/>
    </row>
    <row r="483" spans="2:8" x14ac:dyDescent="0.25">
      <c r="B483" s="8" t="s">
        <v>9</v>
      </c>
      <c r="C483" s="24" t="s">
        <v>343</v>
      </c>
      <c r="D483" s="9"/>
      <c r="E483" s="10" t="s">
        <v>9</v>
      </c>
      <c r="F483" s="25"/>
      <c r="G483" s="26"/>
      <c r="H483" s="1" t="b">
        <f>IF(D486="x",H$2,H$1)</f>
        <v>0</v>
      </c>
    </row>
    <row r="484" spans="2:8" x14ac:dyDescent="0.25">
      <c r="B484" s="8" t="s">
        <v>10</v>
      </c>
      <c r="C484" s="24" t="s">
        <v>344</v>
      </c>
      <c r="D484" s="9"/>
      <c r="E484" s="10" t="s">
        <v>10</v>
      </c>
      <c r="F484" s="27" t="str">
        <f>IF(H485=1,IF(H483=H$2,H483,""),"")</f>
        <v/>
      </c>
      <c r="G484" s="26"/>
      <c r="H484" s="1" t="str">
        <f>IF(E572="comprobar",COUNTIF(D483:D487,"x"),"")</f>
        <v/>
      </c>
    </row>
    <row r="485" spans="2:8" x14ac:dyDescent="0.25">
      <c r="B485" s="8" t="s">
        <v>11</v>
      </c>
      <c r="C485" s="24" t="s">
        <v>345</v>
      </c>
      <c r="D485" s="9"/>
      <c r="E485" s="10" t="s">
        <v>11</v>
      </c>
      <c r="F485" s="28" t="str">
        <f>IF(H485=-0.33,IF(H483=H$1,H483,""),"")</f>
        <v/>
      </c>
      <c r="G485" s="26"/>
      <c r="H485" s="29">
        <f>IF(H484=1,IF(H483=H$2,1,-0.33),0)</f>
        <v>0</v>
      </c>
    </row>
    <row r="486" spans="2:8" x14ac:dyDescent="0.25">
      <c r="B486" s="8" t="s">
        <v>12</v>
      </c>
      <c r="C486" s="24" t="s">
        <v>32</v>
      </c>
      <c r="D486" s="9"/>
      <c r="E486" s="10" t="s">
        <v>12</v>
      </c>
      <c r="F486" s="25"/>
      <c r="G486" s="26"/>
      <c r="H486" s="29"/>
    </row>
    <row r="487" spans="2:8" x14ac:dyDescent="0.25">
      <c r="B487" s="11"/>
      <c r="C487" s="12"/>
      <c r="D487" s="9"/>
      <c r="E487" s="10" t="s">
        <v>13</v>
      </c>
      <c r="F487" s="30"/>
      <c r="G487" s="26"/>
      <c r="H487" s="29"/>
    </row>
    <row r="488" spans="2:8" x14ac:dyDescent="0.25">
      <c r="B488" s="5">
        <v>2</v>
      </c>
      <c r="C488" s="21" t="s">
        <v>279</v>
      </c>
      <c r="D488" s="6"/>
      <c r="E488" s="7"/>
      <c r="F488" s="22"/>
      <c r="G488" s="23"/>
      <c r="H488" s="23"/>
    </row>
    <row r="489" spans="2:8" x14ac:dyDescent="0.25">
      <c r="B489" s="8" t="s">
        <v>9</v>
      </c>
      <c r="C489" s="24" t="s">
        <v>346</v>
      </c>
      <c r="D489" s="9"/>
      <c r="E489" s="10" t="s">
        <v>9</v>
      </c>
      <c r="F489" s="25"/>
      <c r="G489" s="26"/>
      <c r="H489" s="1" t="b">
        <f>IF(D492="x",H$2,H$1)</f>
        <v>0</v>
      </c>
    </row>
    <row r="490" spans="2:8" ht="31.5" x14ac:dyDescent="0.25">
      <c r="B490" s="8" t="s">
        <v>10</v>
      </c>
      <c r="C490" s="24" t="s">
        <v>347</v>
      </c>
      <c r="D490" s="9"/>
      <c r="E490" s="10" t="s">
        <v>10</v>
      </c>
      <c r="F490" s="27" t="str">
        <f>IF(H491=1,IF(H489=H$2,H489,""),"")</f>
        <v/>
      </c>
      <c r="G490" s="26"/>
      <c r="H490" s="1" t="str">
        <f>IF(E572="comprobar",COUNTIF(D489:D493,"x"),"")</f>
        <v/>
      </c>
    </row>
    <row r="491" spans="2:8" x14ac:dyDescent="0.25">
      <c r="B491" s="8" t="s">
        <v>11</v>
      </c>
      <c r="C491" s="24" t="s">
        <v>348</v>
      </c>
      <c r="D491" s="9"/>
      <c r="E491" s="10" t="s">
        <v>11</v>
      </c>
      <c r="F491" s="28" t="str">
        <f>IF(H491=-0.33,IF(H489=H$1,H489,""),"")</f>
        <v/>
      </c>
      <c r="G491" s="26"/>
      <c r="H491" s="29">
        <f>IF(H490=1,IF(H489=H$2,1,-0.33),0)</f>
        <v>0</v>
      </c>
    </row>
    <row r="492" spans="2:8" x14ac:dyDescent="0.25">
      <c r="B492" s="8" t="s">
        <v>12</v>
      </c>
      <c r="C492" s="24" t="s">
        <v>32</v>
      </c>
      <c r="D492" s="9"/>
      <c r="E492" s="10" t="s">
        <v>12</v>
      </c>
      <c r="F492" s="25"/>
      <c r="G492" s="26"/>
      <c r="H492" s="26"/>
    </row>
    <row r="493" spans="2:8" x14ac:dyDescent="0.25">
      <c r="B493" s="11"/>
      <c r="C493" s="12"/>
      <c r="D493" s="9"/>
      <c r="E493" s="10" t="s">
        <v>13</v>
      </c>
      <c r="F493" s="30"/>
      <c r="G493" s="26"/>
      <c r="H493" s="26"/>
    </row>
    <row r="494" spans="2:8" x14ac:dyDescent="0.25">
      <c r="B494" s="5">
        <v>3</v>
      </c>
      <c r="C494" s="21" t="s">
        <v>349</v>
      </c>
      <c r="D494" s="6"/>
      <c r="E494" s="7"/>
      <c r="F494" s="22"/>
      <c r="G494" s="23"/>
      <c r="H494" s="23"/>
    </row>
    <row r="495" spans="2:8" ht="31.5" x14ac:dyDescent="0.25">
      <c r="B495" s="8" t="s">
        <v>9</v>
      </c>
      <c r="C495" s="24" t="s">
        <v>350</v>
      </c>
      <c r="D495" s="9"/>
      <c r="E495" s="10" t="s">
        <v>9</v>
      </c>
      <c r="F495" s="25"/>
      <c r="G495" s="26"/>
      <c r="H495" s="1" t="b">
        <f>IF(D495="x",H$2,H$1)</f>
        <v>0</v>
      </c>
    </row>
    <row r="496" spans="2:8" x14ac:dyDescent="0.25">
      <c r="B496" s="8" t="s">
        <v>10</v>
      </c>
      <c r="C496" s="24" t="s">
        <v>351</v>
      </c>
      <c r="D496" s="9"/>
      <c r="E496" s="10" t="s">
        <v>10</v>
      </c>
      <c r="F496" s="27" t="str">
        <f>IF(H497=1,IF(H495=H$2,H495,""),"")</f>
        <v/>
      </c>
      <c r="G496" s="26"/>
      <c r="H496" s="1" t="str">
        <f>IF(E572="comprobar",COUNTIF(D495:D499,"x"),"")</f>
        <v/>
      </c>
    </row>
    <row r="497" spans="2:8" ht="31.5" x14ac:dyDescent="0.25">
      <c r="B497" s="8" t="s">
        <v>11</v>
      </c>
      <c r="C497" s="24" t="s">
        <v>352</v>
      </c>
      <c r="D497" s="9"/>
      <c r="E497" s="10" t="s">
        <v>11</v>
      </c>
      <c r="F497" s="28" t="str">
        <f>IF(H497=-0.33,IF(H495=H$1,H495,""),"")</f>
        <v/>
      </c>
      <c r="G497" s="26"/>
      <c r="H497" s="29">
        <f>IF(H496=1,IF(H495=H$2,1,-0.33),0)</f>
        <v>0</v>
      </c>
    </row>
    <row r="498" spans="2:8" x14ac:dyDescent="0.25">
      <c r="B498" s="8" t="s">
        <v>12</v>
      </c>
      <c r="C498" s="24" t="s">
        <v>32</v>
      </c>
      <c r="D498" s="9"/>
      <c r="E498" s="10" t="s">
        <v>12</v>
      </c>
      <c r="F498" s="25"/>
      <c r="G498" s="26"/>
      <c r="H498" s="29"/>
    </row>
    <row r="499" spans="2:8" x14ac:dyDescent="0.25">
      <c r="B499" s="11"/>
      <c r="C499" s="12"/>
      <c r="D499" s="9"/>
      <c r="E499" s="10" t="s">
        <v>13</v>
      </c>
      <c r="F499" s="30"/>
      <c r="G499" s="26"/>
      <c r="H499" s="29"/>
    </row>
    <row r="500" spans="2:8" x14ac:dyDescent="0.25">
      <c r="B500" s="5">
        <v>4</v>
      </c>
      <c r="C500" s="21" t="s">
        <v>353</v>
      </c>
      <c r="D500" s="6"/>
      <c r="E500" s="7"/>
      <c r="F500" s="22"/>
      <c r="G500" s="23"/>
      <c r="H500" s="23"/>
    </row>
    <row r="501" spans="2:8" x14ac:dyDescent="0.25">
      <c r="B501" s="8" t="s">
        <v>9</v>
      </c>
      <c r="C501" s="24" t="s">
        <v>354</v>
      </c>
      <c r="D501" s="9"/>
      <c r="E501" s="10" t="s">
        <v>9</v>
      </c>
      <c r="F501" s="25"/>
      <c r="G501" s="26"/>
      <c r="H501" s="1" t="b">
        <f>IF(D504="x",H$2,H$1)</f>
        <v>0</v>
      </c>
    </row>
    <row r="502" spans="2:8" x14ac:dyDescent="0.25">
      <c r="B502" s="8" t="s">
        <v>10</v>
      </c>
      <c r="C502" s="24" t="s">
        <v>355</v>
      </c>
      <c r="D502" s="9"/>
      <c r="E502" s="10" t="s">
        <v>10</v>
      </c>
      <c r="F502" s="27" t="str">
        <f>IF(H503=1,IF(H501=H$2,H501,""),"")</f>
        <v/>
      </c>
      <c r="G502" s="26"/>
      <c r="H502" s="1" t="str">
        <f>IF(E572="comprobar",COUNTIF(D501:D505,"x"),"")</f>
        <v/>
      </c>
    </row>
    <row r="503" spans="2:8" x14ac:dyDescent="0.25">
      <c r="B503" s="8" t="s">
        <v>11</v>
      </c>
      <c r="C503" s="24" t="s">
        <v>356</v>
      </c>
      <c r="D503" s="9"/>
      <c r="E503" s="10" t="s">
        <v>11</v>
      </c>
      <c r="F503" s="28" t="str">
        <f>IF(H503=-0.33,IF(H501=H$1,H501,""),"")</f>
        <v/>
      </c>
      <c r="G503" s="26"/>
      <c r="H503" s="29">
        <f>IF(H502=1,IF(H501=H$2,1,-0.33),0)</f>
        <v>0</v>
      </c>
    </row>
    <row r="504" spans="2:8" x14ac:dyDescent="0.25">
      <c r="B504" s="8" t="s">
        <v>12</v>
      </c>
      <c r="C504" s="24" t="s">
        <v>32</v>
      </c>
      <c r="D504" s="9"/>
      <c r="E504" s="10" t="s">
        <v>12</v>
      </c>
      <c r="F504" s="25"/>
      <c r="G504" s="26"/>
      <c r="H504" s="29"/>
    </row>
    <row r="505" spans="2:8" x14ac:dyDescent="0.25">
      <c r="B505" s="11"/>
      <c r="C505" s="12"/>
      <c r="D505" s="9"/>
      <c r="E505" s="10" t="s">
        <v>13</v>
      </c>
      <c r="F505" s="30"/>
      <c r="G505" s="26"/>
      <c r="H505" s="29"/>
    </row>
    <row r="506" spans="2:8" x14ac:dyDescent="0.25">
      <c r="B506" s="5">
        <v>5</v>
      </c>
      <c r="C506" s="21" t="s">
        <v>357</v>
      </c>
      <c r="D506" s="6"/>
      <c r="E506" s="7"/>
      <c r="F506" s="22"/>
      <c r="G506" s="23"/>
      <c r="H506" s="23"/>
    </row>
    <row r="507" spans="2:8" ht="31.5" x14ac:dyDescent="0.25">
      <c r="B507" s="8" t="s">
        <v>9</v>
      </c>
      <c r="C507" s="24" t="s">
        <v>358</v>
      </c>
      <c r="D507" s="9"/>
      <c r="E507" s="10" t="s">
        <v>9</v>
      </c>
      <c r="F507" s="25"/>
      <c r="G507" s="26"/>
      <c r="H507" s="1" t="b">
        <f>IF(D510="x",H$2,H$1)</f>
        <v>0</v>
      </c>
    </row>
    <row r="508" spans="2:8" ht="31.5" x14ac:dyDescent="0.25">
      <c r="B508" s="8" t="s">
        <v>10</v>
      </c>
      <c r="C508" s="24" t="s">
        <v>359</v>
      </c>
      <c r="D508" s="9"/>
      <c r="E508" s="10" t="s">
        <v>10</v>
      </c>
      <c r="F508" s="27" t="str">
        <f>IF(H509=1,IF(H507=H$2,H507,""),"")</f>
        <v/>
      </c>
      <c r="G508" s="26"/>
      <c r="H508" s="1" t="str">
        <f>IF(E572="comprobar",COUNTIF(D507:D511,"x"),"")</f>
        <v/>
      </c>
    </row>
    <row r="509" spans="2:8" ht="31.5" x14ac:dyDescent="0.25">
      <c r="B509" s="8" t="s">
        <v>11</v>
      </c>
      <c r="C509" s="24" t="s">
        <v>360</v>
      </c>
      <c r="D509" s="9"/>
      <c r="E509" s="10" t="s">
        <v>11</v>
      </c>
      <c r="F509" s="28" t="str">
        <f>IF(H509=-0.33,IF(H507=H$1,H507,""),"")</f>
        <v/>
      </c>
      <c r="G509" s="26"/>
      <c r="H509" s="29">
        <f t="shared" ref="H509" si="10">IF(H508=1,IF(H507=H$2,1,-0.33),0)</f>
        <v>0</v>
      </c>
    </row>
    <row r="510" spans="2:8" x14ac:dyDescent="0.25">
      <c r="B510" s="8" t="s">
        <v>12</v>
      </c>
      <c r="C510" s="24" t="s">
        <v>15</v>
      </c>
      <c r="D510" s="9"/>
      <c r="E510" s="10" t="s">
        <v>12</v>
      </c>
      <c r="F510" s="25"/>
      <c r="G510" s="26"/>
      <c r="H510" s="26"/>
    </row>
    <row r="511" spans="2:8" x14ac:dyDescent="0.25">
      <c r="B511" s="11"/>
      <c r="C511" s="12"/>
      <c r="D511" s="9"/>
      <c r="E511" s="10" t="s">
        <v>13</v>
      </c>
      <c r="F511" s="30"/>
      <c r="G511" s="26"/>
      <c r="H511" s="26"/>
    </row>
    <row r="512" spans="2:8" ht="31.5" x14ac:dyDescent="0.25">
      <c r="B512" s="5">
        <v>6</v>
      </c>
      <c r="C512" s="21" t="s">
        <v>361</v>
      </c>
      <c r="D512" s="6"/>
      <c r="E512" s="7"/>
      <c r="F512" s="22"/>
      <c r="G512" s="23"/>
      <c r="H512" s="23"/>
    </row>
    <row r="513" spans="2:8" x14ac:dyDescent="0.25">
      <c r="B513" s="8" t="s">
        <v>9</v>
      </c>
      <c r="C513" s="24" t="s">
        <v>362</v>
      </c>
      <c r="D513" s="9"/>
      <c r="E513" s="10" t="s">
        <v>9</v>
      </c>
      <c r="F513" s="25"/>
      <c r="G513" s="26"/>
      <c r="H513" s="1" t="b">
        <f>IF(D516="x",H$2,H$1)</f>
        <v>0</v>
      </c>
    </row>
    <row r="514" spans="2:8" ht="31.5" x14ac:dyDescent="0.25">
      <c r="B514" s="8" t="s">
        <v>10</v>
      </c>
      <c r="C514" s="24" t="s">
        <v>363</v>
      </c>
      <c r="D514" s="9"/>
      <c r="E514" s="10" t="s">
        <v>10</v>
      </c>
      <c r="F514" s="27" t="str">
        <f>IF(H515=1,IF(H513=H$2,H513,""),"")</f>
        <v/>
      </c>
      <c r="G514" s="26"/>
      <c r="H514" s="1" t="str">
        <f>IF(E572="comprobar",COUNTIF(D513:D517,"x"),"")</f>
        <v/>
      </c>
    </row>
    <row r="515" spans="2:8" ht="31.5" x14ac:dyDescent="0.25">
      <c r="B515" s="8" t="s">
        <v>11</v>
      </c>
      <c r="C515" s="24" t="s">
        <v>364</v>
      </c>
      <c r="D515" s="9"/>
      <c r="E515" s="10" t="s">
        <v>11</v>
      </c>
      <c r="F515" s="28" t="str">
        <f>IF(H515=-0.33,IF(H513=H$1,H513,""),"")</f>
        <v/>
      </c>
      <c r="G515" s="26"/>
      <c r="H515" s="29">
        <f>IF(H514=1,IF(H513=H$2,1,-0.33),0)</f>
        <v>0</v>
      </c>
    </row>
    <row r="516" spans="2:8" x14ac:dyDescent="0.25">
      <c r="B516" s="8" t="s">
        <v>12</v>
      </c>
      <c r="C516" s="24" t="s">
        <v>32</v>
      </c>
      <c r="D516" s="9"/>
      <c r="E516" s="10" t="s">
        <v>12</v>
      </c>
      <c r="F516" s="25"/>
      <c r="G516" s="26"/>
      <c r="H516" s="26"/>
    </row>
    <row r="517" spans="2:8" x14ac:dyDescent="0.25">
      <c r="B517" s="11"/>
      <c r="C517" s="12"/>
      <c r="D517" s="9"/>
      <c r="E517" s="10" t="s">
        <v>13</v>
      </c>
      <c r="F517" s="30"/>
      <c r="G517" s="26"/>
      <c r="H517" s="26"/>
    </row>
    <row r="518" spans="2:8" x14ac:dyDescent="0.25">
      <c r="B518" s="5">
        <v>7</v>
      </c>
      <c r="C518" s="21" t="s">
        <v>279</v>
      </c>
      <c r="D518" s="6"/>
      <c r="E518" s="7"/>
      <c r="F518" s="22"/>
      <c r="G518" s="23"/>
      <c r="H518" s="23"/>
    </row>
    <row r="519" spans="2:8" ht="31.5" x14ac:dyDescent="0.25">
      <c r="B519" s="8" t="s">
        <v>9</v>
      </c>
      <c r="C519" s="24" t="s">
        <v>365</v>
      </c>
      <c r="D519" s="9"/>
      <c r="E519" s="10" t="s">
        <v>9</v>
      </c>
      <c r="F519" s="25"/>
      <c r="G519" s="26"/>
      <c r="H519" s="1" t="b">
        <f>IF(D520="x",H$2,H$1)</f>
        <v>0</v>
      </c>
    </row>
    <row r="520" spans="2:8" x14ac:dyDescent="0.25">
      <c r="B520" s="8" t="s">
        <v>10</v>
      </c>
      <c r="C520" s="24" t="s">
        <v>366</v>
      </c>
      <c r="D520" s="9"/>
      <c r="E520" s="10" t="s">
        <v>10</v>
      </c>
      <c r="F520" s="27" t="str">
        <f>IF(H521=1,IF(H519=H$2,H519,""),"")</f>
        <v/>
      </c>
      <c r="G520" s="26"/>
      <c r="H520" s="1" t="str">
        <f>IF(E572="comprobar",COUNTIF(D519:D523,"x"),"")</f>
        <v/>
      </c>
    </row>
    <row r="521" spans="2:8" x14ac:dyDescent="0.25">
      <c r="B521" s="8" t="s">
        <v>11</v>
      </c>
      <c r="C521" s="24" t="s">
        <v>367</v>
      </c>
      <c r="D521" s="9"/>
      <c r="E521" s="10" t="s">
        <v>11</v>
      </c>
      <c r="F521" s="28" t="str">
        <f>IF(H521=-0.33,IF(H519=H$1,H519,""),"")</f>
        <v/>
      </c>
      <c r="G521" s="26"/>
      <c r="H521" s="29">
        <f>IF(H520=1,IF(H519=H$2,1,-0.33),0)</f>
        <v>0</v>
      </c>
    </row>
    <row r="522" spans="2:8" x14ac:dyDescent="0.25">
      <c r="B522" s="8" t="s">
        <v>12</v>
      </c>
      <c r="C522" s="24" t="s">
        <v>368</v>
      </c>
      <c r="D522" s="9"/>
      <c r="E522" s="10" t="s">
        <v>12</v>
      </c>
      <c r="F522" s="25"/>
      <c r="G522" s="26"/>
      <c r="H522" s="29"/>
    </row>
    <row r="523" spans="2:8" x14ac:dyDescent="0.25">
      <c r="B523" s="11"/>
      <c r="C523" s="12"/>
      <c r="D523" s="9"/>
      <c r="E523" s="10" t="s">
        <v>13</v>
      </c>
      <c r="F523" s="30"/>
      <c r="G523" s="26"/>
      <c r="H523" s="29"/>
    </row>
    <row r="524" spans="2:8" x14ac:dyDescent="0.25">
      <c r="B524" s="5">
        <v>8</v>
      </c>
      <c r="C524" s="21" t="s">
        <v>279</v>
      </c>
      <c r="D524" s="6"/>
      <c r="E524" s="7"/>
      <c r="F524" s="22"/>
      <c r="G524" s="23"/>
      <c r="H524" s="23"/>
    </row>
    <row r="525" spans="2:8" x14ac:dyDescent="0.25">
      <c r="B525" s="8" t="s">
        <v>9</v>
      </c>
      <c r="C525" s="24" t="s">
        <v>894</v>
      </c>
      <c r="D525" s="9"/>
      <c r="E525" s="10" t="s">
        <v>9</v>
      </c>
      <c r="F525" s="25"/>
      <c r="G525" s="26"/>
      <c r="H525" s="1" t="b">
        <f>IF(D527="x",H$2,H$1)</f>
        <v>0</v>
      </c>
    </row>
    <row r="526" spans="2:8" ht="31.5" x14ac:dyDescent="0.25">
      <c r="B526" s="8" t="s">
        <v>10</v>
      </c>
      <c r="C526" s="24" t="s">
        <v>895</v>
      </c>
      <c r="D526" s="9"/>
      <c r="E526" s="10" t="s">
        <v>10</v>
      </c>
      <c r="F526" s="27" t="str">
        <f>IF(H527=1,IF(H525=H$2,H525,""),"")</f>
        <v/>
      </c>
      <c r="G526" s="26"/>
      <c r="H526" s="1" t="str">
        <f>IF(E572="comprobar",COUNTIF(D525:D529,"x"),"")</f>
        <v/>
      </c>
    </row>
    <row r="527" spans="2:8" s="45" customFormat="1" x14ac:dyDescent="0.25">
      <c r="B527" s="8" t="s">
        <v>11</v>
      </c>
      <c r="C527" s="24" t="s">
        <v>896</v>
      </c>
      <c r="D527" s="9"/>
      <c r="E527" s="10" t="s">
        <v>11</v>
      </c>
      <c r="F527" s="28" t="str">
        <f>IF(H527=-0.33,IF(H525=H$1,H525,""),"")</f>
        <v/>
      </c>
      <c r="G527" s="10"/>
      <c r="H527" s="1">
        <f>IF(H526=1,IF(H525=H$2,1,-0.33),0)</f>
        <v>0</v>
      </c>
    </row>
    <row r="528" spans="2:8" x14ac:dyDescent="0.25">
      <c r="B528" s="8" t="s">
        <v>12</v>
      </c>
      <c r="C528" s="24" t="s">
        <v>368</v>
      </c>
      <c r="D528" s="9"/>
      <c r="E528" s="10" t="s">
        <v>12</v>
      </c>
      <c r="F528" s="25"/>
      <c r="G528" s="26"/>
      <c r="H528" s="29"/>
    </row>
    <row r="529" spans="2:8" x14ac:dyDescent="0.25">
      <c r="B529" s="11"/>
      <c r="C529" s="12"/>
      <c r="D529" s="9"/>
      <c r="E529" s="10" t="s">
        <v>13</v>
      </c>
      <c r="F529" s="30"/>
      <c r="G529" s="26"/>
      <c r="H529" s="29"/>
    </row>
    <row r="530" spans="2:8" x14ac:dyDescent="0.25">
      <c r="B530" s="5">
        <v>9</v>
      </c>
      <c r="C530" s="21" t="s">
        <v>369</v>
      </c>
      <c r="D530" s="6"/>
      <c r="E530" s="7"/>
      <c r="F530" s="22"/>
      <c r="G530" s="23"/>
      <c r="H530" s="23"/>
    </row>
    <row r="531" spans="2:8" ht="31.5" x14ac:dyDescent="0.25">
      <c r="B531" s="8" t="s">
        <v>9</v>
      </c>
      <c r="C531" s="24" t="s">
        <v>370</v>
      </c>
      <c r="D531" s="9"/>
      <c r="E531" s="10" t="s">
        <v>9</v>
      </c>
      <c r="F531" s="25"/>
      <c r="G531" s="26"/>
      <c r="H531" s="1" t="b">
        <f>IF(D531="x",H$2,H$1)</f>
        <v>0</v>
      </c>
    </row>
    <row r="532" spans="2:8" ht="31.5" x14ac:dyDescent="0.25">
      <c r="B532" s="8" t="s">
        <v>10</v>
      </c>
      <c r="C532" s="24" t="s">
        <v>371</v>
      </c>
      <c r="D532" s="9"/>
      <c r="E532" s="10" t="s">
        <v>10</v>
      </c>
      <c r="F532" s="27" t="str">
        <f>IF(H533=1,IF(H531=H$2,H531,""),"")</f>
        <v/>
      </c>
      <c r="G532" s="26"/>
      <c r="H532" s="1" t="str">
        <f>IF(E572="comprobar",COUNTIF(D531:D535,"x"),"")</f>
        <v/>
      </c>
    </row>
    <row r="533" spans="2:8" ht="31.5" x14ac:dyDescent="0.25">
      <c r="B533" s="8" t="s">
        <v>11</v>
      </c>
      <c r="C533" s="24" t="s">
        <v>372</v>
      </c>
      <c r="D533" s="9"/>
      <c r="E533" s="10" t="s">
        <v>11</v>
      </c>
      <c r="F533" s="28" t="str">
        <f>IF(H533=-0.33,IF(H531=H$1,H531,""),"")</f>
        <v/>
      </c>
      <c r="G533" s="26"/>
      <c r="H533" s="29">
        <f>IF(H532=1,IF(H531=H$2,1,-0.33),0)</f>
        <v>0</v>
      </c>
    </row>
    <row r="534" spans="2:8" x14ac:dyDescent="0.25">
      <c r="B534" s="8" t="s">
        <v>12</v>
      </c>
      <c r="C534" s="24" t="s">
        <v>32</v>
      </c>
      <c r="D534" s="9"/>
      <c r="E534" s="10" t="s">
        <v>12</v>
      </c>
      <c r="F534" s="25"/>
      <c r="G534" s="26"/>
      <c r="H534" s="1"/>
    </row>
    <row r="535" spans="2:8" x14ac:dyDescent="0.25">
      <c r="B535" s="11"/>
      <c r="C535" s="12"/>
      <c r="D535" s="9"/>
      <c r="E535" s="10" t="s">
        <v>13</v>
      </c>
      <c r="F535" s="30"/>
      <c r="G535" s="26"/>
      <c r="H535" s="15"/>
    </row>
    <row r="536" spans="2:8" x14ac:dyDescent="0.25">
      <c r="B536" s="5">
        <v>10</v>
      </c>
      <c r="C536" s="21" t="s">
        <v>373</v>
      </c>
      <c r="D536" s="6"/>
      <c r="E536" s="7"/>
      <c r="F536" s="22"/>
      <c r="G536" s="31"/>
      <c r="H536" s="31"/>
    </row>
    <row r="537" spans="2:8" ht="31.5" x14ac:dyDescent="0.25">
      <c r="B537" s="8" t="s">
        <v>9</v>
      </c>
      <c r="C537" s="24" t="s">
        <v>374</v>
      </c>
      <c r="D537" s="9"/>
      <c r="E537" s="10" t="s">
        <v>9</v>
      </c>
      <c r="F537" s="25"/>
      <c r="G537" s="32"/>
      <c r="H537" s="1" t="b">
        <f>IF(D538="x",H$2,H$1)</f>
        <v>0</v>
      </c>
    </row>
    <row r="538" spans="2:8" ht="31.5" x14ac:dyDescent="0.25">
      <c r="B538" s="8" t="s">
        <v>10</v>
      </c>
      <c r="C538" s="24" t="s">
        <v>375</v>
      </c>
      <c r="D538" s="9"/>
      <c r="E538" s="10" t="s">
        <v>10</v>
      </c>
      <c r="F538" s="27" t="str">
        <f>IF(H539=1,IF(H537=H$2,H537,""),"")</f>
        <v/>
      </c>
      <c r="G538" s="32"/>
      <c r="H538" s="1" t="str">
        <f>IF(E572="comprobar",COUNTIF(D537:D541,"x"),"")</f>
        <v/>
      </c>
    </row>
    <row r="539" spans="2:8" x14ac:dyDescent="0.25">
      <c r="B539" s="8" t="s">
        <v>11</v>
      </c>
      <c r="C539" s="24" t="s">
        <v>351</v>
      </c>
      <c r="D539" s="9"/>
      <c r="E539" s="10" t="s">
        <v>11</v>
      </c>
      <c r="F539" s="28" t="str">
        <f>IF(H539=-0.33,IF(H537=H$1,H537,""),"")</f>
        <v/>
      </c>
      <c r="G539" s="32"/>
      <c r="H539" s="29">
        <f>IF(H538=1,IF(H537=H$2,1,-0.33),0)</f>
        <v>0</v>
      </c>
    </row>
    <row r="540" spans="2:8" x14ac:dyDescent="0.25">
      <c r="B540" s="8" t="s">
        <v>12</v>
      </c>
      <c r="C540" s="24" t="s">
        <v>32</v>
      </c>
      <c r="D540" s="9"/>
      <c r="E540" s="10" t="s">
        <v>12</v>
      </c>
      <c r="F540" s="25"/>
      <c r="G540" s="32"/>
      <c r="H540" s="29"/>
    </row>
    <row r="541" spans="2:8" x14ac:dyDescent="0.25">
      <c r="B541" s="11"/>
      <c r="C541" s="12"/>
      <c r="D541" s="9"/>
      <c r="E541" s="10" t="s">
        <v>13</v>
      </c>
      <c r="F541" s="30"/>
      <c r="G541" s="32"/>
      <c r="H541" s="29"/>
    </row>
    <row r="542" spans="2:8" x14ac:dyDescent="0.25">
      <c r="B542" s="5">
        <v>11</v>
      </c>
      <c r="C542" s="21" t="s">
        <v>376</v>
      </c>
      <c r="D542" s="6"/>
      <c r="E542" s="7"/>
      <c r="F542" s="22"/>
      <c r="G542" s="31"/>
      <c r="H542" s="31"/>
    </row>
    <row r="543" spans="2:8" x14ac:dyDescent="0.25">
      <c r="B543" s="8" t="s">
        <v>9</v>
      </c>
      <c r="C543" s="24" t="s">
        <v>377</v>
      </c>
      <c r="D543" s="9"/>
      <c r="E543" s="10" t="s">
        <v>9</v>
      </c>
      <c r="F543" s="25"/>
      <c r="G543" s="32"/>
      <c r="H543" s="1" t="b">
        <f>IF(D544="x",H$2,H$1)</f>
        <v>0</v>
      </c>
    </row>
    <row r="544" spans="2:8" x14ac:dyDescent="0.25">
      <c r="B544" s="8" t="s">
        <v>10</v>
      </c>
      <c r="C544" s="24" t="s">
        <v>378</v>
      </c>
      <c r="D544" s="9"/>
      <c r="E544" s="10" t="s">
        <v>10</v>
      </c>
      <c r="F544" s="27" t="str">
        <f>IF(H545=1,IF(H543=H$2,H543,""),"")</f>
        <v/>
      </c>
      <c r="G544" s="32"/>
      <c r="H544" s="1" t="str">
        <f>IF(E572="comprobar",COUNTIF(D543:D547,"x"),"")</f>
        <v/>
      </c>
    </row>
    <row r="545" spans="2:8" x14ac:dyDescent="0.25">
      <c r="B545" s="8" t="s">
        <v>11</v>
      </c>
      <c r="C545" s="24" t="s">
        <v>379</v>
      </c>
      <c r="D545" s="9"/>
      <c r="E545" s="10" t="s">
        <v>11</v>
      </c>
      <c r="F545" s="28" t="str">
        <f>IF(H545=-0.33,IF(H543=H$1,H543,""),"")</f>
        <v/>
      </c>
      <c r="G545" s="32"/>
      <c r="H545" s="29">
        <f>IF(H544=1,IF(H543=H$2,1,-0.33),0)</f>
        <v>0</v>
      </c>
    </row>
    <row r="546" spans="2:8" x14ac:dyDescent="0.25">
      <c r="B546" s="8" t="s">
        <v>12</v>
      </c>
      <c r="C546" s="24" t="s">
        <v>368</v>
      </c>
      <c r="D546" s="9"/>
      <c r="E546" s="10" t="s">
        <v>12</v>
      </c>
      <c r="F546" s="25"/>
      <c r="G546" s="32"/>
      <c r="H546" s="29"/>
    </row>
    <row r="547" spans="2:8" x14ac:dyDescent="0.25">
      <c r="B547" s="11"/>
      <c r="C547" s="12"/>
      <c r="D547" s="9"/>
      <c r="E547" s="10"/>
      <c r="F547" s="25"/>
      <c r="G547" s="32"/>
      <c r="H547" s="29"/>
    </row>
    <row r="548" spans="2:8" x14ac:dyDescent="0.25">
      <c r="B548" s="5">
        <v>12</v>
      </c>
      <c r="C548" s="21" t="s">
        <v>380</v>
      </c>
      <c r="D548" s="6"/>
      <c r="E548" s="7"/>
      <c r="F548" s="22"/>
      <c r="G548" s="23"/>
      <c r="H548" s="23"/>
    </row>
    <row r="549" spans="2:8" x14ac:dyDescent="0.25">
      <c r="B549" s="8" t="s">
        <v>9</v>
      </c>
      <c r="C549" s="24" t="s">
        <v>381</v>
      </c>
      <c r="D549" s="9"/>
      <c r="E549" s="10" t="s">
        <v>9</v>
      </c>
      <c r="F549" s="25"/>
      <c r="G549" s="26"/>
      <c r="H549" s="1" t="b">
        <f>IF(D552="x",H$2,H$1)</f>
        <v>0</v>
      </c>
    </row>
    <row r="550" spans="2:8" x14ac:dyDescent="0.25">
      <c r="B550" s="8" t="s">
        <v>10</v>
      </c>
      <c r="C550" s="24" t="s">
        <v>382</v>
      </c>
      <c r="D550" s="9"/>
      <c r="E550" s="10" t="s">
        <v>10</v>
      </c>
      <c r="F550" s="27" t="str">
        <f>IF(H551=1,IF(H549=H$2,H549,""),"")</f>
        <v/>
      </c>
      <c r="G550" s="26"/>
      <c r="H550" s="1" t="str">
        <f>IF(E572="comprobar",COUNTIF(D549:D553,"x"),"")</f>
        <v/>
      </c>
    </row>
    <row r="551" spans="2:8" x14ac:dyDescent="0.25">
      <c r="B551" s="8" t="s">
        <v>11</v>
      </c>
      <c r="C551" s="24" t="s">
        <v>383</v>
      </c>
      <c r="D551" s="9"/>
      <c r="E551" s="10" t="s">
        <v>11</v>
      </c>
      <c r="F551" s="28" t="str">
        <f>IF(H551=-0.33,IF(H549=H$1,H549,""),"")</f>
        <v/>
      </c>
      <c r="G551" s="26"/>
      <c r="H551" s="29">
        <f>IF(H550=1,IF(H549=H$2,1,-0.33),0)</f>
        <v>0</v>
      </c>
    </row>
    <row r="552" spans="2:8" x14ac:dyDescent="0.25">
      <c r="B552" s="8" t="s">
        <v>12</v>
      </c>
      <c r="C552" s="24" t="s">
        <v>384</v>
      </c>
      <c r="D552" s="9"/>
      <c r="E552" s="10" t="s">
        <v>12</v>
      </c>
      <c r="F552" s="25"/>
      <c r="G552" s="26"/>
      <c r="H552" s="29"/>
    </row>
    <row r="553" spans="2:8" x14ac:dyDescent="0.25">
      <c r="B553" s="11"/>
      <c r="C553" s="12"/>
      <c r="D553" s="9"/>
      <c r="E553" s="10" t="s">
        <v>13</v>
      </c>
      <c r="F553" s="30"/>
      <c r="G553" s="26"/>
      <c r="H553" s="29"/>
    </row>
    <row r="554" spans="2:8" x14ac:dyDescent="0.25">
      <c r="B554" s="5">
        <v>13</v>
      </c>
      <c r="C554" s="21" t="s">
        <v>380</v>
      </c>
      <c r="D554" s="6"/>
      <c r="E554" s="7"/>
      <c r="F554" s="22"/>
      <c r="G554" s="23"/>
      <c r="H554" s="23"/>
    </row>
    <row r="555" spans="2:8" x14ac:dyDescent="0.25">
      <c r="B555" s="8" t="s">
        <v>9</v>
      </c>
      <c r="C555" s="24" t="s">
        <v>385</v>
      </c>
      <c r="D555" s="9"/>
      <c r="E555" s="10" t="s">
        <v>9</v>
      </c>
      <c r="F555" s="25"/>
      <c r="G555" s="26"/>
      <c r="H555" s="1" t="b">
        <f>IF(D555="x",H$2,H$1)</f>
        <v>0</v>
      </c>
    </row>
    <row r="556" spans="2:8" x14ac:dyDescent="0.25">
      <c r="B556" s="8" t="s">
        <v>10</v>
      </c>
      <c r="C556" s="24" t="s">
        <v>382</v>
      </c>
      <c r="D556" s="9"/>
      <c r="E556" s="10" t="s">
        <v>10</v>
      </c>
      <c r="F556" s="27" t="str">
        <f>IF(H557=1,IF(H555=H$2,H555,""),"")</f>
        <v/>
      </c>
      <c r="G556" s="26"/>
      <c r="H556" s="1" t="str">
        <f>IF(E572="comprobar",COUNTIF(D555:D559,"x"),"")</f>
        <v/>
      </c>
    </row>
    <row r="557" spans="2:8" x14ac:dyDescent="0.25">
      <c r="B557" s="8" t="s">
        <v>11</v>
      </c>
      <c r="C557" s="24" t="s">
        <v>383</v>
      </c>
      <c r="D557" s="9"/>
      <c r="E557" s="10" t="s">
        <v>11</v>
      </c>
      <c r="F557" s="28" t="str">
        <f>IF(H557=-0.33,IF(H555=H$1,H555,""),"")</f>
        <v/>
      </c>
      <c r="G557" s="26"/>
      <c r="H557" s="29">
        <f t="shared" ref="H557" si="11">IF(H556=1,IF(H555=H$2,1,-0.33),0)</f>
        <v>0</v>
      </c>
    </row>
    <row r="558" spans="2:8" x14ac:dyDescent="0.25">
      <c r="B558" s="8" t="s">
        <v>12</v>
      </c>
      <c r="C558" s="24" t="s">
        <v>384</v>
      </c>
      <c r="D558" s="9"/>
      <c r="E558" s="10" t="s">
        <v>12</v>
      </c>
      <c r="F558" s="25"/>
      <c r="G558" s="26"/>
      <c r="H558" s="26"/>
    </row>
    <row r="559" spans="2:8" x14ac:dyDescent="0.25">
      <c r="B559" s="11"/>
      <c r="C559" s="12"/>
      <c r="D559" s="9"/>
      <c r="E559" s="10" t="s">
        <v>13</v>
      </c>
      <c r="F559" s="30"/>
      <c r="G559" s="26"/>
      <c r="H559" s="26"/>
    </row>
    <row r="560" spans="2:8" x14ac:dyDescent="0.25">
      <c r="B560" s="5">
        <v>14</v>
      </c>
      <c r="C560" s="21" t="s">
        <v>386</v>
      </c>
      <c r="D560" s="6"/>
      <c r="E560" s="7"/>
      <c r="F560" s="22"/>
      <c r="G560" s="23"/>
      <c r="H560" s="23"/>
    </row>
    <row r="561" spans="2:8" x14ac:dyDescent="0.25">
      <c r="B561" s="8" t="s">
        <v>9</v>
      </c>
      <c r="C561" s="24" t="s">
        <v>387</v>
      </c>
      <c r="D561" s="9"/>
      <c r="E561" s="10" t="s">
        <v>9</v>
      </c>
      <c r="F561" s="25"/>
      <c r="G561" s="26"/>
      <c r="H561" s="1" t="b">
        <f>IF(D563="x",H$2,H$1)</f>
        <v>0</v>
      </c>
    </row>
    <row r="562" spans="2:8" x14ac:dyDescent="0.25">
      <c r="B562" s="8" t="s">
        <v>10</v>
      </c>
      <c r="C562" s="24" t="s">
        <v>388</v>
      </c>
      <c r="D562" s="9"/>
      <c r="E562" s="10" t="s">
        <v>10</v>
      </c>
      <c r="F562" s="27" t="str">
        <f>IF(H563=1,IF(H561=H$2,H561,""),"")</f>
        <v/>
      </c>
      <c r="G562" s="26"/>
      <c r="H562" s="1" t="str">
        <f>IF(E572="comprobar",COUNTIF(D561:D565,"x"),"")</f>
        <v/>
      </c>
    </row>
    <row r="563" spans="2:8" x14ac:dyDescent="0.25">
      <c r="B563" s="8" t="s">
        <v>11</v>
      </c>
      <c r="C563" s="24" t="s">
        <v>389</v>
      </c>
      <c r="D563" s="9"/>
      <c r="E563" s="10" t="s">
        <v>11</v>
      </c>
      <c r="F563" s="28" t="str">
        <f>IF(H563=-0.33,IF(H561=H$1,H561,""),"")</f>
        <v/>
      </c>
      <c r="G563" s="26"/>
      <c r="H563" s="29">
        <f>IF(H562=1,IF(H561=H$2,1,-0.33),0)</f>
        <v>0</v>
      </c>
    </row>
    <row r="564" spans="2:8" x14ac:dyDescent="0.25">
      <c r="B564" s="8" t="s">
        <v>12</v>
      </c>
      <c r="C564" s="24" t="s">
        <v>32</v>
      </c>
      <c r="D564" s="9"/>
      <c r="E564" s="10" t="s">
        <v>12</v>
      </c>
      <c r="F564" s="25"/>
      <c r="G564" s="26"/>
      <c r="H564" s="26"/>
    </row>
    <row r="565" spans="2:8" x14ac:dyDescent="0.25">
      <c r="B565" s="11"/>
      <c r="C565" s="12"/>
      <c r="D565" s="9"/>
      <c r="E565" s="10" t="s">
        <v>13</v>
      </c>
      <c r="F565" s="30"/>
      <c r="G565" s="26"/>
      <c r="H565" s="26"/>
    </row>
    <row r="566" spans="2:8" ht="31.5" x14ac:dyDescent="0.25">
      <c r="B566" s="5">
        <v>15</v>
      </c>
      <c r="C566" s="21" t="s">
        <v>390</v>
      </c>
      <c r="D566" s="6"/>
      <c r="E566" s="7"/>
      <c r="F566" s="22"/>
      <c r="G566" s="23"/>
      <c r="H566" s="23"/>
    </row>
    <row r="567" spans="2:8" ht="31.5" x14ac:dyDescent="0.25">
      <c r="B567" s="8" t="s">
        <v>9</v>
      </c>
      <c r="C567" s="24" t="s">
        <v>391</v>
      </c>
      <c r="D567" s="9"/>
      <c r="E567" s="10" t="s">
        <v>9</v>
      </c>
      <c r="F567" s="25"/>
      <c r="G567" s="26"/>
      <c r="H567" s="1" t="b">
        <f>IF(D570="x",H$2,H$1)</f>
        <v>0</v>
      </c>
    </row>
    <row r="568" spans="2:8" ht="31.5" x14ac:dyDescent="0.25">
      <c r="B568" s="8" t="s">
        <v>10</v>
      </c>
      <c r="C568" s="24" t="s">
        <v>392</v>
      </c>
      <c r="D568" s="9"/>
      <c r="E568" s="10" t="s">
        <v>10</v>
      </c>
      <c r="F568" s="27" t="str">
        <f>IF(H569=1,IF(H567=H$2,H567,""),"")</f>
        <v/>
      </c>
      <c r="G568" s="26"/>
      <c r="H568" s="1" t="str">
        <f>IF(E572="comprobar",COUNTIF(D567:D571,"x"),"")</f>
        <v/>
      </c>
    </row>
    <row r="569" spans="2:8" x14ac:dyDescent="0.25">
      <c r="B569" s="8" t="s">
        <v>11</v>
      </c>
      <c r="C569" s="24" t="s">
        <v>393</v>
      </c>
      <c r="D569" s="9"/>
      <c r="E569" s="10" t="s">
        <v>11</v>
      </c>
      <c r="F569" s="28" t="str">
        <f>IF(H569=-0.33,IF(H567=H$1,H567,""),"")</f>
        <v/>
      </c>
      <c r="G569" s="26"/>
      <c r="H569" s="29">
        <f>IF(H568=1,IF(H567=H$2,1,-0.33),0)</f>
        <v>0</v>
      </c>
    </row>
    <row r="570" spans="2:8" x14ac:dyDescent="0.25">
      <c r="B570" s="8" t="s">
        <v>12</v>
      </c>
      <c r="C570" s="24" t="s">
        <v>394</v>
      </c>
      <c r="D570" s="9"/>
      <c r="E570" s="10" t="s">
        <v>12</v>
      </c>
      <c r="F570" s="25"/>
      <c r="G570" s="26"/>
      <c r="H570" s="29"/>
    </row>
    <row r="571" spans="2:8" x14ac:dyDescent="0.25">
      <c r="B571" s="11"/>
      <c r="C571" s="12"/>
      <c r="D571" s="9"/>
      <c r="E571" s="10" t="s">
        <v>13</v>
      </c>
      <c r="F571" s="30"/>
      <c r="G571" s="26"/>
      <c r="H571" s="29"/>
    </row>
    <row r="572" spans="2:8" x14ac:dyDescent="0.25">
      <c r="B572" s="33"/>
      <c r="C572" s="4"/>
      <c r="D572" s="34"/>
      <c r="E572" s="35"/>
      <c r="F572" s="30"/>
      <c r="G572" s="26"/>
      <c r="H572" s="26"/>
    </row>
    <row r="573" spans="2:8" x14ac:dyDescent="0.25">
      <c r="B573" s="33"/>
      <c r="C573" s="4"/>
      <c r="D573" s="34"/>
      <c r="E573" s="36"/>
      <c r="F573" s="37" t="s">
        <v>8</v>
      </c>
      <c r="G573" s="26" t="s">
        <v>6</v>
      </c>
      <c r="H573" s="26" t="s">
        <v>7</v>
      </c>
    </row>
    <row r="574" spans="2:8" ht="19.5" x14ac:dyDescent="0.25">
      <c r="B574" s="33"/>
      <c r="C574" s="38"/>
      <c r="D574" s="51"/>
      <c r="E574" s="51"/>
      <c r="F574" s="39" t="str">
        <f>IF(E572="comprobar",H539+H533+H527+H521+H515+H509+H503+H497+H491+H485+H545+H551+H557+H563+H569,"")</f>
        <v/>
      </c>
      <c r="G574" s="26">
        <f>10/2</f>
        <v>5</v>
      </c>
      <c r="H574" s="26"/>
    </row>
    <row r="575" spans="2:8" ht="16.5" thickBot="1" x14ac:dyDescent="0.3">
      <c r="B575" s="40"/>
      <c r="C575" s="41"/>
      <c r="D575" s="42"/>
      <c r="E575" s="43"/>
      <c r="F575" s="44" t="str">
        <f>IF(F574&gt;G574,G573,H573)</f>
        <v>APROBADO</v>
      </c>
      <c r="G575" s="26"/>
      <c r="H575" s="26"/>
    </row>
    <row r="576" spans="2:8" ht="28.5" x14ac:dyDescent="0.45">
      <c r="B576" s="19" t="s">
        <v>81</v>
      </c>
      <c r="C576" s="49" t="s">
        <v>87</v>
      </c>
      <c r="D576" s="49"/>
      <c r="E576" s="49"/>
      <c r="F576" s="50"/>
      <c r="G576" s="20"/>
      <c r="H576" s="20"/>
    </row>
    <row r="577" spans="2:8" x14ac:dyDescent="0.25">
      <c r="B577" s="5">
        <v>1</v>
      </c>
      <c r="C577" s="21" t="s">
        <v>395</v>
      </c>
      <c r="D577" s="6"/>
      <c r="E577" s="7"/>
      <c r="F577" s="22"/>
      <c r="G577" s="23"/>
      <c r="H577" s="23"/>
    </row>
    <row r="578" spans="2:8" x14ac:dyDescent="0.25">
      <c r="B578" s="8" t="s">
        <v>9</v>
      </c>
      <c r="C578" s="24" t="s">
        <v>396</v>
      </c>
      <c r="D578" s="9"/>
      <c r="E578" s="10" t="s">
        <v>9</v>
      </c>
      <c r="F578" s="25"/>
      <c r="G578" s="26"/>
      <c r="H578" s="1" t="b">
        <f>IF(D581="x",H$2,H$1)</f>
        <v>0</v>
      </c>
    </row>
    <row r="579" spans="2:8" x14ac:dyDescent="0.25">
      <c r="B579" s="8" t="s">
        <v>10</v>
      </c>
      <c r="C579" s="24" t="s">
        <v>397</v>
      </c>
      <c r="D579" s="9"/>
      <c r="E579" s="10" t="s">
        <v>10</v>
      </c>
      <c r="F579" s="27" t="str">
        <f>IF(H580=1,IF(H578=H$2,H578,""),"")</f>
        <v/>
      </c>
      <c r="G579" s="26"/>
      <c r="H579" s="1" t="str">
        <f>IF(E667="comprobar",COUNTIF(D578:D582,"x"),"")</f>
        <v/>
      </c>
    </row>
    <row r="580" spans="2:8" x14ac:dyDescent="0.25">
      <c r="B580" s="8" t="s">
        <v>11</v>
      </c>
      <c r="C580" s="24" t="s">
        <v>398</v>
      </c>
      <c r="D580" s="9"/>
      <c r="E580" s="10" t="s">
        <v>11</v>
      </c>
      <c r="F580" s="28" t="str">
        <f>IF(H580=-0.33,IF(H578=H$1,H578,""),"")</f>
        <v/>
      </c>
      <c r="G580" s="26"/>
      <c r="H580" s="29">
        <f>IF(H579=1,IF(H578=H$2,1,-0.33),0)</f>
        <v>0</v>
      </c>
    </row>
    <row r="581" spans="2:8" x14ac:dyDescent="0.25">
      <c r="B581" s="8" t="s">
        <v>12</v>
      </c>
      <c r="C581" s="24" t="s">
        <v>38</v>
      </c>
      <c r="D581" s="9"/>
      <c r="E581" s="10" t="s">
        <v>12</v>
      </c>
      <c r="F581" s="25"/>
      <c r="G581" s="26"/>
      <c r="H581" s="29"/>
    </row>
    <row r="582" spans="2:8" x14ac:dyDescent="0.25">
      <c r="B582" s="11"/>
      <c r="C582" s="12"/>
      <c r="D582" s="9"/>
      <c r="E582" s="10" t="s">
        <v>13</v>
      </c>
      <c r="F582" s="30"/>
      <c r="G582" s="26"/>
      <c r="H582" s="29"/>
    </row>
    <row r="583" spans="2:8" x14ac:dyDescent="0.25">
      <c r="B583" s="5">
        <v>2</v>
      </c>
      <c r="C583" s="21" t="s">
        <v>399</v>
      </c>
      <c r="D583" s="6"/>
      <c r="E583" s="7"/>
      <c r="F583" s="22"/>
      <c r="G583" s="23"/>
      <c r="H583" s="23"/>
    </row>
    <row r="584" spans="2:8" x14ac:dyDescent="0.25">
      <c r="B584" s="8" t="s">
        <v>9</v>
      </c>
      <c r="C584" s="24" t="s">
        <v>400</v>
      </c>
      <c r="D584" s="9"/>
      <c r="E584" s="10" t="s">
        <v>9</v>
      </c>
      <c r="F584" s="25"/>
      <c r="G584" s="26"/>
      <c r="H584" s="1" t="b">
        <f>IF(D586="x",H$2,H$1)</f>
        <v>0</v>
      </c>
    </row>
    <row r="585" spans="2:8" x14ac:dyDescent="0.25">
      <c r="B585" s="8" t="s">
        <v>10</v>
      </c>
      <c r="C585" s="24" t="s">
        <v>401</v>
      </c>
      <c r="D585" s="9"/>
      <c r="E585" s="10" t="s">
        <v>10</v>
      </c>
      <c r="F585" s="27" t="str">
        <f>IF(H586=1,IF(H584=H$2,H584,""),"")</f>
        <v/>
      </c>
      <c r="G585" s="26"/>
      <c r="H585" s="1" t="str">
        <f>IF(E667="comprobar",COUNTIF(D584:D588,"x"),"")</f>
        <v/>
      </c>
    </row>
    <row r="586" spans="2:8" x14ac:dyDescent="0.25">
      <c r="B586" s="8" t="s">
        <v>11</v>
      </c>
      <c r="C586" s="24" t="s">
        <v>402</v>
      </c>
      <c r="D586" s="9"/>
      <c r="E586" s="10" t="s">
        <v>11</v>
      </c>
      <c r="F586" s="28" t="str">
        <f>IF(H586=-0.33,IF(H584=H$1,H584,""),"")</f>
        <v/>
      </c>
      <c r="G586" s="26"/>
      <c r="H586" s="29">
        <f>IF(H585=1,IF(H584=H$2,1,-0.33),0)</f>
        <v>0</v>
      </c>
    </row>
    <row r="587" spans="2:8" x14ac:dyDescent="0.25">
      <c r="B587" s="8" t="s">
        <v>12</v>
      </c>
      <c r="C587" s="24" t="s">
        <v>368</v>
      </c>
      <c r="D587" s="9"/>
      <c r="E587" s="10" t="s">
        <v>12</v>
      </c>
      <c r="F587" s="25"/>
      <c r="G587" s="26"/>
      <c r="H587" s="26"/>
    </row>
    <row r="588" spans="2:8" x14ac:dyDescent="0.25">
      <c r="B588" s="11"/>
      <c r="C588" s="12"/>
      <c r="D588" s="9"/>
      <c r="E588" s="10" t="s">
        <v>13</v>
      </c>
      <c r="F588" s="30"/>
      <c r="G588" s="26"/>
      <c r="H588" s="26"/>
    </row>
    <row r="589" spans="2:8" x14ac:dyDescent="0.25">
      <c r="B589" s="5">
        <v>3</v>
      </c>
      <c r="C589" s="21" t="s">
        <v>403</v>
      </c>
      <c r="D589" s="6"/>
      <c r="E589" s="7"/>
      <c r="F589" s="22"/>
      <c r="G589" s="23"/>
      <c r="H589" s="23"/>
    </row>
    <row r="590" spans="2:8" x14ac:dyDescent="0.25">
      <c r="B590" s="8" t="s">
        <v>9</v>
      </c>
      <c r="C590" s="24" t="s">
        <v>404</v>
      </c>
      <c r="D590" s="9"/>
      <c r="E590" s="10" t="s">
        <v>9</v>
      </c>
      <c r="F590" s="25"/>
      <c r="G590" s="26"/>
      <c r="H590" s="1" t="b">
        <f>IF(D593="x",H$2,H$1)</f>
        <v>0</v>
      </c>
    </row>
    <row r="591" spans="2:8" x14ac:dyDescent="0.25">
      <c r="B591" s="8" t="s">
        <v>10</v>
      </c>
      <c r="C591" s="24" t="s">
        <v>405</v>
      </c>
      <c r="D591" s="9"/>
      <c r="E591" s="10" t="s">
        <v>10</v>
      </c>
      <c r="F591" s="27" t="str">
        <f>IF(H592=1,IF(H590=H$2,H590,""),"")</f>
        <v/>
      </c>
      <c r="G591" s="26"/>
      <c r="H591" s="1" t="str">
        <f>IF(E667="comprobar",COUNTIF(D590:D594,"x"),"")</f>
        <v/>
      </c>
    </row>
    <row r="592" spans="2:8" x14ac:dyDescent="0.25">
      <c r="B592" s="8" t="s">
        <v>11</v>
      </c>
      <c r="C592" s="24" t="s">
        <v>406</v>
      </c>
      <c r="D592" s="9"/>
      <c r="E592" s="10" t="s">
        <v>11</v>
      </c>
      <c r="F592" s="28" t="str">
        <f>IF(H592=-0.33,IF(H590=H$1,H590,""),"")</f>
        <v/>
      </c>
      <c r="G592" s="26"/>
      <c r="H592" s="29">
        <f>IF(H591=1,IF(H590=H$2,1,-0.33),0)</f>
        <v>0</v>
      </c>
    </row>
    <row r="593" spans="2:8" x14ac:dyDescent="0.25">
      <c r="B593" s="8" t="s">
        <v>12</v>
      </c>
      <c r="C593" s="24" t="s">
        <v>407</v>
      </c>
      <c r="D593" s="9"/>
      <c r="E593" s="10" t="s">
        <v>12</v>
      </c>
      <c r="F593" s="25"/>
      <c r="G593" s="26"/>
      <c r="H593" s="29"/>
    </row>
    <row r="594" spans="2:8" x14ac:dyDescent="0.25">
      <c r="B594" s="11"/>
      <c r="C594" s="12"/>
      <c r="D594" s="9"/>
      <c r="E594" s="10" t="s">
        <v>13</v>
      </c>
      <c r="F594" s="30"/>
      <c r="G594" s="26"/>
      <c r="H594" s="29"/>
    </row>
    <row r="595" spans="2:8" x14ac:dyDescent="0.25">
      <c r="B595" s="5">
        <v>4</v>
      </c>
      <c r="C595" s="21" t="s">
        <v>408</v>
      </c>
      <c r="D595" s="6"/>
      <c r="E595" s="7"/>
      <c r="F595" s="22"/>
      <c r="G595" s="23"/>
      <c r="H595" s="23"/>
    </row>
    <row r="596" spans="2:8" x14ac:dyDescent="0.25">
      <c r="B596" s="8" t="s">
        <v>9</v>
      </c>
      <c r="C596" s="24" t="s">
        <v>409</v>
      </c>
      <c r="D596" s="9"/>
      <c r="E596" s="10" t="s">
        <v>9</v>
      </c>
      <c r="F596" s="25"/>
      <c r="G596" s="26"/>
      <c r="H596" s="1" t="b">
        <f>IF(D598="x",H$2,H$1)</f>
        <v>0</v>
      </c>
    </row>
    <row r="597" spans="2:8" x14ac:dyDescent="0.25">
      <c r="B597" s="8" t="s">
        <v>10</v>
      </c>
      <c r="C597" s="24" t="s">
        <v>410</v>
      </c>
      <c r="D597" s="9"/>
      <c r="E597" s="10" t="s">
        <v>10</v>
      </c>
      <c r="F597" s="27" t="str">
        <f>IF(H598=1,IF(H596=H$2,H596,""),"")</f>
        <v/>
      </c>
      <c r="G597" s="26"/>
      <c r="H597" s="1" t="str">
        <f>IF(E667="comprobar",COUNTIF(D596:D600,"x"),"")</f>
        <v/>
      </c>
    </row>
    <row r="598" spans="2:8" x14ac:dyDescent="0.25">
      <c r="B598" s="8" t="s">
        <v>11</v>
      </c>
      <c r="C598" s="24" t="s">
        <v>411</v>
      </c>
      <c r="D598" s="9"/>
      <c r="E598" s="10" t="s">
        <v>11</v>
      </c>
      <c r="F598" s="28" t="str">
        <f>IF(H598=-0.33,IF(H596=H$1,H596,""),"")</f>
        <v/>
      </c>
      <c r="G598" s="26"/>
      <c r="H598" s="29">
        <f>IF(H597=1,IF(H596=H$2,1,-0.33),0)</f>
        <v>0</v>
      </c>
    </row>
    <row r="599" spans="2:8" x14ac:dyDescent="0.25">
      <c r="B599" s="8" t="s">
        <v>12</v>
      </c>
      <c r="C599" s="24" t="s">
        <v>412</v>
      </c>
      <c r="D599" s="9"/>
      <c r="E599" s="10" t="s">
        <v>12</v>
      </c>
      <c r="F599" s="25"/>
      <c r="G599" s="26"/>
      <c r="H599" s="29"/>
    </row>
    <row r="600" spans="2:8" x14ac:dyDescent="0.25">
      <c r="B600" s="11"/>
      <c r="C600" s="12"/>
      <c r="D600" s="9"/>
      <c r="E600" s="10" t="s">
        <v>13</v>
      </c>
      <c r="F600" s="30"/>
      <c r="G600" s="26"/>
      <c r="H600" s="29"/>
    </row>
    <row r="601" spans="2:8" ht="31.5" x14ac:dyDescent="0.25">
      <c r="B601" s="5">
        <v>5</v>
      </c>
      <c r="C601" s="21" t="s">
        <v>413</v>
      </c>
      <c r="D601" s="6"/>
      <c r="E601" s="7"/>
      <c r="F601" s="22"/>
      <c r="G601" s="23"/>
      <c r="H601" s="23"/>
    </row>
    <row r="602" spans="2:8" x14ac:dyDescent="0.25">
      <c r="B602" s="8" t="s">
        <v>9</v>
      </c>
      <c r="C602" s="24" t="s">
        <v>414</v>
      </c>
      <c r="D602" s="9"/>
      <c r="E602" s="10" t="s">
        <v>9</v>
      </c>
      <c r="F602" s="25"/>
      <c r="G602" s="26"/>
      <c r="H602" s="1" t="b">
        <f>IF(D603="x",H$2,H$1)</f>
        <v>0</v>
      </c>
    </row>
    <row r="603" spans="2:8" x14ac:dyDescent="0.25">
      <c r="B603" s="8" t="s">
        <v>10</v>
      </c>
      <c r="C603" s="24" t="s">
        <v>415</v>
      </c>
      <c r="D603" s="9"/>
      <c r="E603" s="10" t="s">
        <v>10</v>
      </c>
      <c r="F603" s="27" t="str">
        <f>IF(H604=1,IF(H602=H$2,H602,""),"")</f>
        <v/>
      </c>
      <c r="G603" s="26"/>
      <c r="H603" s="1" t="str">
        <f>IF(E667="comprobar",COUNTIF(D602:D606,"x"),"")</f>
        <v/>
      </c>
    </row>
    <row r="604" spans="2:8" x14ac:dyDescent="0.25">
      <c r="B604" s="8" t="s">
        <v>11</v>
      </c>
      <c r="C604" s="24" t="s">
        <v>416</v>
      </c>
      <c r="D604" s="9"/>
      <c r="E604" s="10" t="s">
        <v>11</v>
      </c>
      <c r="F604" s="28" t="str">
        <f>IF(H604=-0.33,IF(H602=H$1,H602,""),"")</f>
        <v/>
      </c>
      <c r="G604" s="26"/>
      <c r="H604" s="29">
        <f t="shared" ref="H604" si="12">IF(H603=1,IF(H602=H$2,1,-0.33),0)</f>
        <v>0</v>
      </c>
    </row>
    <row r="605" spans="2:8" x14ac:dyDescent="0.25">
      <c r="B605" s="8" t="s">
        <v>12</v>
      </c>
      <c r="C605" s="24" t="s">
        <v>417</v>
      </c>
      <c r="D605" s="9"/>
      <c r="E605" s="10" t="s">
        <v>12</v>
      </c>
      <c r="F605" s="25"/>
      <c r="G605" s="26"/>
      <c r="H605" s="26"/>
    </row>
    <row r="606" spans="2:8" x14ac:dyDescent="0.25">
      <c r="B606" s="11"/>
      <c r="C606" s="12"/>
      <c r="D606" s="9"/>
      <c r="E606" s="10" t="s">
        <v>13</v>
      </c>
      <c r="F606" s="30"/>
      <c r="G606" s="26"/>
      <c r="H606" s="26"/>
    </row>
    <row r="607" spans="2:8" ht="31.5" x14ac:dyDescent="0.25">
      <c r="B607" s="5">
        <v>6</v>
      </c>
      <c r="C607" s="21" t="s">
        <v>418</v>
      </c>
      <c r="D607" s="6"/>
      <c r="E607" s="7"/>
      <c r="F607" s="22"/>
      <c r="G607" s="23"/>
      <c r="H607" s="23"/>
    </row>
    <row r="608" spans="2:8" x14ac:dyDescent="0.25">
      <c r="B608" s="8" t="s">
        <v>9</v>
      </c>
      <c r="C608" s="24" t="s">
        <v>419</v>
      </c>
      <c r="D608" s="9"/>
      <c r="E608" s="10" t="s">
        <v>9</v>
      </c>
      <c r="F608" s="25"/>
      <c r="G608" s="26"/>
      <c r="H608" s="1" t="b">
        <f>IF(D609="x",H$2,H$1)</f>
        <v>0</v>
      </c>
    </row>
    <row r="609" spans="2:8" x14ac:dyDescent="0.25">
      <c r="B609" s="8" t="s">
        <v>10</v>
      </c>
      <c r="C609" s="24" t="s">
        <v>420</v>
      </c>
      <c r="D609" s="9"/>
      <c r="E609" s="10" t="s">
        <v>10</v>
      </c>
      <c r="F609" s="27" t="str">
        <f>IF(H610=1,IF(H608=H$2,H608,""),"")</f>
        <v/>
      </c>
      <c r="G609" s="26"/>
      <c r="H609" s="1" t="str">
        <f>IF(E667="comprobar",COUNTIF(D608:D612,"x"),"")</f>
        <v/>
      </c>
    </row>
    <row r="610" spans="2:8" x14ac:dyDescent="0.25">
      <c r="B610" s="8" t="s">
        <v>11</v>
      </c>
      <c r="C610" s="24" t="s">
        <v>421</v>
      </c>
      <c r="D610" s="9"/>
      <c r="E610" s="10" t="s">
        <v>11</v>
      </c>
      <c r="F610" s="28" t="str">
        <f>IF(H610=-0.33,IF(H608=H$1,H608,""),"")</f>
        <v/>
      </c>
      <c r="G610" s="26"/>
      <c r="H610" s="29">
        <f>IF(H609=1,IF(H608=H$2,1,-0.33),0)</f>
        <v>0</v>
      </c>
    </row>
    <row r="611" spans="2:8" x14ac:dyDescent="0.25">
      <c r="B611" s="8" t="s">
        <v>12</v>
      </c>
      <c r="C611" s="24" t="s">
        <v>422</v>
      </c>
      <c r="D611" s="9"/>
      <c r="E611" s="10" t="s">
        <v>12</v>
      </c>
      <c r="F611" s="25"/>
      <c r="G611" s="26"/>
      <c r="H611" s="26"/>
    </row>
    <row r="612" spans="2:8" x14ac:dyDescent="0.25">
      <c r="B612" s="11"/>
      <c r="C612" s="12"/>
      <c r="D612" s="9"/>
      <c r="E612" s="10" t="s">
        <v>13</v>
      </c>
      <c r="F612" s="30"/>
      <c r="G612" s="26"/>
      <c r="H612" s="26"/>
    </row>
    <row r="613" spans="2:8" x14ac:dyDescent="0.25">
      <c r="B613" s="5">
        <v>7</v>
      </c>
      <c r="C613" s="21" t="s">
        <v>423</v>
      </c>
      <c r="D613" s="6"/>
      <c r="E613" s="7"/>
      <c r="F613" s="22"/>
      <c r="G613" s="23"/>
      <c r="H613" s="23"/>
    </row>
    <row r="614" spans="2:8" x14ac:dyDescent="0.25">
      <c r="B614" s="8" t="s">
        <v>9</v>
      </c>
      <c r="C614" s="24" t="s">
        <v>424</v>
      </c>
      <c r="D614" s="9"/>
      <c r="E614" s="10" t="s">
        <v>9</v>
      </c>
      <c r="F614" s="25"/>
      <c r="G614" s="26"/>
      <c r="H614" s="1" t="b">
        <f>IF(D614="x",H$2,H$1)</f>
        <v>0</v>
      </c>
    </row>
    <row r="615" spans="2:8" x14ac:dyDescent="0.25">
      <c r="B615" s="8" t="s">
        <v>10</v>
      </c>
      <c r="C615" s="24" t="s">
        <v>425</v>
      </c>
      <c r="D615" s="9"/>
      <c r="E615" s="10" t="s">
        <v>10</v>
      </c>
      <c r="F615" s="27" t="str">
        <f>IF(H616=1,IF(H614=H$2,H614,""),"")</f>
        <v/>
      </c>
      <c r="G615" s="26"/>
      <c r="H615" s="1" t="str">
        <f>IF(E667="comprobar",COUNTIF(D614:D618,"x"),"")</f>
        <v/>
      </c>
    </row>
    <row r="616" spans="2:8" x14ac:dyDescent="0.25">
      <c r="B616" s="8" t="s">
        <v>11</v>
      </c>
      <c r="C616" s="24" t="s">
        <v>426</v>
      </c>
      <c r="D616" s="9"/>
      <c r="E616" s="10" t="s">
        <v>11</v>
      </c>
      <c r="F616" s="28" t="str">
        <f>IF(H616=-0.33,IF(H614=H$1,H614,""),"")</f>
        <v/>
      </c>
      <c r="G616" s="26"/>
      <c r="H616" s="29">
        <f>IF(H615=1,IF(H614=H$2,1,-0.33),0)</f>
        <v>0</v>
      </c>
    </row>
    <row r="617" spans="2:8" x14ac:dyDescent="0.25">
      <c r="B617" s="8" t="s">
        <v>12</v>
      </c>
      <c r="C617" s="24" t="s">
        <v>427</v>
      </c>
      <c r="D617" s="9"/>
      <c r="E617" s="10" t="s">
        <v>12</v>
      </c>
      <c r="F617" s="25"/>
      <c r="G617" s="26"/>
      <c r="H617" s="29"/>
    </row>
    <row r="618" spans="2:8" x14ac:dyDescent="0.25">
      <c r="B618" s="11"/>
      <c r="C618" s="12"/>
      <c r="D618" s="9"/>
      <c r="E618" s="10" t="s">
        <v>13</v>
      </c>
      <c r="F618" s="30"/>
      <c r="G618" s="26"/>
      <c r="H618" s="29"/>
    </row>
    <row r="619" spans="2:8" ht="31.5" x14ac:dyDescent="0.25">
      <c r="B619" s="5">
        <v>8</v>
      </c>
      <c r="C619" s="21" t="s">
        <v>428</v>
      </c>
      <c r="D619" s="6"/>
      <c r="E619" s="7"/>
      <c r="F619" s="22"/>
      <c r="G619" s="23"/>
      <c r="H619" s="23"/>
    </row>
    <row r="620" spans="2:8" x14ac:dyDescent="0.25">
      <c r="B620" s="8" t="s">
        <v>9</v>
      </c>
      <c r="C620" s="24" t="s">
        <v>429</v>
      </c>
      <c r="D620" s="9"/>
      <c r="E620" s="10" t="s">
        <v>9</v>
      </c>
      <c r="F620" s="25"/>
      <c r="G620" s="26"/>
      <c r="H620" s="1" t="b">
        <f>IF(D620="x",H$2,H$1)</f>
        <v>0</v>
      </c>
    </row>
    <row r="621" spans="2:8" x14ac:dyDescent="0.25">
      <c r="B621" s="8" t="s">
        <v>10</v>
      </c>
      <c r="C621" s="24" t="s">
        <v>430</v>
      </c>
      <c r="D621" s="9"/>
      <c r="E621" s="10" t="s">
        <v>10</v>
      </c>
      <c r="F621" s="27" t="str">
        <f>IF(H622=1,IF(H620=H$2,H620,""),"")</f>
        <v/>
      </c>
      <c r="G621" s="26"/>
      <c r="H621" s="1" t="str">
        <f>IF(E667="comprobar",COUNTIF(D620:D624,"x"),"")</f>
        <v/>
      </c>
    </row>
    <row r="622" spans="2:8" x14ac:dyDescent="0.25">
      <c r="B622" s="8" t="s">
        <v>11</v>
      </c>
      <c r="C622" s="24" t="s">
        <v>431</v>
      </c>
      <c r="D622" s="9"/>
      <c r="E622" s="10" t="s">
        <v>11</v>
      </c>
      <c r="F622" s="28" t="str">
        <f>IF(H622=-0.33,IF(H620=H$1,H620,""),"")</f>
        <v/>
      </c>
      <c r="G622" s="26"/>
      <c r="H622" s="29">
        <f>IF(H621=1,IF(H620=H$2,1,-0.33),0)</f>
        <v>0</v>
      </c>
    </row>
    <row r="623" spans="2:8" x14ac:dyDescent="0.25">
      <c r="B623" s="8" t="s">
        <v>12</v>
      </c>
      <c r="C623" s="24" t="s">
        <v>432</v>
      </c>
      <c r="D623" s="9"/>
      <c r="E623" s="10" t="s">
        <v>12</v>
      </c>
      <c r="F623" s="25"/>
      <c r="G623" s="26"/>
      <c r="H623" s="29"/>
    </row>
    <row r="624" spans="2:8" x14ac:dyDescent="0.25">
      <c r="B624" s="11"/>
      <c r="C624" s="12"/>
      <c r="D624" s="9"/>
      <c r="E624" s="10" t="s">
        <v>13</v>
      </c>
      <c r="F624" s="30"/>
      <c r="G624" s="26"/>
      <c r="H624" s="29"/>
    </row>
    <row r="625" spans="2:8" x14ac:dyDescent="0.25">
      <c r="B625" s="5">
        <v>9</v>
      </c>
      <c r="C625" s="21" t="s">
        <v>433</v>
      </c>
      <c r="D625" s="6"/>
      <c r="E625" s="7"/>
      <c r="F625" s="22"/>
      <c r="G625" s="23"/>
      <c r="H625" s="23"/>
    </row>
    <row r="626" spans="2:8" x14ac:dyDescent="0.25">
      <c r="B626" s="8" t="s">
        <v>9</v>
      </c>
      <c r="C626" s="24" t="s">
        <v>434</v>
      </c>
      <c r="D626" s="9"/>
      <c r="E626" s="10" t="s">
        <v>9</v>
      </c>
      <c r="F626" s="25"/>
      <c r="G626" s="26"/>
      <c r="H626" s="1" t="b">
        <f>IF(D626="x",H$2,H$1)</f>
        <v>0</v>
      </c>
    </row>
    <row r="627" spans="2:8" x14ac:dyDescent="0.25">
      <c r="B627" s="8" t="s">
        <v>10</v>
      </c>
      <c r="C627" s="24" t="s">
        <v>435</v>
      </c>
      <c r="D627" s="9"/>
      <c r="E627" s="10" t="s">
        <v>10</v>
      </c>
      <c r="F627" s="27" t="str">
        <f>IF(H628=1,IF(H626=H$2,H626,""),"")</f>
        <v/>
      </c>
      <c r="G627" s="26"/>
      <c r="H627" s="1" t="str">
        <f>IF(E667="comprobar",COUNTIF(D626:D630,"x"),"")</f>
        <v/>
      </c>
    </row>
    <row r="628" spans="2:8" x14ac:dyDescent="0.25">
      <c r="B628" s="8" t="s">
        <v>11</v>
      </c>
      <c r="C628" s="24" t="s">
        <v>436</v>
      </c>
      <c r="D628" s="9"/>
      <c r="E628" s="10" t="s">
        <v>11</v>
      </c>
      <c r="F628" s="28" t="str">
        <f>IF(H628=-0.33,IF(H626=H$1,H626,""),"")</f>
        <v/>
      </c>
      <c r="G628" s="26"/>
      <c r="H628" s="29">
        <f>IF(H627=1,IF(H626=H$2,1,-0.33),0)</f>
        <v>0</v>
      </c>
    </row>
    <row r="629" spans="2:8" x14ac:dyDescent="0.25">
      <c r="B629" s="8" t="s">
        <v>12</v>
      </c>
      <c r="C629" s="24" t="s">
        <v>437</v>
      </c>
      <c r="D629" s="9"/>
      <c r="E629" s="10" t="s">
        <v>12</v>
      </c>
      <c r="F629" s="25"/>
      <c r="G629" s="26"/>
      <c r="H629" s="1"/>
    </row>
    <row r="630" spans="2:8" x14ac:dyDescent="0.25">
      <c r="B630" s="11"/>
      <c r="C630" s="12"/>
      <c r="D630" s="9"/>
      <c r="E630" s="10" t="s">
        <v>13</v>
      </c>
      <c r="F630" s="30"/>
      <c r="G630" s="26"/>
      <c r="H630" s="15"/>
    </row>
    <row r="631" spans="2:8" ht="31.5" x14ac:dyDescent="0.25">
      <c r="B631" s="5">
        <v>10</v>
      </c>
      <c r="C631" s="21" t="s">
        <v>438</v>
      </c>
      <c r="D631" s="6"/>
      <c r="E631" s="7"/>
      <c r="F631" s="22"/>
      <c r="G631" s="31"/>
      <c r="H631" s="31"/>
    </row>
    <row r="632" spans="2:8" x14ac:dyDescent="0.25">
      <c r="B632" s="8" t="s">
        <v>9</v>
      </c>
      <c r="C632" s="24" t="s">
        <v>439</v>
      </c>
      <c r="D632" s="9"/>
      <c r="E632" s="10" t="s">
        <v>9</v>
      </c>
      <c r="F632" s="25"/>
      <c r="G632" s="32"/>
      <c r="H632" s="1" t="b">
        <f>IF(D634="x",H$2,H$1)</f>
        <v>0</v>
      </c>
    </row>
    <row r="633" spans="2:8" x14ac:dyDescent="0.25">
      <c r="B633" s="8" t="s">
        <v>10</v>
      </c>
      <c r="C633" s="24" t="s">
        <v>402</v>
      </c>
      <c r="D633" s="9"/>
      <c r="E633" s="10" t="s">
        <v>10</v>
      </c>
      <c r="F633" s="27" t="str">
        <f>IF(H634=1,IF(H632=H$2,H632,""),"")</f>
        <v/>
      </c>
      <c r="G633" s="32"/>
      <c r="H633" s="1" t="str">
        <f>IF(E667="comprobar",COUNTIF(D632:D636,"x"),"")</f>
        <v/>
      </c>
    </row>
    <row r="634" spans="2:8" x14ac:dyDescent="0.25">
      <c r="B634" s="8" t="s">
        <v>11</v>
      </c>
      <c r="C634" s="24" t="s">
        <v>400</v>
      </c>
      <c r="D634" s="9"/>
      <c r="E634" s="10" t="s">
        <v>11</v>
      </c>
      <c r="F634" s="28" t="str">
        <f>IF(H634=-0.33,IF(H632=H$1,H632,""),"")</f>
        <v/>
      </c>
      <c r="G634" s="32"/>
      <c r="H634" s="29">
        <f>IF(H633=1,IF(H632=H$2,1,-0.33),0)</f>
        <v>0</v>
      </c>
    </row>
    <row r="635" spans="2:8" x14ac:dyDescent="0.25">
      <c r="B635" s="8" t="s">
        <v>12</v>
      </c>
      <c r="C635" s="24" t="s">
        <v>440</v>
      </c>
      <c r="D635" s="9"/>
      <c r="E635" s="10" t="s">
        <v>12</v>
      </c>
      <c r="F635" s="25"/>
      <c r="G635" s="32"/>
      <c r="H635" s="29"/>
    </row>
    <row r="636" spans="2:8" x14ac:dyDescent="0.25">
      <c r="B636" s="11"/>
      <c r="C636" s="12"/>
      <c r="D636" s="9"/>
      <c r="E636" s="10" t="s">
        <v>13</v>
      </c>
      <c r="F636" s="30"/>
      <c r="G636" s="32"/>
      <c r="H636" s="29"/>
    </row>
    <row r="637" spans="2:8" x14ac:dyDescent="0.25">
      <c r="B637" s="5">
        <v>11</v>
      </c>
      <c r="C637" s="21" t="s">
        <v>441</v>
      </c>
      <c r="D637" s="6"/>
      <c r="E637" s="7"/>
      <c r="F637" s="22"/>
      <c r="G637" s="31"/>
      <c r="H637" s="31"/>
    </row>
    <row r="638" spans="2:8" x14ac:dyDescent="0.25">
      <c r="B638" s="8" t="s">
        <v>9</v>
      </c>
      <c r="C638" s="24" t="s">
        <v>442</v>
      </c>
      <c r="D638" s="9"/>
      <c r="E638" s="10" t="s">
        <v>9</v>
      </c>
      <c r="F638" s="25"/>
      <c r="G638" s="32"/>
      <c r="H638" s="1" t="b">
        <f>IF(D640="x",H$2,H$1)</f>
        <v>0</v>
      </c>
    </row>
    <row r="639" spans="2:8" x14ac:dyDescent="0.25">
      <c r="B639" s="8" t="s">
        <v>10</v>
      </c>
      <c r="C639" s="24" t="s">
        <v>443</v>
      </c>
      <c r="D639" s="9"/>
      <c r="E639" s="10" t="s">
        <v>10</v>
      </c>
      <c r="F639" s="27" t="str">
        <f>IF(H640=1,IF(H638=H$2,H638,""),"")</f>
        <v/>
      </c>
      <c r="G639" s="32"/>
      <c r="H639" s="1" t="str">
        <f>IF(E667="comprobar",COUNTIF(D638:D642,"x"),"")</f>
        <v/>
      </c>
    </row>
    <row r="640" spans="2:8" x14ac:dyDescent="0.25">
      <c r="B640" s="8" t="s">
        <v>11</v>
      </c>
      <c r="C640" s="24" t="s">
        <v>411</v>
      </c>
      <c r="D640" s="9"/>
      <c r="E640" s="10" t="s">
        <v>11</v>
      </c>
      <c r="F640" s="28" t="str">
        <f>IF(H640=-0.33,IF(H638=H$1,H638,""),"")</f>
        <v/>
      </c>
      <c r="G640" s="32"/>
      <c r="H640" s="29">
        <f>IF(H639=1,IF(H638=H$2,1,-0.33),0)</f>
        <v>0</v>
      </c>
    </row>
    <row r="641" spans="2:8" x14ac:dyDescent="0.25">
      <c r="B641" s="8" t="s">
        <v>12</v>
      </c>
      <c r="C641" s="24" t="s">
        <v>444</v>
      </c>
      <c r="D641" s="9"/>
      <c r="E641" s="10" t="s">
        <v>12</v>
      </c>
      <c r="F641" s="25"/>
      <c r="G641" s="32"/>
      <c r="H641" s="29"/>
    </row>
    <row r="642" spans="2:8" x14ac:dyDescent="0.25">
      <c r="B642" s="11"/>
      <c r="C642" s="12"/>
      <c r="D642" s="9"/>
      <c r="E642" s="10"/>
      <c r="F642" s="25"/>
      <c r="G642" s="32"/>
      <c r="H642" s="29"/>
    </row>
    <row r="643" spans="2:8" x14ac:dyDescent="0.25">
      <c r="B643" s="5">
        <v>12</v>
      </c>
      <c r="C643" s="21" t="s">
        <v>445</v>
      </c>
      <c r="D643" s="6"/>
      <c r="E643" s="7"/>
      <c r="F643" s="22"/>
      <c r="G643" s="23"/>
      <c r="H643" s="23"/>
    </row>
    <row r="644" spans="2:8" x14ac:dyDescent="0.25">
      <c r="B644" s="8" t="s">
        <v>9</v>
      </c>
      <c r="C644" s="24" t="s">
        <v>446</v>
      </c>
      <c r="D644" s="9"/>
      <c r="E644" s="10" t="s">
        <v>9</v>
      </c>
      <c r="F644" s="25"/>
      <c r="G644" s="26"/>
      <c r="H644" s="1" t="b">
        <f>IF(D646="x",H$2,H$1)</f>
        <v>0</v>
      </c>
    </row>
    <row r="645" spans="2:8" x14ac:dyDescent="0.25">
      <c r="B645" s="8" t="s">
        <v>10</v>
      </c>
      <c r="C645" s="24" t="s">
        <v>447</v>
      </c>
      <c r="D645" s="9"/>
      <c r="E645" s="10" t="s">
        <v>10</v>
      </c>
      <c r="F645" s="27" t="str">
        <f>IF(H646=1,IF(H644=H$2,H644,""),"")</f>
        <v/>
      </c>
      <c r="G645" s="26"/>
      <c r="H645" s="1" t="str">
        <f>IF(E667="comprobar",COUNTIF(D644:D648,"x"),"")</f>
        <v/>
      </c>
    </row>
    <row r="646" spans="2:8" x14ac:dyDescent="0.25">
      <c r="B646" s="8" t="s">
        <v>11</v>
      </c>
      <c r="C646" s="24" t="s">
        <v>448</v>
      </c>
      <c r="D646" s="9"/>
      <c r="E646" s="10" t="s">
        <v>11</v>
      </c>
      <c r="F646" s="28" t="str">
        <f>IF(H646=-0.33,IF(H644=H$1,H644,""),"")</f>
        <v/>
      </c>
      <c r="G646" s="26"/>
      <c r="H646" s="29">
        <f>IF(H645=1,IF(H644=H$2,1,-0.33),0)</f>
        <v>0</v>
      </c>
    </row>
    <row r="647" spans="2:8" x14ac:dyDescent="0.25">
      <c r="B647" s="8" t="s">
        <v>12</v>
      </c>
      <c r="C647" s="24" t="s">
        <v>449</v>
      </c>
      <c r="D647" s="9"/>
      <c r="E647" s="10" t="s">
        <v>12</v>
      </c>
      <c r="F647" s="25"/>
      <c r="G647" s="26"/>
      <c r="H647" s="29"/>
    </row>
    <row r="648" spans="2:8" x14ac:dyDescent="0.25">
      <c r="B648" s="11"/>
      <c r="C648" s="12"/>
      <c r="D648" s="9"/>
      <c r="E648" s="10" t="s">
        <v>13</v>
      </c>
      <c r="F648" s="30"/>
      <c r="G648" s="26"/>
      <c r="H648" s="29"/>
    </row>
    <row r="649" spans="2:8" ht="31.5" x14ac:dyDescent="0.25">
      <c r="B649" s="5">
        <v>13</v>
      </c>
      <c r="C649" s="21" t="s">
        <v>450</v>
      </c>
      <c r="D649" s="6"/>
      <c r="E649" s="7"/>
      <c r="F649" s="22"/>
      <c r="G649" s="23"/>
      <c r="H649" s="23"/>
    </row>
    <row r="650" spans="2:8" x14ac:dyDescent="0.25">
      <c r="B650" s="8" t="s">
        <v>9</v>
      </c>
      <c r="C650" s="24" t="s">
        <v>451</v>
      </c>
      <c r="D650" s="9"/>
      <c r="E650" s="10" t="s">
        <v>9</v>
      </c>
      <c r="F650" s="25"/>
      <c r="G650" s="26"/>
      <c r="H650" s="1" t="b">
        <f>IF(D651="x",H$2,H$1)</f>
        <v>0</v>
      </c>
    </row>
    <row r="651" spans="2:8" x14ac:dyDescent="0.25">
      <c r="B651" s="8" t="s">
        <v>10</v>
      </c>
      <c r="C651" s="24" t="s">
        <v>452</v>
      </c>
      <c r="D651" s="9"/>
      <c r="E651" s="10" t="s">
        <v>10</v>
      </c>
      <c r="F651" s="27" t="str">
        <f>IF(H652=1,IF(H650=H$2,H650,""),"")</f>
        <v/>
      </c>
      <c r="G651" s="26"/>
      <c r="H651" s="1" t="str">
        <f>IF(E667="comprobar",COUNTIF(D650:D654,"x"),"")</f>
        <v/>
      </c>
    </row>
    <row r="652" spans="2:8" x14ac:dyDescent="0.25">
      <c r="B652" s="8" t="s">
        <v>11</v>
      </c>
      <c r="C652" s="24" t="s">
        <v>453</v>
      </c>
      <c r="D652" s="9"/>
      <c r="E652" s="10" t="s">
        <v>11</v>
      </c>
      <c r="F652" s="28" t="str">
        <f>IF(H652=-0.33,IF(H650=H$1,H650,""),"")</f>
        <v/>
      </c>
      <c r="G652" s="26"/>
      <c r="H652" s="29">
        <f t="shared" ref="H652" si="13">IF(H651=1,IF(H650=H$2,1,-0.33),0)</f>
        <v>0</v>
      </c>
    </row>
    <row r="653" spans="2:8" x14ac:dyDescent="0.25">
      <c r="B653" s="8" t="s">
        <v>12</v>
      </c>
      <c r="C653" s="24" t="s">
        <v>454</v>
      </c>
      <c r="D653" s="9"/>
      <c r="E653" s="10" t="s">
        <v>12</v>
      </c>
      <c r="F653" s="25"/>
      <c r="G653" s="26"/>
      <c r="H653" s="26"/>
    </row>
    <row r="654" spans="2:8" x14ac:dyDescent="0.25">
      <c r="B654" s="11"/>
      <c r="C654" s="12"/>
      <c r="D654" s="9"/>
      <c r="E654" s="10" t="s">
        <v>13</v>
      </c>
      <c r="F654" s="30"/>
      <c r="G654" s="26"/>
      <c r="H654" s="26"/>
    </row>
    <row r="655" spans="2:8" x14ac:dyDescent="0.25">
      <c r="B655" s="5">
        <v>14</v>
      </c>
      <c r="C655" s="21" t="s">
        <v>455</v>
      </c>
      <c r="D655" s="6"/>
      <c r="E655" s="7"/>
      <c r="F655" s="22"/>
      <c r="G655" s="23"/>
      <c r="H655" s="23"/>
    </row>
    <row r="656" spans="2:8" x14ac:dyDescent="0.25">
      <c r="B656" s="8" t="s">
        <v>9</v>
      </c>
      <c r="C656" s="24" t="s">
        <v>456</v>
      </c>
      <c r="D656" s="9"/>
      <c r="E656" s="10" t="s">
        <v>9</v>
      </c>
      <c r="F656" s="25"/>
      <c r="G656" s="26"/>
      <c r="H656" s="1" t="b">
        <f>IF(D656="x",H$2,H$1)</f>
        <v>0</v>
      </c>
    </row>
    <row r="657" spans="2:8" x14ac:dyDescent="0.25">
      <c r="B657" s="8" t="s">
        <v>10</v>
      </c>
      <c r="C657" s="24" t="s">
        <v>457</v>
      </c>
      <c r="D657" s="9"/>
      <c r="E657" s="10" t="s">
        <v>10</v>
      </c>
      <c r="F657" s="27" t="str">
        <f>IF(H658=1,IF(H656=H$2,H656,""),"")</f>
        <v/>
      </c>
      <c r="G657" s="26"/>
      <c r="H657" s="1" t="str">
        <f>IF(E667="comprobar",COUNTIF(D656:D660,"x"),"")</f>
        <v/>
      </c>
    </row>
    <row r="658" spans="2:8" x14ac:dyDescent="0.25">
      <c r="B658" s="8" t="s">
        <v>11</v>
      </c>
      <c r="C658" s="24" t="s">
        <v>458</v>
      </c>
      <c r="D658" s="9"/>
      <c r="E658" s="10" t="s">
        <v>11</v>
      </c>
      <c r="F658" s="28" t="str">
        <f>IF(H658=-0.33,IF(H656=H$1,H656,""),"")</f>
        <v/>
      </c>
      <c r="G658" s="26"/>
      <c r="H658" s="29">
        <f>IF(H657=1,IF(H656=H$2,1,-0.33),0)</f>
        <v>0</v>
      </c>
    </row>
    <row r="659" spans="2:8" x14ac:dyDescent="0.25">
      <c r="B659" s="8" t="s">
        <v>12</v>
      </c>
      <c r="C659" s="24" t="s">
        <v>449</v>
      </c>
      <c r="D659" s="9"/>
      <c r="E659" s="10" t="s">
        <v>12</v>
      </c>
      <c r="F659" s="25"/>
      <c r="G659" s="26"/>
      <c r="H659" s="26"/>
    </row>
    <row r="660" spans="2:8" x14ac:dyDescent="0.25">
      <c r="B660" s="11"/>
      <c r="C660" s="12"/>
      <c r="D660" s="9"/>
      <c r="E660" s="10" t="s">
        <v>13</v>
      </c>
      <c r="F660" s="30"/>
      <c r="G660" s="26"/>
      <c r="H660" s="26"/>
    </row>
    <row r="661" spans="2:8" ht="31.5" x14ac:dyDescent="0.25">
      <c r="B661" s="5">
        <v>15</v>
      </c>
      <c r="C661" s="21" t="s">
        <v>459</v>
      </c>
      <c r="D661" s="6"/>
      <c r="E661" s="7"/>
      <c r="F661" s="22"/>
      <c r="G661" s="23"/>
      <c r="H661" s="23"/>
    </row>
    <row r="662" spans="2:8" x14ac:dyDescent="0.25">
      <c r="B662" s="8" t="s">
        <v>9</v>
      </c>
      <c r="C662" s="24" t="s">
        <v>460</v>
      </c>
      <c r="D662" s="9"/>
      <c r="E662" s="10" t="s">
        <v>9</v>
      </c>
      <c r="F662" s="25"/>
      <c r="G662" s="26"/>
      <c r="H662" s="1" t="b">
        <f>IF(D664="x",H$2,H$1)</f>
        <v>0</v>
      </c>
    </row>
    <row r="663" spans="2:8" x14ac:dyDescent="0.25">
      <c r="B663" s="8" t="s">
        <v>10</v>
      </c>
      <c r="C663" s="24" t="s">
        <v>461</v>
      </c>
      <c r="D663" s="9"/>
      <c r="E663" s="10" t="s">
        <v>10</v>
      </c>
      <c r="F663" s="27" t="str">
        <f>IF(H664=1,IF(H662=H$2,H662,""),"")</f>
        <v/>
      </c>
      <c r="G663" s="26"/>
      <c r="H663" s="1" t="str">
        <f>IF(E667="comprobar",COUNTIF(D662:D666,"x"),"")</f>
        <v/>
      </c>
    </row>
    <row r="664" spans="2:8" x14ac:dyDescent="0.25">
      <c r="B664" s="8" t="s">
        <v>11</v>
      </c>
      <c r="C664" s="24" t="s">
        <v>462</v>
      </c>
      <c r="D664" s="9"/>
      <c r="E664" s="10" t="s">
        <v>11</v>
      </c>
      <c r="F664" s="28" t="str">
        <f>IF(H664=-0.33,IF(H662=H$1,H662,""),"")</f>
        <v/>
      </c>
      <c r="G664" s="26"/>
      <c r="H664" s="29">
        <f>IF(H663=1,IF(H662=H$2,1,-0.33),0)</f>
        <v>0</v>
      </c>
    </row>
    <row r="665" spans="2:8" x14ac:dyDescent="0.25">
      <c r="B665" s="8" t="s">
        <v>12</v>
      </c>
      <c r="C665" s="24" t="s">
        <v>463</v>
      </c>
      <c r="D665" s="9"/>
      <c r="E665" s="10" t="s">
        <v>12</v>
      </c>
      <c r="F665" s="25"/>
      <c r="G665" s="26"/>
      <c r="H665" s="29"/>
    </row>
    <row r="666" spans="2:8" x14ac:dyDescent="0.25">
      <c r="B666" s="11"/>
      <c r="C666" s="12"/>
      <c r="D666" s="9"/>
      <c r="E666" s="10" t="s">
        <v>13</v>
      </c>
      <c r="F666" s="30"/>
      <c r="G666" s="26"/>
      <c r="H666" s="29"/>
    </row>
    <row r="667" spans="2:8" x14ac:dyDescent="0.25">
      <c r="B667" s="33"/>
      <c r="C667" s="4"/>
      <c r="D667" s="34"/>
      <c r="E667" s="35"/>
      <c r="F667" s="30"/>
      <c r="G667" s="26"/>
      <c r="H667" s="26"/>
    </row>
    <row r="668" spans="2:8" x14ac:dyDescent="0.25">
      <c r="B668" s="33"/>
      <c r="C668" s="4"/>
      <c r="D668" s="34"/>
      <c r="E668" s="36"/>
      <c r="F668" s="37" t="s">
        <v>8</v>
      </c>
      <c r="G668" s="26" t="s">
        <v>6</v>
      </c>
      <c r="H668" s="26" t="s">
        <v>7</v>
      </c>
    </row>
    <row r="669" spans="2:8" ht="19.5" x14ac:dyDescent="0.25">
      <c r="B669" s="33"/>
      <c r="C669" s="38"/>
      <c r="D669" s="51"/>
      <c r="E669" s="51"/>
      <c r="F669" s="39" t="str">
        <f>IF(E667="comprobar",H634+H628+H622+H616+H610+H604+H598+H592+H586+H580+H640+H646+H652+H658+H664,"")</f>
        <v/>
      </c>
      <c r="G669" s="26">
        <f>10/2</f>
        <v>5</v>
      </c>
      <c r="H669" s="26"/>
    </row>
    <row r="670" spans="2:8" ht="16.5" thickBot="1" x14ac:dyDescent="0.3">
      <c r="B670" s="40"/>
      <c r="C670" s="41"/>
      <c r="D670" s="42"/>
      <c r="E670" s="43"/>
      <c r="F670" s="44" t="str">
        <f>IF(F669&gt;G669,G668,H668)</f>
        <v>APROBADO</v>
      </c>
      <c r="G670" s="26"/>
      <c r="H670" s="26"/>
    </row>
    <row r="671" spans="2:8" ht="28.5" x14ac:dyDescent="0.45">
      <c r="B671" s="19" t="s">
        <v>81</v>
      </c>
      <c r="C671" s="49" t="s">
        <v>14</v>
      </c>
      <c r="D671" s="49"/>
      <c r="E671" s="49"/>
      <c r="F671" s="50"/>
      <c r="G671" s="20"/>
      <c r="H671" s="20"/>
    </row>
    <row r="672" spans="2:8" x14ac:dyDescent="0.25">
      <c r="B672" s="5">
        <v>1</v>
      </c>
      <c r="C672" s="21" t="s">
        <v>399</v>
      </c>
      <c r="D672" s="6"/>
      <c r="E672" s="7"/>
      <c r="F672" s="22"/>
      <c r="G672" s="23"/>
      <c r="H672" s="23"/>
    </row>
    <row r="673" spans="2:8" x14ac:dyDescent="0.25">
      <c r="B673" s="8" t="s">
        <v>9</v>
      </c>
      <c r="C673" s="24" t="s">
        <v>400</v>
      </c>
      <c r="D673" s="9"/>
      <c r="E673" s="10" t="s">
        <v>9</v>
      </c>
      <c r="F673" s="25"/>
      <c r="G673" s="26"/>
      <c r="H673" s="1" t="b">
        <f>IF(D673="x",H$2,H$1)</f>
        <v>0</v>
      </c>
    </row>
    <row r="674" spans="2:8" x14ac:dyDescent="0.25">
      <c r="B674" s="8" t="s">
        <v>10</v>
      </c>
      <c r="C674" s="24" t="s">
        <v>401</v>
      </c>
      <c r="D674" s="9"/>
      <c r="E674" s="10" t="s">
        <v>10</v>
      </c>
      <c r="F674" s="27" t="str">
        <f>IF(H675=1,IF(H673=H$2,H673,""),"")</f>
        <v/>
      </c>
      <c r="G674" s="26"/>
      <c r="H674" s="1" t="str">
        <f>IF(E762="comprobar",COUNTIF(D673:D677,"x"),"")</f>
        <v/>
      </c>
    </row>
    <row r="675" spans="2:8" x14ac:dyDescent="0.25">
      <c r="B675" s="8" t="s">
        <v>11</v>
      </c>
      <c r="C675" s="24" t="s">
        <v>402</v>
      </c>
      <c r="D675" s="9"/>
      <c r="E675" s="10" t="s">
        <v>11</v>
      </c>
      <c r="F675" s="28" t="str">
        <f>IF(H675=-0.33,IF(H673=H$1,H673,""),"")</f>
        <v/>
      </c>
      <c r="G675" s="26"/>
      <c r="H675" s="29">
        <f>IF(H674=1,IF(H673=H$2,1,-0.33),0)</f>
        <v>0</v>
      </c>
    </row>
    <row r="676" spans="2:8" x14ac:dyDescent="0.25">
      <c r="B676" s="8" t="s">
        <v>12</v>
      </c>
      <c r="C676" s="24" t="s">
        <v>368</v>
      </c>
      <c r="D676" s="9"/>
      <c r="E676" s="10" t="s">
        <v>12</v>
      </c>
      <c r="F676" s="25"/>
      <c r="G676" s="26"/>
      <c r="H676" s="29"/>
    </row>
    <row r="677" spans="2:8" x14ac:dyDescent="0.25">
      <c r="B677" s="11"/>
      <c r="C677" s="12"/>
      <c r="D677" s="9"/>
      <c r="E677" s="10" t="s">
        <v>13</v>
      </c>
      <c r="F677" s="30"/>
      <c r="G677" s="26"/>
      <c r="H677" s="29"/>
    </row>
    <row r="678" spans="2:8" ht="31.5" x14ac:dyDescent="0.25">
      <c r="B678" s="5">
        <v>2</v>
      </c>
      <c r="C678" s="21" t="s">
        <v>464</v>
      </c>
      <c r="D678" s="6"/>
      <c r="E678" s="7"/>
      <c r="F678" s="22"/>
      <c r="G678" s="23"/>
      <c r="H678" s="23"/>
    </row>
    <row r="679" spans="2:8" x14ac:dyDescent="0.25">
      <c r="B679" s="8" t="s">
        <v>9</v>
      </c>
      <c r="C679" s="24" t="s">
        <v>465</v>
      </c>
      <c r="D679" s="9"/>
      <c r="E679" s="10" t="s">
        <v>9</v>
      </c>
      <c r="F679" s="25"/>
      <c r="G679" s="26"/>
      <c r="H679" s="1" t="b">
        <f>IF(D680="x",H$2,H$1)</f>
        <v>0</v>
      </c>
    </row>
    <row r="680" spans="2:8" x14ac:dyDescent="0.25">
      <c r="B680" s="8" t="s">
        <v>10</v>
      </c>
      <c r="C680" s="24" t="s">
        <v>466</v>
      </c>
      <c r="D680" s="9"/>
      <c r="E680" s="10" t="s">
        <v>10</v>
      </c>
      <c r="F680" s="27" t="str">
        <f>IF(H681=1,IF(H679=H$2,H679,""),"")</f>
        <v/>
      </c>
      <c r="G680" s="26"/>
      <c r="H680" s="1" t="str">
        <f>IF(E762="comprobar",COUNTIF(D679:D683,"x"),"")</f>
        <v/>
      </c>
    </row>
    <row r="681" spans="2:8" x14ac:dyDescent="0.25">
      <c r="B681" s="8" t="s">
        <v>11</v>
      </c>
      <c r="C681" s="24" t="s">
        <v>467</v>
      </c>
      <c r="D681" s="9"/>
      <c r="E681" s="10" t="s">
        <v>11</v>
      </c>
      <c r="F681" s="28" t="str">
        <f>IF(H681=-0.33,IF(H679=H$1,H679,""),"")</f>
        <v/>
      </c>
      <c r="G681" s="26"/>
      <c r="H681" s="29">
        <f>IF(H680=1,IF(H679=H$2,1,-0.33),0)</f>
        <v>0</v>
      </c>
    </row>
    <row r="682" spans="2:8" x14ac:dyDescent="0.25">
      <c r="B682" s="8" t="s">
        <v>12</v>
      </c>
      <c r="C682" s="24" t="s">
        <v>468</v>
      </c>
      <c r="D682" s="9"/>
      <c r="E682" s="10" t="s">
        <v>12</v>
      </c>
      <c r="F682" s="25"/>
      <c r="G682" s="26"/>
      <c r="H682" s="26"/>
    </row>
    <row r="683" spans="2:8" x14ac:dyDescent="0.25">
      <c r="B683" s="11"/>
      <c r="C683" s="12"/>
      <c r="D683" s="9"/>
      <c r="E683" s="10" t="s">
        <v>13</v>
      </c>
      <c r="F683" s="30"/>
      <c r="G683" s="26"/>
      <c r="H683" s="26"/>
    </row>
    <row r="684" spans="2:8" ht="31.5" x14ac:dyDescent="0.25">
      <c r="B684" s="5">
        <v>3</v>
      </c>
      <c r="C684" s="21" t="s">
        <v>469</v>
      </c>
      <c r="D684" s="6"/>
      <c r="E684" s="7"/>
      <c r="F684" s="22"/>
      <c r="G684" s="23"/>
      <c r="H684" s="23"/>
    </row>
    <row r="685" spans="2:8" x14ac:dyDescent="0.25">
      <c r="B685" s="8" t="s">
        <v>9</v>
      </c>
      <c r="C685" s="24" t="s">
        <v>470</v>
      </c>
      <c r="D685" s="9"/>
      <c r="E685" s="10" t="s">
        <v>9</v>
      </c>
      <c r="F685" s="25"/>
      <c r="G685" s="26"/>
      <c r="H685" s="1" t="b">
        <f>IF(D686="x",H$2,H$1)</f>
        <v>0</v>
      </c>
    </row>
    <row r="686" spans="2:8" x14ac:dyDescent="0.25">
      <c r="B686" s="8" t="s">
        <v>10</v>
      </c>
      <c r="C686" s="24" t="s">
        <v>471</v>
      </c>
      <c r="D686" s="9"/>
      <c r="E686" s="10" t="s">
        <v>10</v>
      </c>
      <c r="F686" s="27" t="str">
        <f>IF(H687=1,IF(H685=H$2,H685,""),"")</f>
        <v/>
      </c>
      <c r="G686" s="26"/>
      <c r="H686" s="1" t="str">
        <f>IF(E762="comprobar",COUNTIF(D685:D689,"x"),"")</f>
        <v/>
      </c>
    </row>
    <row r="687" spans="2:8" x14ac:dyDescent="0.25">
      <c r="B687" s="8" t="s">
        <v>11</v>
      </c>
      <c r="C687" s="24" t="s">
        <v>472</v>
      </c>
      <c r="D687" s="9"/>
      <c r="E687" s="10" t="s">
        <v>11</v>
      </c>
      <c r="F687" s="28" t="str">
        <f>IF(H687=-0.33,IF(H685=H$1,H685,""),"")</f>
        <v/>
      </c>
      <c r="G687" s="26"/>
      <c r="H687" s="29">
        <f>IF(H686=1,IF(H685=H$2,1,-0.33),0)</f>
        <v>0</v>
      </c>
    </row>
    <row r="688" spans="2:8" x14ac:dyDescent="0.25">
      <c r="B688" s="8" t="s">
        <v>12</v>
      </c>
      <c r="C688" s="24" t="s">
        <v>473</v>
      </c>
      <c r="D688" s="9"/>
      <c r="E688" s="10" t="s">
        <v>12</v>
      </c>
      <c r="F688" s="25"/>
      <c r="G688" s="26"/>
      <c r="H688" s="29"/>
    </row>
    <row r="689" spans="2:8" x14ac:dyDescent="0.25">
      <c r="B689" s="11"/>
      <c r="C689" s="12"/>
      <c r="D689" s="9"/>
      <c r="E689" s="10" t="s">
        <v>13</v>
      </c>
      <c r="F689" s="30"/>
      <c r="G689" s="26"/>
      <c r="H689" s="29"/>
    </row>
    <row r="690" spans="2:8" x14ac:dyDescent="0.25">
      <c r="B690" s="5">
        <v>4</v>
      </c>
      <c r="C690" s="21" t="s">
        <v>474</v>
      </c>
      <c r="D690" s="6"/>
      <c r="E690" s="7"/>
      <c r="F690" s="22"/>
      <c r="G690" s="23"/>
      <c r="H690" s="23"/>
    </row>
    <row r="691" spans="2:8" x14ac:dyDescent="0.25">
      <c r="B691" s="8" t="s">
        <v>9</v>
      </c>
      <c r="C691" s="24" t="s">
        <v>475</v>
      </c>
      <c r="D691" s="9"/>
      <c r="E691" s="10" t="s">
        <v>9</v>
      </c>
      <c r="F691" s="25"/>
      <c r="G691" s="26"/>
      <c r="H691" s="1" t="b">
        <f>IF(D694="x",H$2,H$1)</f>
        <v>0</v>
      </c>
    </row>
    <row r="692" spans="2:8" x14ac:dyDescent="0.25">
      <c r="B692" s="8" t="s">
        <v>10</v>
      </c>
      <c r="C692" s="24" t="s">
        <v>476</v>
      </c>
      <c r="D692" s="9"/>
      <c r="E692" s="10" t="s">
        <v>10</v>
      </c>
      <c r="F692" s="27" t="str">
        <f>IF(H693=1,IF(H691=H$2,H691,""),"")</f>
        <v/>
      </c>
      <c r="G692" s="26"/>
      <c r="H692" s="1" t="str">
        <f>IF(E762="comprobar",COUNTIF(D691:D695,"x"),"")</f>
        <v/>
      </c>
    </row>
    <row r="693" spans="2:8" x14ac:dyDescent="0.25">
      <c r="B693" s="8" t="s">
        <v>11</v>
      </c>
      <c r="C693" s="24" t="s">
        <v>477</v>
      </c>
      <c r="D693" s="9"/>
      <c r="E693" s="10" t="s">
        <v>11</v>
      </c>
      <c r="F693" s="28" t="str">
        <f>IF(H693=-0.33,IF(H691=H$1,H691,""),"")</f>
        <v/>
      </c>
      <c r="G693" s="26"/>
      <c r="H693" s="29">
        <f>IF(H692=1,IF(H691=H$2,1,-0.33),0)</f>
        <v>0</v>
      </c>
    </row>
    <row r="694" spans="2:8" x14ac:dyDescent="0.25">
      <c r="B694" s="8" t="s">
        <v>12</v>
      </c>
      <c r="C694" s="24" t="s">
        <v>478</v>
      </c>
      <c r="D694" s="9"/>
      <c r="E694" s="10" t="s">
        <v>12</v>
      </c>
      <c r="F694" s="25"/>
      <c r="G694" s="26"/>
      <c r="H694" s="29"/>
    </row>
    <row r="695" spans="2:8" x14ac:dyDescent="0.25">
      <c r="B695" s="11"/>
      <c r="C695" s="12"/>
      <c r="D695" s="9"/>
      <c r="E695" s="10" t="s">
        <v>13</v>
      </c>
      <c r="F695" s="30"/>
      <c r="G695" s="26"/>
      <c r="H695" s="29"/>
    </row>
    <row r="696" spans="2:8" ht="31.5" x14ac:dyDescent="0.25">
      <c r="B696" s="5">
        <v>5</v>
      </c>
      <c r="C696" s="21" t="s">
        <v>479</v>
      </c>
      <c r="D696" s="6"/>
      <c r="E696" s="7"/>
      <c r="F696" s="22"/>
      <c r="G696" s="23"/>
      <c r="H696" s="23"/>
    </row>
    <row r="697" spans="2:8" x14ac:dyDescent="0.25">
      <c r="B697" s="8" t="s">
        <v>9</v>
      </c>
      <c r="C697" s="24" t="s">
        <v>480</v>
      </c>
      <c r="D697" s="9"/>
      <c r="E697" s="10" t="s">
        <v>9</v>
      </c>
      <c r="F697" s="25"/>
      <c r="G697" s="26"/>
      <c r="H697" s="1" t="b">
        <f>IF(D697="x",H$2,H$1)</f>
        <v>0</v>
      </c>
    </row>
    <row r="698" spans="2:8" x14ac:dyDescent="0.25">
      <c r="B698" s="8" t="s">
        <v>10</v>
      </c>
      <c r="C698" s="24" t="s">
        <v>481</v>
      </c>
      <c r="D698" s="9"/>
      <c r="E698" s="10" t="s">
        <v>10</v>
      </c>
      <c r="F698" s="27" t="str">
        <f>IF(H699=1,IF(H697=H$2,H697,""),"")</f>
        <v/>
      </c>
      <c r="G698" s="26"/>
      <c r="H698" s="1" t="str">
        <f>IF(E762="comprobar",COUNTIF(D697:D701,"x"),"")</f>
        <v/>
      </c>
    </row>
    <row r="699" spans="2:8" x14ac:dyDescent="0.25">
      <c r="B699" s="8" t="s">
        <v>11</v>
      </c>
      <c r="C699" s="24" t="s">
        <v>482</v>
      </c>
      <c r="D699" s="9"/>
      <c r="E699" s="10" t="s">
        <v>11</v>
      </c>
      <c r="F699" s="28" t="str">
        <f>IF(H699=-0.33,IF(H697=H$1,H697,""),"")</f>
        <v/>
      </c>
      <c r="G699" s="26"/>
      <c r="H699" s="29">
        <f t="shared" ref="H699" si="14">IF(H698=1,IF(H697=H$2,1,-0.33),0)</f>
        <v>0</v>
      </c>
    </row>
    <row r="700" spans="2:8" x14ac:dyDescent="0.25">
      <c r="B700" s="8" t="s">
        <v>12</v>
      </c>
      <c r="C700" s="24" t="s">
        <v>483</v>
      </c>
      <c r="D700" s="9"/>
      <c r="E700" s="10" t="s">
        <v>12</v>
      </c>
      <c r="F700" s="25"/>
      <c r="G700" s="26"/>
      <c r="H700" s="26"/>
    </row>
    <row r="701" spans="2:8" x14ac:dyDescent="0.25">
      <c r="B701" s="11"/>
      <c r="C701" s="12"/>
      <c r="D701" s="9"/>
      <c r="E701" s="10" t="s">
        <v>13</v>
      </c>
      <c r="F701" s="30"/>
      <c r="G701" s="26"/>
      <c r="H701" s="26"/>
    </row>
    <row r="702" spans="2:8" ht="31.5" x14ac:dyDescent="0.25">
      <c r="B702" s="5">
        <v>6</v>
      </c>
      <c r="C702" s="21" t="s">
        <v>484</v>
      </c>
      <c r="D702" s="6"/>
      <c r="E702" s="7"/>
      <c r="F702" s="22"/>
      <c r="G702" s="23"/>
      <c r="H702" s="23"/>
    </row>
    <row r="703" spans="2:8" x14ac:dyDescent="0.25">
      <c r="B703" s="8" t="s">
        <v>9</v>
      </c>
      <c r="C703" s="24" t="s">
        <v>473</v>
      </c>
      <c r="D703" s="9"/>
      <c r="E703" s="10" t="s">
        <v>9</v>
      </c>
      <c r="F703" s="25"/>
      <c r="G703" s="26"/>
      <c r="H703" s="1" t="b">
        <f>IF(D705="x",H$2,H$1)</f>
        <v>0</v>
      </c>
    </row>
    <row r="704" spans="2:8" x14ac:dyDescent="0.25">
      <c r="B704" s="8" t="s">
        <v>10</v>
      </c>
      <c r="C704" s="24" t="s">
        <v>485</v>
      </c>
      <c r="D704" s="9"/>
      <c r="E704" s="10" t="s">
        <v>10</v>
      </c>
      <c r="F704" s="27" t="str">
        <f>IF(H705=1,IF(H703=H$2,H703,""),"")</f>
        <v/>
      </c>
      <c r="G704" s="26"/>
      <c r="H704" s="1" t="str">
        <f>IF(E762="comprobar",COUNTIF(D703:D707,"x"),"")</f>
        <v/>
      </c>
    </row>
    <row r="705" spans="2:8" x14ac:dyDescent="0.25">
      <c r="B705" s="8" t="s">
        <v>11</v>
      </c>
      <c r="C705" s="24" t="s">
        <v>486</v>
      </c>
      <c r="D705" s="9"/>
      <c r="E705" s="10" t="s">
        <v>11</v>
      </c>
      <c r="F705" s="28" t="str">
        <f>IF(H705=-0.33,IF(H703=H$1,H703,""),"")</f>
        <v/>
      </c>
      <c r="G705" s="26"/>
      <c r="H705" s="29">
        <f>IF(H704=1,IF(H703=H$2,1,-0.33),0)</f>
        <v>0</v>
      </c>
    </row>
    <row r="706" spans="2:8" x14ac:dyDescent="0.25">
      <c r="B706" s="8" t="s">
        <v>12</v>
      </c>
      <c r="C706" s="24" t="s">
        <v>471</v>
      </c>
      <c r="D706" s="9"/>
      <c r="E706" s="10" t="s">
        <v>12</v>
      </c>
      <c r="F706" s="25"/>
      <c r="G706" s="26"/>
      <c r="H706" s="26"/>
    </row>
    <row r="707" spans="2:8" x14ac:dyDescent="0.25">
      <c r="B707" s="11"/>
      <c r="C707" s="12"/>
      <c r="D707" s="9"/>
      <c r="E707" s="10" t="s">
        <v>13</v>
      </c>
      <c r="F707" s="30"/>
      <c r="G707" s="26"/>
      <c r="H707" s="26"/>
    </row>
    <row r="708" spans="2:8" x14ac:dyDescent="0.25">
      <c r="B708" s="5">
        <v>7</v>
      </c>
      <c r="C708" s="21" t="s">
        <v>487</v>
      </c>
      <c r="D708" s="6"/>
      <c r="E708" s="7"/>
      <c r="F708" s="22"/>
      <c r="G708" s="23"/>
      <c r="H708" s="23"/>
    </row>
    <row r="709" spans="2:8" x14ac:dyDescent="0.25">
      <c r="B709" s="8" t="s">
        <v>9</v>
      </c>
      <c r="C709" s="24" t="s">
        <v>488</v>
      </c>
      <c r="D709" s="9"/>
      <c r="E709" s="10" t="s">
        <v>9</v>
      </c>
      <c r="F709" s="25"/>
      <c r="G709" s="26"/>
      <c r="H709" s="1" t="b">
        <f>IF(D712="x",H$2,H$1)</f>
        <v>0</v>
      </c>
    </row>
    <row r="710" spans="2:8" x14ac:dyDescent="0.25">
      <c r="B710" s="8" t="s">
        <v>10</v>
      </c>
      <c r="C710" s="24" t="s">
        <v>489</v>
      </c>
      <c r="D710" s="9"/>
      <c r="E710" s="10" t="s">
        <v>10</v>
      </c>
      <c r="F710" s="27" t="str">
        <f>IF(H711=1,IF(H709=H$2,H709,""),"")</f>
        <v/>
      </c>
      <c r="G710" s="26"/>
      <c r="H710" s="1" t="str">
        <f>IF(E762="comprobar",COUNTIF(D709:D713,"x"),"")</f>
        <v/>
      </c>
    </row>
    <row r="711" spans="2:8" x14ac:dyDescent="0.25">
      <c r="B711" s="8" t="s">
        <v>11</v>
      </c>
      <c r="C711" s="24" t="s">
        <v>490</v>
      </c>
      <c r="D711" s="9"/>
      <c r="E711" s="10" t="s">
        <v>11</v>
      </c>
      <c r="F711" s="28" t="str">
        <f>IF(H711=-0.33,IF(H709=H$1,H709,""),"")</f>
        <v/>
      </c>
      <c r="G711" s="26"/>
      <c r="H711" s="29">
        <f>IF(H710=1,IF(H709=H$2,1,-0.33),0)</f>
        <v>0</v>
      </c>
    </row>
    <row r="712" spans="2:8" x14ac:dyDescent="0.25">
      <c r="B712" s="8" t="s">
        <v>12</v>
      </c>
      <c r="C712" s="24" t="s">
        <v>38</v>
      </c>
      <c r="D712" s="9"/>
      <c r="E712" s="10" t="s">
        <v>12</v>
      </c>
      <c r="F712" s="25"/>
      <c r="G712" s="26"/>
      <c r="H712" s="29"/>
    </row>
    <row r="713" spans="2:8" x14ac:dyDescent="0.25">
      <c r="B713" s="11"/>
      <c r="C713" s="12"/>
      <c r="D713" s="9"/>
      <c r="E713" s="10" t="s">
        <v>13</v>
      </c>
      <c r="F713" s="30"/>
      <c r="G713" s="26"/>
      <c r="H713" s="29"/>
    </row>
    <row r="714" spans="2:8" ht="31.5" x14ac:dyDescent="0.25">
      <c r="B714" s="5">
        <v>8</v>
      </c>
      <c r="C714" s="21" t="s">
        <v>491</v>
      </c>
      <c r="D714" s="6"/>
      <c r="E714" s="7"/>
      <c r="F714" s="22"/>
      <c r="G714" s="23"/>
      <c r="H714" s="23"/>
    </row>
    <row r="715" spans="2:8" x14ac:dyDescent="0.25">
      <c r="B715" s="8" t="s">
        <v>9</v>
      </c>
      <c r="C715" s="24" t="s">
        <v>492</v>
      </c>
      <c r="D715" s="9"/>
      <c r="E715" s="10" t="s">
        <v>9</v>
      </c>
      <c r="F715" s="25"/>
      <c r="G715" s="26"/>
      <c r="H715" s="1" t="b">
        <f>IF(D717="x",H$2,H$1)</f>
        <v>0</v>
      </c>
    </row>
    <row r="716" spans="2:8" x14ac:dyDescent="0.25">
      <c r="B716" s="8" t="s">
        <v>10</v>
      </c>
      <c r="C716" s="24" t="s">
        <v>493</v>
      </c>
      <c r="D716" s="9"/>
      <c r="E716" s="10" t="s">
        <v>10</v>
      </c>
      <c r="F716" s="27" t="str">
        <f>IF(H717=1,IF(H715=H$2,H715,""),"")</f>
        <v/>
      </c>
      <c r="G716" s="26"/>
      <c r="H716" s="1" t="str">
        <f>IF(E762="comprobar",COUNTIF(D715:D719,"x"),"")</f>
        <v/>
      </c>
    </row>
    <row r="717" spans="2:8" x14ac:dyDescent="0.25">
      <c r="B717" s="8" t="s">
        <v>11</v>
      </c>
      <c r="C717" s="24" t="s">
        <v>494</v>
      </c>
      <c r="D717" s="9"/>
      <c r="E717" s="10" t="s">
        <v>11</v>
      </c>
      <c r="F717" s="28" t="str">
        <f>IF(H717=-0.33,IF(H715=H$1,H715,""),"")</f>
        <v/>
      </c>
      <c r="G717" s="26"/>
      <c r="H717" s="29">
        <f>IF(H716=1,IF(H715=H$2,1,-0.33),0)</f>
        <v>0</v>
      </c>
    </row>
    <row r="718" spans="2:8" x14ac:dyDescent="0.25">
      <c r="B718" s="8" t="s">
        <v>12</v>
      </c>
      <c r="C718" s="24" t="s">
        <v>368</v>
      </c>
      <c r="D718" s="9"/>
      <c r="E718" s="10" t="s">
        <v>12</v>
      </c>
      <c r="F718" s="25"/>
      <c r="G718" s="26"/>
      <c r="H718" s="29"/>
    </row>
    <row r="719" spans="2:8" x14ac:dyDescent="0.25">
      <c r="B719" s="11"/>
      <c r="C719" s="12"/>
      <c r="D719" s="9"/>
      <c r="E719" s="10" t="s">
        <v>13</v>
      </c>
      <c r="F719" s="30"/>
      <c r="G719" s="26"/>
      <c r="H719" s="29"/>
    </row>
    <row r="720" spans="2:8" x14ac:dyDescent="0.25">
      <c r="B720" s="5">
        <v>9</v>
      </c>
      <c r="C720" s="21" t="s">
        <v>495</v>
      </c>
      <c r="D720" s="6"/>
      <c r="E720" s="7"/>
      <c r="F720" s="22"/>
      <c r="G720" s="23"/>
      <c r="H720" s="23"/>
    </row>
    <row r="721" spans="2:8" x14ac:dyDescent="0.25">
      <c r="B721" s="8" t="s">
        <v>9</v>
      </c>
      <c r="C721" s="24" t="s">
        <v>496</v>
      </c>
      <c r="D721" s="9"/>
      <c r="E721" s="10" t="s">
        <v>9</v>
      </c>
      <c r="F721" s="25"/>
      <c r="G721" s="26"/>
      <c r="H721" s="1" t="b">
        <f>IF(D722="x",H$2,H$1)</f>
        <v>0</v>
      </c>
    </row>
    <row r="722" spans="2:8" x14ac:dyDescent="0.25">
      <c r="B722" s="8" t="s">
        <v>10</v>
      </c>
      <c r="C722" s="24" t="s">
        <v>497</v>
      </c>
      <c r="D722" s="9"/>
      <c r="E722" s="10" t="s">
        <v>10</v>
      </c>
      <c r="F722" s="27" t="str">
        <f>IF(H723=1,IF(H721=H$2,H721,""),"")</f>
        <v/>
      </c>
      <c r="G722" s="26"/>
      <c r="H722" s="1" t="str">
        <f>IF(E762="comprobar",COUNTIF(D721:D725,"x"),"")</f>
        <v/>
      </c>
    </row>
    <row r="723" spans="2:8" x14ac:dyDescent="0.25">
      <c r="B723" s="8" t="s">
        <v>11</v>
      </c>
      <c r="C723" s="24" t="s">
        <v>498</v>
      </c>
      <c r="D723" s="9"/>
      <c r="E723" s="10" t="s">
        <v>11</v>
      </c>
      <c r="F723" s="28" t="str">
        <f>IF(H723=-0.33,IF(H721=H$1,H721,""),"")</f>
        <v/>
      </c>
      <c r="G723" s="26"/>
      <c r="H723" s="29">
        <f>IF(H722=1,IF(H721=H$2,1,-0.33),0)</f>
        <v>0</v>
      </c>
    </row>
    <row r="724" spans="2:8" x14ac:dyDescent="0.25">
      <c r="B724" s="8" t="s">
        <v>12</v>
      </c>
      <c r="C724" s="24" t="s">
        <v>499</v>
      </c>
      <c r="D724" s="9"/>
      <c r="E724" s="10" t="s">
        <v>12</v>
      </c>
      <c r="F724" s="25"/>
      <c r="G724" s="26"/>
      <c r="H724" s="1"/>
    </row>
    <row r="725" spans="2:8" x14ac:dyDescent="0.25">
      <c r="B725" s="11"/>
      <c r="C725" s="12"/>
      <c r="D725" s="9"/>
      <c r="E725" s="10" t="s">
        <v>13</v>
      </c>
      <c r="F725" s="30"/>
      <c r="G725" s="26"/>
      <c r="H725" s="15"/>
    </row>
    <row r="726" spans="2:8" x14ac:dyDescent="0.25">
      <c r="B726" s="5">
        <v>10</v>
      </c>
      <c r="C726" s="21" t="s">
        <v>500</v>
      </c>
      <c r="D726" s="6"/>
      <c r="E726" s="7"/>
      <c r="F726" s="22"/>
      <c r="G726" s="31"/>
      <c r="H726" s="31"/>
    </row>
    <row r="727" spans="2:8" x14ac:dyDescent="0.25">
      <c r="B727" s="8" t="s">
        <v>9</v>
      </c>
      <c r="C727" s="24" t="s">
        <v>501</v>
      </c>
      <c r="D727" s="9"/>
      <c r="E727" s="10" t="s">
        <v>9</v>
      </c>
      <c r="F727" s="25"/>
      <c r="G727" s="32"/>
      <c r="H727" s="1" t="b">
        <f>IF(D730="x",H$2,H$1)</f>
        <v>0</v>
      </c>
    </row>
    <row r="728" spans="2:8" x14ac:dyDescent="0.25">
      <c r="B728" s="8" t="s">
        <v>10</v>
      </c>
      <c r="C728" s="24" t="s">
        <v>502</v>
      </c>
      <c r="D728" s="9"/>
      <c r="E728" s="10" t="s">
        <v>10</v>
      </c>
      <c r="F728" s="27" t="str">
        <f>IF(H729=1,IF(H727=H$2,H727,""),"")</f>
        <v/>
      </c>
      <c r="G728" s="32"/>
      <c r="H728" s="1" t="str">
        <f>IF(E762="comprobar",COUNTIF(D727:D731,"x"),"")</f>
        <v/>
      </c>
    </row>
    <row r="729" spans="2:8" x14ac:dyDescent="0.25">
      <c r="B729" s="8" t="s">
        <v>11</v>
      </c>
      <c r="C729" s="24" t="s">
        <v>503</v>
      </c>
      <c r="D729" s="9"/>
      <c r="E729" s="10" t="s">
        <v>11</v>
      </c>
      <c r="F729" s="28" t="str">
        <f>IF(H729=-0.33,IF(H727=H$1,H727,""),"")</f>
        <v/>
      </c>
      <c r="G729" s="32"/>
      <c r="H729" s="29">
        <f>IF(H728=1,IF(H727=H$2,1,-0.33),0)</f>
        <v>0</v>
      </c>
    </row>
    <row r="730" spans="2:8" x14ac:dyDescent="0.25">
      <c r="B730" s="8" t="s">
        <v>12</v>
      </c>
      <c r="C730" s="24" t="s">
        <v>499</v>
      </c>
      <c r="D730" s="9"/>
      <c r="E730" s="10" t="s">
        <v>12</v>
      </c>
      <c r="F730" s="25"/>
      <c r="G730" s="32"/>
      <c r="H730" s="29"/>
    </row>
    <row r="731" spans="2:8" x14ac:dyDescent="0.25">
      <c r="B731" s="11"/>
      <c r="C731" s="12"/>
      <c r="D731" s="9"/>
      <c r="E731" s="10" t="s">
        <v>13</v>
      </c>
      <c r="F731" s="30"/>
      <c r="G731" s="32"/>
      <c r="H731" s="29"/>
    </row>
    <row r="732" spans="2:8" ht="31.5" x14ac:dyDescent="0.25">
      <c r="B732" s="5">
        <v>11</v>
      </c>
      <c r="C732" s="21" t="s">
        <v>504</v>
      </c>
      <c r="D732" s="6"/>
      <c r="E732" s="7"/>
      <c r="F732" s="22"/>
      <c r="G732" s="31"/>
      <c r="H732" s="31"/>
    </row>
    <row r="733" spans="2:8" x14ac:dyDescent="0.25">
      <c r="B733" s="8" t="s">
        <v>9</v>
      </c>
      <c r="C733" s="24" t="s">
        <v>505</v>
      </c>
      <c r="D733" s="9"/>
      <c r="E733" s="10" t="s">
        <v>9</v>
      </c>
      <c r="F733" s="25"/>
      <c r="G733" s="32"/>
      <c r="H733" s="1" t="b">
        <f>IF(D735="x",H$2,H$1)</f>
        <v>0</v>
      </c>
    </row>
    <row r="734" spans="2:8" x14ac:dyDescent="0.25">
      <c r="B734" s="8" t="s">
        <v>10</v>
      </c>
      <c r="C734" s="24" t="s">
        <v>506</v>
      </c>
      <c r="D734" s="9"/>
      <c r="E734" s="10" t="s">
        <v>10</v>
      </c>
      <c r="F734" s="27" t="str">
        <f>IF(H735=1,IF(H733=H$2,H733,""),"")</f>
        <v/>
      </c>
      <c r="G734" s="32"/>
      <c r="H734" s="1" t="str">
        <f>IF(E762="comprobar",COUNTIF(D733:D737,"x"),"")</f>
        <v/>
      </c>
    </row>
    <row r="735" spans="2:8" x14ac:dyDescent="0.25">
      <c r="B735" s="8" t="s">
        <v>11</v>
      </c>
      <c r="C735" s="24" t="s">
        <v>507</v>
      </c>
      <c r="D735" s="9"/>
      <c r="E735" s="10" t="s">
        <v>11</v>
      </c>
      <c r="F735" s="28" t="str">
        <f>IF(H735=-0.33,IF(H733=H$1,H733,""),"")</f>
        <v/>
      </c>
      <c r="G735" s="32"/>
      <c r="H735" s="29">
        <f>IF(H734=1,IF(H733=H$2,1,-0.33),0)</f>
        <v>0</v>
      </c>
    </row>
    <row r="736" spans="2:8" x14ac:dyDescent="0.25">
      <c r="B736" s="8" t="s">
        <v>12</v>
      </c>
      <c r="C736" s="24" t="s">
        <v>508</v>
      </c>
      <c r="D736" s="9"/>
      <c r="E736" s="10" t="s">
        <v>12</v>
      </c>
      <c r="F736" s="25"/>
      <c r="G736" s="32"/>
      <c r="H736" s="29"/>
    </row>
    <row r="737" spans="2:8" x14ac:dyDescent="0.25">
      <c r="B737" s="11"/>
      <c r="C737" s="12"/>
      <c r="D737" s="9"/>
      <c r="E737" s="10"/>
      <c r="F737" s="25"/>
      <c r="G737" s="32"/>
      <c r="H737" s="29"/>
    </row>
    <row r="738" spans="2:8" x14ac:dyDescent="0.25">
      <c r="B738" s="5">
        <v>12</v>
      </c>
      <c r="C738" s="21" t="s">
        <v>509</v>
      </c>
      <c r="D738" s="6"/>
      <c r="E738" s="7"/>
      <c r="F738" s="22"/>
      <c r="G738" s="23"/>
      <c r="H738" s="23"/>
    </row>
    <row r="739" spans="2:8" x14ac:dyDescent="0.25">
      <c r="B739" s="8" t="s">
        <v>9</v>
      </c>
      <c r="C739" s="24" t="s">
        <v>510</v>
      </c>
      <c r="D739" s="9"/>
      <c r="E739" s="10" t="s">
        <v>9</v>
      </c>
      <c r="F739" s="25"/>
      <c r="G739" s="26"/>
      <c r="H739" s="1" t="b">
        <f>IF(D739="x",H$2,H$1)</f>
        <v>0</v>
      </c>
    </row>
    <row r="740" spans="2:8" x14ac:dyDescent="0.25">
      <c r="B740" s="8" t="s">
        <v>10</v>
      </c>
      <c r="C740" s="24" t="s">
        <v>511</v>
      </c>
      <c r="D740" s="9"/>
      <c r="E740" s="10" t="s">
        <v>10</v>
      </c>
      <c r="F740" s="27" t="str">
        <f>IF(H741=1,IF(H739=H$2,H739,""),"")</f>
        <v/>
      </c>
      <c r="G740" s="26"/>
      <c r="H740" s="1" t="str">
        <f>IF(E762="comprobar",COUNTIF(D739:D743,"x"),"")</f>
        <v/>
      </c>
    </row>
    <row r="741" spans="2:8" x14ac:dyDescent="0.25">
      <c r="B741" s="8" t="s">
        <v>11</v>
      </c>
      <c r="C741" s="24" t="s">
        <v>512</v>
      </c>
      <c r="D741" s="9"/>
      <c r="E741" s="10" t="s">
        <v>11</v>
      </c>
      <c r="F741" s="28" t="str">
        <f>IF(H741=-0.33,IF(H739=H$1,H739,""),"")</f>
        <v/>
      </c>
      <c r="G741" s="26"/>
      <c r="H741" s="29">
        <f>IF(H740=1,IF(H739=H$2,1,-0.33),0)</f>
        <v>0</v>
      </c>
    </row>
    <row r="742" spans="2:8" x14ac:dyDescent="0.25">
      <c r="B742" s="8" t="s">
        <v>12</v>
      </c>
      <c r="C742" s="24" t="s">
        <v>513</v>
      </c>
      <c r="D742" s="9"/>
      <c r="E742" s="10" t="s">
        <v>12</v>
      </c>
      <c r="F742" s="25"/>
      <c r="G742" s="26"/>
      <c r="H742" s="29"/>
    </row>
    <row r="743" spans="2:8" x14ac:dyDescent="0.25">
      <c r="B743" s="11"/>
      <c r="C743" s="12"/>
      <c r="D743" s="9"/>
      <c r="E743" s="10" t="s">
        <v>13</v>
      </c>
      <c r="F743" s="30"/>
      <c r="G743" s="26"/>
      <c r="H743" s="29"/>
    </row>
    <row r="744" spans="2:8" x14ac:dyDescent="0.25">
      <c r="B744" s="5">
        <v>13</v>
      </c>
      <c r="C744" s="21" t="s">
        <v>514</v>
      </c>
      <c r="D744" s="6"/>
      <c r="E744" s="7"/>
      <c r="F744" s="22"/>
      <c r="G744" s="23"/>
      <c r="H744" s="23"/>
    </row>
    <row r="745" spans="2:8" x14ac:dyDescent="0.25">
      <c r="B745" s="8" t="s">
        <v>9</v>
      </c>
      <c r="C745" s="24" t="s">
        <v>515</v>
      </c>
      <c r="D745" s="9"/>
      <c r="E745" s="10" t="s">
        <v>9</v>
      </c>
      <c r="F745" s="25"/>
      <c r="G745" s="26"/>
      <c r="H745" s="1" t="b">
        <f>IF(D746="x",H$2,H$1)</f>
        <v>0</v>
      </c>
    </row>
    <row r="746" spans="2:8" x14ac:dyDescent="0.25">
      <c r="B746" s="8" t="s">
        <v>10</v>
      </c>
      <c r="C746" s="24" t="s">
        <v>516</v>
      </c>
      <c r="D746" s="9"/>
      <c r="E746" s="10" t="s">
        <v>10</v>
      </c>
      <c r="F746" s="27" t="str">
        <f>IF(H747=1,IF(H745=H$2,H745,""),"")</f>
        <v/>
      </c>
      <c r="G746" s="26"/>
      <c r="H746" s="1" t="str">
        <f>IF(E762="comprobar",COUNTIF(D745:D749,"x"),"")</f>
        <v/>
      </c>
    </row>
    <row r="747" spans="2:8" x14ac:dyDescent="0.25">
      <c r="B747" s="8" t="s">
        <v>11</v>
      </c>
      <c r="C747" s="24" t="s">
        <v>517</v>
      </c>
      <c r="D747" s="9"/>
      <c r="E747" s="10" t="s">
        <v>11</v>
      </c>
      <c r="F747" s="28" t="str">
        <f>IF(H747=-0.33,IF(H745=H$1,H745,""),"")</f>
        <v/>
      </c>
      <c r="G747" s="26"/>
      <c r="H747" s="29">
        <f t="shared" ref="H747" si="15">IF(H746=1,IF(H745=H$2,1,-0.33),0)</f>
        <v>0</v>
      </c>
    </row>
    <row r="748" spans="2:8" x14ac:dyDescent="0.25">
      <c r="B748" s="8" t="s">
        <v>12</v>
      </c>
      <c r="C748" s="24" t="s">
        <v>518</v>
      </c>
      <c r="D748" s="9"/>
      <c r="E748" s="10" t="s">
        <v>12</v>
      </c>
      <c r="F748" s="25"/>
      <c r="G748" s="26"/>
      <c r="H748" s="26"/>
    </row>
    <row r="749" spans="2:8" x14ac:dyDescent="0.25">
      <c r="B749" s="11"/>
      <c r="C749" s="12"/>
      <c r="D749" s="9"/>
      <c r="E749" s="10" t="s">
        <v>13</v>
      </c>
      <c r="F749" s="30"/>
      <c r="G749" s="26"/>
      <c r="H749" s="26"/>
    </row>
    <row r="750" spans="2:8" ht="47.25" x14ac:dyDescent="0.25">
      <c r="B750" s="5">
        <v>14</v>
      </c>
      <c r="C750" s="21" t="s">
        <v>519</v>
      </c>
      <c r="D750" s="6"/>
      <c r="E750" s="7"/>
      <c r="F750" s="22"/>
      <c r="G750" s="23"/>
      <c r="H750" s="23"/>
    </row>
    <row r="751" spans="2:8" x14ac:dyDescent="0.25">
      <c r="B751" s="8" t="s">
        <v>9</v>
      </c>
      <c r="C751" s="24" t="s">
        <v>483</v>
      </c>
      <c r="D751" s="9"/>
      <c r="E751" s="10" t="s">
        <v>9</v>
      </c>
      <c r="F751" s="25"/>
      <c r="G751" s="26"/>
      <c r="H751" s="1" t="b">
        <f>IF(D751="x",H$2,H$1)</f>
        <v>0</v>
      </c>
    </row>
    <row r="752" spans="2:8" x14ac:dyDescent="0.25">
      <c r="B752" s="8" t="s">
        <v>10</v>
      </c>
      <c r="C752" s="24" t="s">
        <v>520</v>
      </c>
      <c r="D752" s="9"/>
      <c r="E752" s="10" t="s">
        <v>10</v>
      </c>
      <c r="F752" s="27" t="str">
        <f>IF(H753=1,IF(H751=H$2,H751,""),"")</f>
        <v/>
      </c>
      <c r="G752" s="26"/>
      <c r="H752" s="1" t="str">
        <f>IF(E762="comprobar",COUNTIF(D751:D755,"x"),"")</f>
        <v/>
      </c>
    </row>
    <row r="753" spans="2:8" x14ac:dyDescent="0.25">
      <c r="B753" s="8" t="s">
        <v>11</v>
      </c>
      <c r="C753" s="24" t="s">
        <v>482</v>
      </c>
      <c r="D753" s="9"/>
      <c r="E753" s="10" t="s">
        <v>11</v>
      </c>
      <c r="F753" s="28" t="str">
        <f>IF(H753=-0.33,IF(H751=H$1,H751,""),"")</f>
        <v/>
      </c>
      <c r="G753" s="26"/>
      <c r="H753" s="29">
        <f>IF(H752=1,IF(H751=H$2,1,-0.33),0)</f>
        <v>0</v>
      </c>
    </row>
    <row r="754" spans="2:8" x14ac:dyDescent="0.25">
      <c r="B754" s="8" t="s">
        <v>12</v>
      </c>
      <c r="C754" s="24" t="s">
        <v>480</v>
      </c>
      <c r="D754" s="9"/>
      <c r="E754" s="10" t="s">
        <v>12</v>
      </c>
      <c r="F754" s="25"/>
      <c r="G754" s="26"/>
      <c r="H754" s="26"/>
    </row>
    <row r="755" spans="2:8" x14ac:dyDescent="0.25">
      <c r="B755" s="11"/>
      <c r="C755" s="12"/>
      <c r="D755" s="9"/>
      <c r="E755" s="10" t="s">
        <v>13</v>
      </c>
      <c r="F755" s="30"/>
      <c r="G755" s="26"/>
      <c r="H755" s="26"/>
    </row>
    <row r="756" spans="2:8" x14ac:dyDescent="0.25">
      <c r="B756" s="5">
        <v>15</v>
      </c>
      <c r="C756" s="21" t="s">
        <v>521</v>
      </c>
      <c r="D756" s="6"/>
      <c r="E756" s="7"/>
      <c r="F756" s="22"/>
      <c r="G756" s="23"/>
      <c r="H756" s="23"/>
    </row>
    <row r="757" spans="2:8" x14ac:dyDescent="0.25">
      <c r="B757" s="8" t="s">
        <v>9</v>
      </c>
      <c r="C757" s="24" t="s">
        <v>522</v>
      </c>
      <c r="D757" s="9"/>
      <c r="E757" s="10" t="s">
        <v>9</v>
      </c>
      <c r="F757" s="25"/>
      <c r="G757" s="26"/>
      <c r="H757" s="1" t="b">
        <f>IF(D757="x",H$2,H$1)</f>
        <v>0</v>
      </c>
    </row>
    <row r="758" spans="2:8" x14ac:dyDescent="0.25">
      <c r="B758" s="8" t="s">
        <v>10</v>
      </c>
      <c r="C758" s="24" t="s">
        <v>523</v>
      </c>
      <c r="D758" s="9"/>
      <c r="E758" s="10" t="s">
        <v>10</v>
      </c>
      <c r="F758" s="27" t="str">
        <f>IF(H759=1,IF(H757=H$2,H757,""),"")</f>
        <v/>
      </c>
      <c r="G758" s="26"/>
      <c r="H758" s="1" t="str">
        <f>IF(E762="comprobar",COUNTIF(D757:D761,"x"),"")</f>
        <v/>
      </c>
    </row>
    <row r="759" spans="2:8" x14ac:dyDescent="0.25">
      <c r="B759" s="8" t="s">
        <v>11</v>
      </c>
      <c r="C759" s="24" t="s">
        <v>524</v>
      </c>
      <c r="D759" s="9"/>
      <c r="E759" s="10" t="s">
        <v>11</v>
      </c>
      <c r="F759" s="28" t="str">
        <f>IF(H759=-0.33,IF(H757=H$1,H757,""),"")</f>
        <v/>
      </c>
      <c r="G759" s="26"/>
      <c r="H759" s="29">
        <f>IF(H758=1,IF(H757=H$2,1,-0.33),0)</f>
        <v>0</v>
      </c>
    </row>
    <row r="760" spans="2:8" x14ac:dyDescent="0.25">
      <c r="B760" s="8" t="s">
        <v>12</v>
      </c>
      <c r="C760" s="24" t="s">
        <v>525</v>
      </c>
      <c r="D760" s="9"/>
      <c r="E760" s="10" t="s">
        <v>12</v>
      </c>
      <c r="F760" s="25"/>
      <c r="G760" s="26"/>
      <c r="H760" s="29"/>
    </row>
    <row r="761" spans="2:8" x14ac:dyDescent="0.25">
      <c r="B761" s="11"/>
      <c r="C761" s="12"/>
      <c r="D761" s="9"/>
      <c r="E761" s="10" t="s">
        <v>13</v>
      </c>
      <c r="F761" s="30"/>
      <c r="G761" s="26"/>
      <c r="H761" s="29"/>
    </row>
    <row r="762" spans="2:8" x14ac:dyDescent="0.25">
      <c r="B762" s="33"/>
      <c r="C762" s="4"/>
      <c r="D762" s="34"/>
      <c r="E762" s="35"/>
      <c r="F762" s="30"/>
      <c r="G762" s="26"/>
      <c r="H762" s="26"/>
    </row>
    <row r="763" spans="2:8" x14ac:dyDescent="0.25">
      <c r="B763" s="33"/>
      <c r="C763" s="4"/>
      <c r="D763" s="34"/>
      <c r="E763" s="36"/>
      <c r="F763" s="37" t="s">
        <v>8</v>
      </c>
      <c r="G763" s="26" t="s">
        <v>6</v>
      </c>
      <c r="H763" s="26" t="s">
        <v>7</v>
      </c>
    </row>
    <row r="764" spans="2:8" ht="19.5" x14ac:dyDescent="0.25">
      <c r="B764" s="33"/>
      <c r="C764" s="38"/>
      <c r="D764" s="51"/>
      <c r="E764" s="51"/>
      <c r="F764" s="39" t="str">
        <f>IF(E762="comprobar",H729+H723+H717+H711+H705+H699+H693+H687+H681+H675+H735+H741+H747+H753+H759,"")</f>
        <v/>
      </c>
      <c r="G764" s="26">
        <f>10/2</f>
        <v>5</v>
      </c>
      <c r="H764" s="26"/>
    </row>
    <row r="765" spans="2:8" ht="16.5" thickBot="1" x14ac:dyDescent="0.3">
      <c r="B765" s="40"/>
      <c r="C765" s="41"/>
      <c r="D765" s="42"/>
      <c r="E765" s="43"/>
      <c r="F765" s="44" t="str">
        <f>IF(F764&gt;G764,G763,H763)</f>
        <v>APROBADO</v>
      </c>
      <c r="G765" s="26"/>
      <c r="H765" s="26"/>
    </row>
    <row r="766" spans="2:8" ht="28.5" x14ac:dyDescent="0.45">
      <c r="B766" s="19" t="s">
        <v>81</v>
      </c>
      <c r="C766" s="49" t="s">
        <v>526</v>
      </c>
      <c r="D766" s="49"/>
      <c r="E766" s="49"/>
      <c r="F766" s="50"/>
      <c r="G766" s="20"/>
      <c r="H766" s="20"/>
    </row>
    <row r="767" spans="2:8" x14ac:dyDescent="0.25">
      <c r="B767" s="5">
        <v>1</v>
      </c>
      <c r="C767" s="21" t="s">
        <v>527</v>
      </c>
      <c r="D767" s="6"/>
      <c r="E767" s="7"/>
      <c r="F767" s="22"/>
      <c r="G767" s="23"/>
      <c r="H767" s="23"/>
    </row>
    <row r="768" spans="2:8" x14ac:dyDescent="0.25">
      <c r="B768" s="8" t="s">
        <v>9</v>
      </c>
      <c r="C768" s="24" t="s">
        <v>528</v>
      </c>
      <c r="D768" s="9"/>
      <c r="E768" s="10" t="s">
        <v>9</v>
      </c>
      <c r="F768" s="25"/>
      <c r="G768" s="26"/>
      <c r="H768" s="1" t="b">
        <f>IF(D770="x",H$2,H$1)</f>
        <v>0</v>
      </c>
    </row>
    <row r="769" spans="2:8" x14ac:dyDescent="0.25">
      <c r="B769" s="8" t="s">
        <v>10</v>
      </c>
      <c r="C769" s="24" t="s">
        <v>529</v>
      </c>
      <c r="D769" s="9"/>
      <c r="E769" s="10" t="s">
        <v>10</v>
      </c>
      <c r="F769" s="27" t="str">
        <f>IF(H770=1,IF(H768=H$2,H768,""),"")</f>
        <v/>
      </c>
      <c r="G769" s="26"/>
      <c r="H769" s="1" t="str">
        <f>IF(E857="comprobar",COUNTIF(D768:D772,"x"),"")</f>
        <v/>
      </c>
    </row>
    <row r="770" spans="2:8" x14ac:dyDescent="0.25">
      <c r="B770" s="8" t="s">
        <v>11</v>
      </c>
      <c r="C770" s="24" t="s">
        <v>530</v>
      </c>
      <c r="D770" s="9"/>
      <c r="E770" s="10" t="s">
        <v>11</v>
      </c>
      <c r="F770" s="28" t="str">
        <f>IF(H770=-0.33,IF(H768=H$1,H768,""),"")</f>
        <v/>
      </c>
      <c r="G770" s="26"/>
      <c r="H770" s="29">
        <f>IF(H769=1,IF(H768=H$2,1,-0.33),0)</f>
        <v>0</v>
      </c>
    </row>
    <row r="771" spans="2:8" x14ac:dyDescent="0.25">
      <c r="B771" s="8" t="s">
        <v>12</v>
      </c>
      <c r="C771" s="24" t="s">
        <v>32</v>
      </c>
      <c r="D771" s="9"/>
      <c r="E771" s="10" t="s">
        <v>12</v>
      </c>
      <c r="F771" s="25"/>
      <c r="G771" s="26"/>
      <c r="H771" s="29"/>
    </row>
    <row r="772" spans="2:8" x14ac:dyDescent="0.25">
      <c r="B772" s="11"/>
      <c r="C772" s="12"/>
      <c r="D772" s="9"/>
      <c r="E772" s="10" t="s">
        <v>13</v>
      </c>
      <c r="F772" s="30"/>
      <c r="G772" s="26"/>
      <c r="H772" s="29"/>
    </row>
    <row r="773" spans="2:8" x14ac:dyDescent="0.25">
      <c r="B773" s="5">
        <v>2</v>
      </c>
      <c r="C773" s="21" t="s">
        <v>279</v>
      </c>
      <c r="D773" s="6"/>
      <c r="E773" s="7"/>
      <c r="F773" s="22"/>
      <c r="G773" s="23"/>
      <c r="H773" s="23"/>
    </row>
    <row r="774" spans="2:8" ht="31.5" x14ac:dyDescent="0.25">
      <c r="B774" s="8" t="s">
        <v>9</v>
      </c>
      <c r="C774" s="24" t="s">
        <v>531</v>
      </c>
      <c r="D774" s="9"/>
      <c r="E774" s="10" t="s">
        <v>9</v>
      </c>
      <c r="F774" s="25"/>
      <c r="G774" s="26"/>
      <c r="H774" s="1" t="b">
        <f>IF(D777="x",H$2,H$1)</f>
        <v>0</v>
      </c>
    </row>
    <row r="775" spans="2:8" ht="31.5" x14ac:dyDescent="0.25">
      <c r="B775" s="8" t="s">
        <v>10</v>
      </c>
      <c r="C775" s="24" t="s">
        <v>532</v>
      </c>
      <c r="D775" s="9"/>
      <c r="E775" s="10" t="s">
        <v>10</v>
      </c>
      <c r="F775" s="27" t="str">
        <f>IF(H776=1,IF(H774=H$2,H774,""),"")</f>
        <v/>
      </c>
      <c r="G775" s="26"/>
      <c r="H775" s="1" t="str">
        <f>IF(E857="comprobar",COUNTIF(D774:D778,"x"),"")</f>
        <v/>
      </c>
    </row>
    <row r="776" spans="2:8" ht="31.5" x14ac:dyDescent="0.25">
      <c r="B776" s="8" t="s">
        <v>11</v>
      </c>
      <c r="C776" s="24" t="s">
        <v>533</v>
      </c>
      <c r="D776" s="9"/>
      <c r="E776" s="10" t="s">
        <v>11</v>
      </c>
      <c r="F776" s="28" t="str">
        <f>IF(H776=-0.33,IF(H774=H$1,H774,""),"")</f>
        <v/>
      </c>
      <c r="G776" s="26"/>
      <c r="H776" s="29">
        <f>IF(H775=1,IF(H774=H$2,1,-0.33),0)</f>
        <v>0</v>
      </c>
    </row>
    <row r="777" spans="2:8" x14ac:dyDescent="0.25">
      <c r="B777" s="8" t="s">
        <v>12</v>
      </c>
      <c r="C777" s="24" t="s">
        <v>32</v>
      </c>
      <c r="D777" s="9"/>
      <c r="E777" s="10" t="s">
        <v>12</v>
      </c>
      <c r="F777" s="25"/>
      <c r="G777" s="26"/>
      <c r="H777" s="26"/>
    </row>
    <row r="778" spans="2:8" x14ac:dyDescent="0.25">
      <c r="B778" s="11"/>
      <c r="C778" s="12"/>
      <c r="D778" s="9"/>
      <c r="E778" s="10" t="s">
        <v>13</v>
      </c>
      <c r="F778" s="30"/>
      <c r="G778" s="26"/>
      <c r="H778" s="26"/>
    </row>
    <row r="779" spans="2:8" x14ac:dyDescent="0.25">
      <c r="B779" s="5">
        <v>3</v>
      </c>
      <c r="C779" s="21" t="s">
        <v>534</v>
      </c>
      <c r="D779" s="6"/>
      <c r="E779" s="7"/>
      <c r="F779" s="22"/>
      <c r="G779" s="23"/>
      <c r="H779" s="23"/>
    </row>
    <row r="780" spans="2:8" x14ac:dyDescent="0.25">
      <c r="B780" s="8" t="s">
        <v>9</v>
      </c>
      <c r="C780" s="24" t="s">
        <v>535</v>
      </c>
      <c r="D780" s="9"/>
      <c r="E780" s="10" t="s">
        <v>9</v>
      </c>
      <c r="F780" s="25"/>
      <c r="G780" s="26"/>
      <c r="H780" s="1" t="b">
        <f>IF(D781="x",H$2,H$1)</f>
        <v>0</v>
      </c>
    </row>
    <row r="781" spans="2:8" x14ac:dyDescent="0.25">
      <c r="B781" s="8" t="s">
        <v>10</v>
      </c>
      <c r="C781" s="24" t="s">
        <v>536</v>
      </c>
      <c r="D781" s="9"/>
      <c r="E781" s="10" t="s">
        <v>10</v>
      </c>
      <c r="F781" s="27" t="str">
        <f>IF(H782=1,IF(H780=H$2,H780,""),"")</f>
        <v/>
      </c>
      <c r="G781" s="26"/>
      <c r="H781" s="1" t="str">
        <f>IF(E857="comprobar",COUNTIF(D780:D784,"x"),"")</f>
        <v/>
      </c>
    </row>
    <row r="782" spans="2:8" x14ac:dyDescent="0.25">
      <c r="B782" s="8" t="s">
        <v>11</v>
      </c>
      <c r="C782" s="24" t="s">
        <v>537</v>
      </c>
      <c r="D782" s="9"/>
      <c r="E782" s="10" t="s">
        <v>11</v>
      </c>
      <c r="F782" s="28" t="str">
        <f>IF(H782=-0.33,IF(H780=H$1,H780,""),"")</f>
        <v/>
      </c>
      <c r="G782" s="26"/>
      <c r="H782" s="29">
        <f>IF(H781=1,IF(H780=H$2,1,-0.33),0)</f>
        <v>0</v>
      </c>
    </row>
    <row r="783" spans="2:8" x14ac:dyDescent="0.25">
      <c r="B783" s="8" t="s">
        <v>12</v>
      </c>
      <c r="C783" s="24" t="s">
        <v>538</v>
      </c>
      <c r="D783" s="9"/>
      <c r="E783" s="10" t="s">
        <v>12</v>
      </c>
      <c r="F783" s="25"/>
      <c r="G783" s="26"/>
      <c r="H783" s="29"/>
    </row>
    <row r="784" spans="2:8" x14ac:dyDescent="0.25">
      <c r="B784" s="11"/>
      <c r="C784" s="12"/>
      <c r="D784" s="9"/>
      <c r="E784" s="10" t="s">
        <v>13</v>
      </c>
      <c r="F784" s="30"/>
      <c r="G784" s="26"/>
      <c r="H784" s="29"/>
    </row>
    <row r="785" spans="2:8" x14ac:dyDescent="0.25">
      <c r="B785" s="5">
        <v>4</v>
      </c>
      <c r="C785" s="21" t="s">
        <v>539</v>
      </c>
      <c r="D785" s="6"/>
      <c r="E785" s="7"/>
      <c r="F785" s="22"/>
      <c r="G785" s="23"/>
      <c r="H785" s="23"/>
    </row>
    <row r="786" spans="2:8" x14ac:dyDescent="0.25">
      <c r="B786" s="8" t="s">
        <v>9</v>
      </c>
      <c r="C786" s="24" t="s">
        <v>540</v>
      </c>
      <c r="D786" s="9"/>
      <c r="E786" s="10" t="s">
        <v>9</v>
      </c>
      <c r="F786" s="25"/>
      <c r="G786" s="26"/>
      <c r="H786" s="1" t="b">
        <f>IF(D787="x",H$2,H$1)</f>
        <v>0</v>
      </c>
    </row>
    <row r="787" spans="2:8" x14ac:dyDescent="0.25">
      <c r="B787" s="8" t="s">
        <v>10</v>
      </c>
      <c r="C787" s="24" t="s">
        <v>541</v>
      </c>
      <c r="D787" s="9"/>
      <c r="E787" s="10" t="s">
        <v>10</v>
      </c>
      <c r="F787" s="27" t="str">
        <f>IF(H788=1,IF(H786=H$2,H786,""),"")</f>
        <v/>
      </c>
      <c r="G787" s="26"/>
      <c r="H787" s="1" t="str">
        <f>IF(E857="comprobar",COUNTIF(D786:D790,"x"),"")</f>
        <v/>
      </c>
    </row>
    <row r="788" spans="2:8" x14ac:dyDescent="0.25">
      <c r="B788" s="8" t="s">
        <v>11</v>
      </c>
      <c r="C788" s="24" t="s">
        <v>542</v>
      </c>
      <c r="D788" s="9"/>
      <c r="E788" s="10" t="s">
        <v>11</v>
      </c>
      <c r="F788" s="28" t="str">
        <f>IF(H788=-0.33,IF(H786=H$1,H786,""),"")</f>
        <v/>
      </c>
      <c r="G788" s="26"/>
      <c r="H788" s="29">
        <f>IF(H787=1,IF(H786=H$2,1,-0.33),0)</f>
        <v>0</v>
      </c>
    </row>
    <row r="789" spans="2:8" x14ac:dyDescent="0.25">
      <c r="B789" s="8" t="s">
        <v>12</v>
      </c>
      <c r="C789" s="24" t="s">
        <v>543</v>
      </c>
      <c r="D789" s="9"/>
      <c r="E789" s="10" t="s">
        <v>12</v>
      </c>
      <c r="F789" s="25"/>
      <c r="G789" s="26"/>
      <c r="H789" s="29"/>
    </row>
    <row r="790" spans="2:8" x14ac:dyDescent="0.25">
      <c r="B790" s="11"/>
      <c r="C790" s="12"/>
      <c r="D790" s="9"/>
      <c r="E790" s="10" t="s">
        <v>13</v>
      </c>
      <c r="F790" s="30"/>
      <c r="G790" s="26"/>
      <c r="H790" s="29"/>
    </row>
    <row r="791" spans="2:8" x14ac:dyDescent="0.25">
      <c r="B791" s="5">
        <v>5</v>
      </c>
      <c r="C791" s="21" t="s">
        <v>544</v>
      </c>
      <c r="D791" s="6"/>
      <c r="E791" s="7"/>
      <c r="F791" s="22"/>
      <c r="G791" s="23"/>
      <c r="H791" s="23"/>
    </row>
    <row r="792" spans="2:8" x14ac:dyDescent="0.25">
      <c r="B792" s="8" t="s">
        <v>9</v>
      </c>
      <c r="C792" s="24" t="s">
        <v>545</v>
      </c>
      <c r="D792" s="9"/>
      <c r="E792" s="10" t="s">
        <v>9</v>
      </c>
      <c r="F792" s="25"/>
      <c r="G792" s="26"/>
      <c r="H792" s="1" t="b">
        <f>IF(D793="x",H$2,H$1)</f>
        <v>0</v>
      </c>
    </row>
    <row r="793" spans="2:8" ht="31.5" x14ac:dyDescent="0.25">
      <c r="B793" s="8" t="s">
        <v>10</v>
      </c>
      <c r="C793" s="24" t="s">
        <v>546</v>
      </c>
      <c r="D793" s="9"/>
      <c r="E793" s="10" t="s">
        <v>10</v>
      </c>
      <c r="F793" s="27" t="str">
        <f>IF(H794=1,IF(H792=H$2,H792,""),"")</f>
        <v/>
      </c>
      <c r="G793" s="26"/>
      <c r="H793" s="1" t="str">
        <f>IF(E857="comprobar",COUNTIF(D792:D796,"x"),"")</f>
        <v/>
      </c>
    </row>
    <row r="794" spans="2:8" ht="31.5" x14ac:dyDescent="0.25">
      <c r="B794" s="8" t="s">
        <v>11</v>
      </c>
      <c r="C794" s="24" t="s">
        <v>547</v>
      </c>
      <c r="D794" s="9"/>
      <c r="E794" s="10" t="s">
        <v>11</v>
      </c>
      <c r="F794" s="28" t="str">
        <f>IF(H794=-0.33,IF(H792=H$1,H792,""),"")</f>
        <v/>
      </c>
      <c r="G794" s="26"/>
      <c r="H794" s="29">
        <f t="shared" ref="H794" si="16">IF(H793=1,IF(H792=H$2,1,-0.33),0)</f>
        <v>0</v>
      </c>
    </row>
    <row r="795" spans="2:8" x14ac:dyDescent="0.25">
      <c r="B795" s="8" t="s">
        <v>12</v>
      </c>
      <c r="C795" s="24" t="s">
        <v>32</v>
      </c>
      <c r="D795" s="9"/>
      <c r="E795" s="10" t="s">
        <v>12</v>
      </c>
      <c r="F795" s="25"/>
      <c r="G795" s="26"/>
      <c r="H795" s="26"/>
    </row>
    <row r="796" spans="2:8" x14ac:dyDescent="0.25">
      <c r="B796" s="11"/>
      <c r="C796" s="12"/>
      <c r="D796" s="9"/>
      <c r="E796" s="10" t="s">
        <v>13</v>
      </c>
      <c r="F796" s="30"/>
      <c r="G796" s="26"/>
      <c r="H796" s="26"/>
    </row>
    <row r="797" spans="2:8" x14ac:dyDescent="0.25">
      <c r="B797" s="5">
        <v>6</v>
      </c>
      <c r="C797" s="21" t="s">
        <v>548</v>
      </c>
      <c r="D797" s="6"/>
      <c r="E797" s="7"/>
      <c r="F797" s="22"/>
      <c r="G797" s="23"/>
      <c r="H797" s="23"/>
    </row>
    <row r="798" spans="2:8" x14ac:dyDescent="0.25">
      <c r="B798" s="8" t="s">
        <v>9</v>
      </c>
      <c r="C798" s="24" t="s">
        <v>549</v>
      </c>
      <c r="D798" s="9"/>
      <c r="E798" s="10" t="s">
        <v>9</v>
      </c>
      <c r="F798" s="25"/>
      <c r="G798" s="26"/>
      <c r="H798" s="1" t="b">
        <f>IF(D801="x",H$2,H$1)</f>
        <v>0</v>
      </c>
    </row>
    <row r="799" spans="2:8" x14ac:dyDescent="0.25">
      <c r="B799" s="8" t="s">
        <v>10</v>
      </c>
      <c r="C799" s="24" t="s">
        <v>550</v>
      </c>
      <c r="D799" s="9"/>
      <c r="E799" s="10" t="s">
        <v>10</v>
      </c>
      <c r="F799" s="27" t="str">
        <f>IF(H800=1,IF(H798=H$2,H798,""),"")</f>
        <v/>
      </c>
      <c r="G799" s="26"/>
      <c r="H799" s="1" t="str">
        <f>IF(E857="comprobar",COUNTIF(D798:D802,"x"),"")</f>
        <v/>
      </c>
    </row>
    <row r="800" spans="2:8" x14ac:dyDescent="0.25">
      <c r="B800" s="8" t="s">
        <v>11</v>
      </c>
      <c r="C800" s="24" t="s">
        <v>551</v>
      </c>
      <c r="D800" s="9"/>
      <c r="E800" s="10" t="s">
        <v>11</v>
      </c>
      <c r="F800" s="28" t="str">
        <f>IF(H800=-0.33,IF(H798=H$1,H798,""),"")</f>
        <v/>
      </c>
      <c r="G800" s="26"/>
      <c r="H800" s="29">
        <f>IF(H799=1,IF(H798=H$2,1,-0.33),0)</f>
        <v>0</v>
      </c>
    </row>
    <row r="801" spans="2:8" x14ac:dyDescent="0.25">
      <c r="B801" s="8" t="s">
        <v>12</v>
      </c>
      <c r="C801" s="24" t="s">
        <v>32</v>
      </c>
      <c r="D801" s="9"/>
      <c r="E801" s="10" t="s">
        <v>12</v>
      </c>
      <c r="F801" s="25"/>
      <c r="G801" s="26"/>
      <c r="H801" s="26"/>
    </row>
    <row r="802" spans="2:8" x14ac:dyDescent="0.25">
      <c r="B802" s="11"/>
      <c r="C802" s="12"/>
      <c r="D802" s="9"/>
      <c r="E802" s="10" t="s">
        <v>13</v>
      </c>
      <c r="F802" s="30"/>
      <c r="G802" s="26"/>
      <c r="H802" s="26"/>
    </row>
    <row r="803" spans="2:8" x14ac:dyDescent="0.25">
      <c r="B803" s="5">
        <v>7</v>
      </c>
      <c r="C803" s="21" t="s">
        <v>552</v>
      </c>
      <c r="D803" s="6"/>
      <c r="E803" s="7"/>
      <c r="F803" s="22"/>
      <c r="G803" s="23"/>
      <c r="H803" s="23"/>
    </row>
    <row r="804" spans="2:8" ht="31.5" x14ac:dyDescent="0.25">
      <c r="B804" s="8" t="s">
        <v>9</v>
      </c>
      <c r="C804" s="24" t="s">
        <v>553</v>
      </c>
      <c r="D804" s="9"/>
      <c r="E804" s="10" t="s">
        <v>9</v>
      </c>
      <c r="F804" s="25"/>
      <c r="G804" s="26"/>
      <c r="H804" s="1" t="b">
        <f>IF(D805="x",H$2,H$1)</f>
        <v>0</v>
      </c>
    </row>
    <row r="805" spans="2:8" ht="31.5" x14ac:dyDescent="0.25">
      <c r="B805" s="8" t="s">
        <v>10</v>
      </c>
      <c r="C805" s="24" t="s">
        <v>554</v>
      </c>
      <c r="D805" s="9"/>
      <c r="E805" s="10" t="s">
        <v>10</v>
      </c>
      <c r="F805" s="27" t="str">
        <f>IF(H806=1,IF(H804=H$2,H804,""),"")</f>
        <v/>
      </c>
      <c r="G805" s="26"/>
      <c r="H805" s="1" t="str">
        <f>IF(E857="comprobar",COUNTIF(D804:D808,"x"),"")</f>
        <v/>
      </c>
    </row>
    <row r="806" spans="2:8" ht="31.5" x14ac:dyDescent="0.25">
      <c r="B806" s="8" t="s">
        <v>11</v>
      </c>
      <c r="C806" s="24" t="s">
        <v>555</v>
      </c>
      <c r="D806" s="9"/>
      <c r="E806" s="10" t="s">
        <v>11</v>
      </c>
      <c r="F806" s="28" t="str">
        <f>IF(H806=-0.33,IF(H804=H$1,H804,""),"")</f>
        <v/>
      </c>
      <c r="G806" s="26"/>
      <c r="H806" s="29">
        <f>IF(H805=1,IF(H804=H$2,1,-0.33),0)</f>
        <v>0</v>
      </c>
    </row>
    <row r="807" spans="2:8" x14ac:dyDescent="0.25">
      <c r="B807" s="8" t="s">
        <v>12</v>
      </c>
      <c r="C807" s="24" t="s">
        <v>32</v>
      </c>
      <c r="D807" s="9"/>
      <c r="E807" s="10" t="s">
        <v>12</v>
      </c>
      <c r="F807" s="25"/>
      <c r="G807" s="26"/>
      <c r="H807" s="29"/>
    </row>
    <row r="808" spans="2:8" x14ac:dyDescent="0.25">
      <c r="B808" s="11"/>
      <c r="C808" s="12"/>
      <c r="D808" s="9"/>
      <c r="E808" s="10" t="s">
        <v>13</v>
      </c>
      <c r="F808" s="30"/>
      <c r="G808" s="26"/>
      <c r="H808" s="29"/>
    </row>
    <row r="809" spans="2:8" ht="31.5" x14ac:dyDescent="0.25">
      <c r="B809" s="5">
        <v>8</v>
      </c>
      <c r="C809" s="21" t="s">
        <v>556</v>
      </c>
      <c r="D809" s="6"/>
      <c r="E809" s="7"/>
      <c r="F809" s="22"/>
      <c r="G809" s="23"/>
      <c r="H809" s="23"/>
    </row>
    <row r="810" spans="2:8" ht="31.5" x14ac:dyDescent="0.25">
      <c r="B810" s="8" t="s">
        <v>9</v>
      </c>
      <c r="C810" s="24" t="s">
        <v>557</v>
      </c>
      <c r="D810" s="9"/>
      <c r="E810" s="10" t="s">
        <v>9</v>
      </c>
      <c r="F810" s="25"/>
      <c r="G810" s="26"/>
      <c r="H810" s="1" t="b">
        <f>IF(D813="x",H$2,H$1)</f>
        <v>0</v>
      </c>
    </row>
    <row r="811" spans="2:8" x14ac:dyDescent="0.25">
      <c r="B811" s="8" t="s">
        <v>10</v>
      </c>
      <c r="C811" s="24" t="s">
        <v>558</v>
      </c>
      <c r="D811" s="9"/>
      <c r="E811" s="10" t="s">
        <v>10</v>
      </c>
      <c r="F811" s="27" t="str">
        <f>IF(H812=1,IF(H810=H$2,H810,""),"")</f>
        <v/>
      </c>
      <c r="G811" s="26"/>
      <c r="H811" s="1" t="str">
        <f>IF(E857="comprobar",COUNTIF(D810:D814,"x"),"")</f>
        <v/>
      </c>
    </row>
    <row r="812" spans="2:8" ht="31.5" x14ac:dyDescent="0.25">
      <c r="B812" s="8" t="s">
        <v>11</v>
      </c>
      <c r="C812" s="24" t="s">
        <v>559</v>
      </c>
      <c r="D812" s="9"/>
      <c r="E812" s="10" t="s">
        <v>11</v>
      </c>
      <c r="F812" s="28" t="str">
        <f>IF(H812=-0.33,IF(H810=H$1,H810,""),"")</f>
        <v/>
      </c>
      <c r="G812" s="26"/>
      <c r="H812" s="29">
        <f>IF(H811=1,IF(H810=H$2,1,-0.33),0)</f>
        <v>0</v>
      </c>
    </row>
    <row r="813" spans="2:8" x14ac:dyDescent="0.25">
      <c r="B813" s="8" t="s">
        <v>12</v>
      </c>
      <c r="C813" s="24" t="s">
        <v>32</v>
      </c>
      <c r="D813" s="9"/>
      <c r="E813" s="10" t="s">
        <v>12</v>
      </c>
      <c r="F813" s="25"/>
      <c r="G813" s="26"/>
      <c r="H813" s="29"/>
    </row>
    <row r="814" spans="2:8" x14ac:dyDescent="0.25">
      <c r="B814" s="11"/>
      <c r="C814" s="12"/>
      <c r="D814" s="9"/>
      <c r="E814" s="10" t="s">
        <v>13</v>
      </c>
      <c r="F814" s="30"/>
      <c r="G814" s="26"/>
      <c r="H814" s="29"/>
    </row>
    <row r="815" spans="2:8" x14ac:dyDescent="0.25">
      <c r="B815" s="5">
        <v>9</v>
      </c>
      <c r="C815" s="21" t="s">
        <v>560</v>
      </c>
      <c r="D815" s="6"/>
      <c r="E815" s="7"/>
      <c r="F815" s="22"/>
      <c r="G815" s="23"/>
      <c r="H815" s="23"/>
    </row>
    <row r="816" spans="2:8" x14ac:dyDescent="0.25">
      <c r="B816" s="8" t="s">
        <v>9</v>
      </c>
      <c r="C816" s="24" t="s">
        <v>561</v>
      </c>
      <c r="D816" s="9"/>
      <c r="E816" s="10" t="s">
        <v>9</v>
      </c>
      <c r="F816" s="25"/>
      <c r="G816" s="26"/>
      <c r="H816" s="1" t="b">
        <f>IF(D818="x",H$2,H$1)</f>
        <v>0</v>
      </c>
    </row>
    <row r="817" spans="2:8" x14ac:dyDescent="0.25">
      <c r="B817" s="8" t="s">
        <v>10</v>
      </c>
      <c r="C817" s="24" t="s">
        <v>562</v>
      </c>
      <c r="D817" s="9"/>
      <c r="E817" s="10" t="s">
        <v>10</v>
      </c>
      <c r="F817" s="27" t="str">
        <f>IF(H818=1,IF(H816=H$2,H816,""),"")</f>
        <v/>
      </c>
      <c r="G817" s="26"/>
      <c r="H817" s="1" t="str">
        <f>IF(E857="comprobar",COUNTIF(D816:D820,"x"),"")</f>
        <v/>
      </c>
    </row>
    <row r="818" spans="2:8" ht="31.5" x14ac:dyDescent="0.25">
      <c r="B818" s="8" t="s">
        <v>11</v>
      </c>
      <c r="C818" s="24" t="s">
        <v>563</v>
      </c>
      <c r="D818" s="9"/>
      <c r="E818" s="10" t="s">
        <v>11</v>
      </c>
      <c r="F818" s="28" t="str">
        <f>IF(H818=-0.33,IF(H816=H$1,H816,""),"")</f>
        <v/>
      </c>
      <c r="G818" s="26"/>
      <c r="H818" s="29">
        <f>IF(H817=1,IF(H816=H$2,1,-0.33),0)</f>
        <v>0</v>
      </c>
    </row>
    <row r="819" spans="2:8" x14ac:dyDescent="0.25">
      <c r="B819" s="8" t="s">
        <v>12</v>
      </c>
      <c r="C819" s="24" t="s">
        <v>32</v>
      </c>
      <c r="D819" s="9"/>
      <c r="E819" s="10" t="s">
        <v>12</v>
      </c>
      <c r="F819" s="25"/>
      <c r="G819" s="26"/>
      <c r="H819" s="1"/>
    </row>
    <row r="820" spans="2:8" x14ac:dyDescent="0.25">
      <c r="B820" s="11"/>
      <c r="C820" s="12"/>
      <c r="D820" s="9"/>
      <c r="E820" s="10" t="s">
        <v>13</v>
      </c>
      <c r="F820" s="30"/>
      <c r="G820" s="26"/>
      <c r="H820" s="15"/>
    </row>
    <row r="821" spans="2:8" x14ac:dyDescent="0.25">
      <c r="B821" s="5">
        <v>10</v>
      </c>
      <c r="C821" s="21" t="s">
        <v>564</v>
      </c>
      <c r="D821" s="6"/>
      <c r="E821" s="7"/>
      <c r="F821" s="22"/>
      <c r="G821" s="31"/>
      <c r="H821" s="31"/>
    </row>
    <row r="822" spans="2:8" x14ac:dyDescent="0.25">
      <c r="B822" s="8" t="s">
        <v>9</v>
      </c>
      <c r="C822" s="24" t="s">
        <v>565</v>
      </c>
      <c r="D822" s="9"/>
      <c r="E822" s="10" t="s">
        <v>9</v>
      </c>
      <c r="F822" s="25"/>
      <c r="G822" s="32"/>
      <c r="H822" s="1" t="b">
        <f>IF(D823="x",H$2,H$1)</f>
        <v>0</v>
      </c>
    </row>
    <row r="823" spans="2:8" x14ac:dyDescent="0.25">
      <c r="B823" s="8" t="s">
        <v>10</v>
      </c>
      <c r="C823" s="24" t="s">
        <v>566</v>
      </c>
      <c r="D823" s="9"/>
      <c r="E823" s="10" t="s">
        <v>10</v>
      </c>
      <c r="F823" s="27" t="str">
        <f>IF(H824=1,IF(H822=H$2,H822,""),"")</f>
        <v/>
      </c>
      <c r="G823" s="32"/>
      <c r="H823" s="1" t="str">
        <f>IF(E857="comprobar",COUNTIF(D822:D826,"x"),"")</f>
        <v/>
      </c>
    </row>
    <row r="824" spans="2:8" x14ac:dyDescent="0.25">
      <c r="B824" s="8" t="s">
        <v>11</v>
      </c>
      <c r="C824" s="24" t="s">
        <v>567</v>
      </c>
      <c r="D824" s="9"/>
      <c r="E824" s="10" t="s">
        <v>11</v>
      </c>
      <c r="F824" s="28" t="str">
        <f>IF(H824=-0.33,IF(H822=H$1,H822,""),"")</f>
        <v/>
      </c>
      <c r="G824" s="32"/>
      <c r="H824" s="29">
        <f>IF(H823=1,IF(H822=H$2,1,-0.33),0)</f>
        <v>0</v>
      </c>
    </row>
    <row r="825" spans="2:8" x14ac:dyDescent="0.25">
      <c r="B825" s="8" t="s">
        <v>12</v>
      </c>
      <c r="C825" s="24" t="s">
        <v>32</v>
      </c>
      <c r="D825" s="9"/>
      <c r="E825" s="10" t="s">
        <v>12</v>
      </c>
      <c r="F825" s="25"/>
      <c r="G825" s="32"/>
      <c r="H825" s="29"/>
    </row>
    <row r="826" spans="2:8" x14ac:dyDescent="0.25">
      <c r="B826" s="11"/>
      <c r="C826" s="12"/>
      <c r="D826" s="9"/>
      <c r="E826" s="10" t="s">
        <v>13</v>
      </c>
      <c r="F826" s="30"/>
      <c r="G826" s="32"/>
      <c r="H826" s="29"/>
    </row>
    <row r="827" spans="2:8" x14ac:dyDescent="0.25">
      <c r="B827" s="5">
        <v>11</v>
      </c>
      <c r="C827" s="21" t="s">
        <v>568</v>
      </c>
      <c r="D827" s="6"/>
      <c r="E827" s="7"/>
      <c r="F827" s="22"/>
      <c r="G827" s="31"/>
      <c r="H827" s="31"/>
    </row>
    <row r="828" spans="2:8" x14ac:dyDescent="0.25">
      <c r="B828" s="8" t="s">
        <v>9</v>
      </c>
      <c r="C828" s="24" t="s">
        <v>569</v>
      </c>
      <c r="D828" s="9"/>
      <c r="E828" s="10" t="s">
        <v>9</v>
      </c>
      <c r="F828" s="25"/>
      <c r="G828" s="32"/>
      <c r="H828" s="1" t="b">
        <f>IF(D829="x",H$2,H$1)</f>
        <v>0</v>
      </c>
    </row>
    <row r="829" spans="2:8" x14ac:dyDescent="0.25">
      <c r="B829" s="8" t="s">
        <v>10</v>
      </c>
      <c r="C829" s="24" t="s">
        <v>570</v>
      </c>
      <c r="D829" s="9"/>
      <c r="E829" s="10" t="s">
        <v>10</v>
      </c>
      <c r="F829" s="27" t="str">
        <f>IF(H830=1,IF(H828=H$2,H828,""),"")</f>
        <v/>
      </c>
      <c r="G829" s="32"/>
      <c r="H829" s="1" t="str">
        <f>IF(E857="comprobar",COUNTIF(D828:D832,"x"),"")</f>
        <v/>
      </c>
    </row>
    <row r="830" spans="2:8" x14ac:dyDescent="0.25">
      <c r="B830" s="8" t="s">
        <v>11</v>
      </c>
      <c r="C830" s="24" t="s">
        <v>571</v>
      </c>
      <c r="D830" s="9"/>
      <c r="E830" s="10" t="s">
        <v>11</v>
      </c>
      <c r="F830" s="28" t="str">
        <f>IF(H830=-0.33,IF(H828=H$1,H828,""),"")</f>
        <v/>
      </c>
      <c r="G830" s="32"/>
      <c r="H830" s="29">
        <f>IF(H829=1,IF(H828=H$2,1,-0.33),0)</f>
        <v>0</v>
      </c>
    </row>
    <row r="831" spans="2:8" x14ac:dyDescent="0.25">
      <c r="B831" s="8" t="s">
        <v>12</v>
      </c>
      <c r="C831" s="24" t="s">
        <v>572</v>
      </c>
      <c r="D831" s="9"/>
      <c r="E831" s="10" t="s">
        <v>12</v>
      </c>
      <c r="F831" s="25"/>
      <c r="G831" s="32"/>
      <c r="H831" s="29"/>
    </row>
    <row r="832" spans="2:8" x14ac:dyDescent="0.25">
      <c r="B832" s="11"/>
      <c r="C832" s="12"/>
      <c r="D832" s="9"/>
      <c r="E832" s="10"/>
      <c r="F832" s="25"/>
      <c r="G832" s="32"/>
      <c r="H832" s="29"/>
    </row>
    <row r="833" spans="2:8" x14ac:dyDescent="0.25">
      <c r="B833" s="5">
        <v>12</v>
      </c>
      <c r="C833" s="21" t="s">
        <v>573</v>
      </c>
      <c r="D833" s="6"/>
      <c r="E833" s="7"/>
      <c r="F833" s="22"/>
      <c r="G833" s="23"/>
      <c r="H833" s="23"/>
    </row>
    <row r="834" spans="2:8" ht="31.5" x14ac:dyDescent="0.25">
      <c r="B834" s="8" t="s">
        <v>9</v>
      </c>
      <c r="C834" s="24" t="s">
        <v>574</v>
      </c>
      <c r="D834" s="9"/>
      <c r="E834" s="10" t="s">
        <v>9</v>
      </c>
      <c r="F834" s="25"/>
      <c r="G834" s="26"/>
      <c r="H834" s="1" t="b">
        <f>IF(D837="x",H$2,H$1)</f>
        <v>0</v>
      </c>
    </row>
    <row r="835" spans="2:8" ht="31.5" x14ac:dyDescent="0.25">
      <c r="B835" s="8" t="s">
        <v>10</v>
      </c>
      <c r="C835" s="24" t="s">
        <v>575</v>
      </c>
      <c r="D835" s="9"/>
      <c r="E835" s="10" t="s">
        <v>10</v>
      </c>
      <c r="F835" s="27" t="str">
        <f>IF(H836=1,IF(H834=H$2,H834,""),"")</f>
        <v/>
      </c>
      <c r="G835" s="26"/>
      <c r="H835" s="1" t="str">
        <f>IF(E857="comprobar",COUNTIF(D834:D838,"x"),"")</f>
        <v/>
      </c>
    </row>
    <row r="836" spans="2:8" x14ac:dyDescent="0.25">
      <c r="B836" s="8" t="s">
        <v>11</v>
      </c>
      <c r="C836" s="24" t="s">
        <v>576</v>
      </c>
      <c r="D836" s="9"/>
      <c r="E836" s="10" t="s">
        <v>11</v>
      </c>
      <c r="F836" s="28" t="str">
        <f>IF(H836=-0.33,IF(H834=H$1,H834,""),"")</f>
        <v/>
      </c>
      <c r="G836" s="26"/>
      <c r="H836" s="29">
        <f>IF(H835=1,IF(H834=H$2,1,-0.33),0)</f>
        <v>0</v>
      </c>
    </row>
    <row r="837" spans="2:8" x14ac:dyDescent="0.25">
      <c r="B837" s="8" t="s">
        <v>12</v>
      </c>
      <c r="C837" s="24" t="s">
        <v>577</v>
      </c>
      <c r="D837" s="9"/>
      <c r="E837" s="10" t="s">
        <v>12</v>
      </c>
      <c r="F837" s="25"/>
      <c r="G837" s="26"/>
      <c r="H837" s="29"/>
    </row>
    <row r="838" spans="2:8" x14ac:dyDescent="0.25">
      <c r="B838" s="11"/>
      <c r="C838" s="12"/>
      <c r="D838" s="9"/>
      <c r="E838" s="10" t="s">
        <v>13</v>
      </c>
      <c r="F838" s="30"/>
      <c r="G838" s="26"/>
      <c r="H838" s="29"/>
    </row>
    <row r="839" spans="2:8" x14ac:dyDescent="0.25">
      <c r="B839" s="5">
        <v>13</v>
      </c>
      <c r="C839" s="21" t="s">
        <v>578</v>
      </c>
      <c r="D839" s="6"/>
      <c r="E839" s="7"/>
      <c r="F839" s="22"/>
      <c r="G839" s="23"/>
      <c r="H839" s="23"/>
    </row>
    <row r="840" spans="2:8" x14ac:dyDescent="0.25">
      <c r="B840" s="8" t="s">
        <v>9</v>
      </c>
      <c r="C840" s="24" t="s">
        <v>579</v>
      </c>
      <c r="D840" s="9"/>
      <c r="E840" s="10" t="s">
        <v>9</v>
      </c>
      <c r="F840" s="25"/>
      <c r="G840" s="26"/>
      <c r="H840" s="1" t="b">
        <f>IF(D841="x",H$2,H$1)</f>
        <v>0</v>
      </c>
    </row>
    <row r="841" spans="2:8" x14ac:dyDescent="0.25">
      <c r="B841" s="8" t="s">
        <v>10</v>
      </c>
      <c r="C841" s="24" t="s">
        <v>580</v>
      </c>
      <c r="D841" s="9"/>
      <c r="E841" s="10" t="s">
        <v>10</v>
      </c>
      <c r="F841" s="27" t="str">
        <f>IF(H842=1,IF(H840=H$2,H840,""),"")</f>
        <v/>
      </c>
      <c r="G841" s="26"/>
      <c r="H841" s="1" t="str">
        <f>IF(E857="comprobar",COUNTIF(D840:D844,"x"),"")</f>
        <v/>
      </c>
    </row>
    <row r="842" spans="2:8" x14ac:dyDescent="0.25">
      <c r="B842" s="8" t="s">
        <v>11</v>
      </c>
      <c r="C842" s="24" t="s">
        <v>581</v>
      </c>
      <c r="D842" s="9"/>
      <c r="E842" s="10" t="s">
        <v>11</v>
      </c>
      <c r="F842" s="28" t="str">
        <f>IF(H842=-0.33,IF(H840=H$1,H840,""),"")</f>
        <v/>
      </c>
      <c r="G842" s="26"/>
      <c r="H842" s="29">
        <f t="shared" ref="H842" si="17">IF(H841=1,IF(H840=H$2,1,-0.33),0)</f>
        <v>0</v>
      </c>
    </row>
    <row r="843" spans="2:8" x14ac:dyDescent="0.25">
      <c r="B843" s="8" t="s">
        <v>12</v>
      </c>
      <c r="C843" s="24" t="s">
        <v>582</v>
      </c>
      <c r="D843" s="9"/>
      <c r="E843" s="10" t="s">
        <v>12</v>
      </c>
      <c r="F843" s="25"/>
      <c r="G843" s="26"/>
      <c r="H843" s="26"/>
    </row>
    <row r="844" spans="2:8" x14ac:dyDescent="0.25">
      <c r="B844" s="11"/>
      <c r="C844" s="12"/>
      <c r="D844" s="9"/>
      <c r="E844" s="10" t="s">
        <v>13</v>
      </c>
      <c r="F844" s="30"/>
      <c r="G844" s="26"/>
      <c r="H844" s="26"/>
    </row>
    <row r="845" spans="2:8" x14ac:dyDescent="0.25">
      <c r="B845" s="5">
        <v>14</v>
      </c>
      <c r="C845" s="21" t="s">
        <v>279</v>
      </c>
      <c r="D845" s="6"/>
      <c r="E845" s="7"/>
      <c r="F845" s="22"/>
      <c r="G845" s="23"/>
      <c r="H845" s="23"/>
    </row>
    <row r="846" spans="2:8" x14ac:dyDescent="0.25">
      <c r="B846" s="8" t="s">
        <v>9</v>
      </c>
      <c r="C846" s="24" t="s">
        <v>583</v>
      </c>
      <c r="D846" s="9"/>
      <c r="E846" s="10" t="s">
        <v>9</v>
      </c>
      <c r="F846" s="25"/>
      <c r="G846" s="26"/>
      <c r="H846" s="1" t="b">
        <f>IF(D847="x",H$2,H$1)</f>
        <v>0</v>
      </c>
    </row>
    <row r="847" spans="2:8" x14ac:dyDescent="0.25">
      <c r="B847" s="8" t="s">
        <v>10</v>
      </c>
      <c r="C847" s="24" t="s">
        <v>584</v>
      </c>
      <c r="D847" s="9"/>
      <c r="E847" s="10" t="s">
        <v>10</v>
      </c>
      <c r="F847" s="27" t="str">
        <f>IF(H848=1,IF(H846=H$2,H846,""),"")</f>
        <v/>
      </c>
      <c r="G847" s="26"/>
      <c r="H847" s="1" t="str">
        <f>IF(E857="comprobar",COUNTIF(D846:D850,"x"),"")</f>
        <v/>
      </c>
    </row>
    <row r="848" spans="2:8" x14ac:dyDescent="0.25">
      <c r="B848" s="8" t="s">
        <v>11</v>
      </c>
      <c r="C848" s="24" t="s">
        <v>585</v>
      </c>
      <c r="D848" s="9"/>
      <c r="E848" s="10" t="s">
        <v>11</v>
      </c>
      <c r="F848" s="28" t="str">
        <f>IF(H848=-0.33,IF(H846=H$1,H846,""),"")</f>
        <v/>
      </c>
      <c r="G848" s="26"/>
      <c r="H848" s="29">
        <f>IF(H847=1,IF(H846=H$2,1,-0.33),0)</f>
        <v>0</v>
      </c>
    </row>
    <row r="849" spans="2:8" x14ac:dyDescent="0.25">
      <c r="B849" s="8" t="s">
        <v>12</v>
      </c>
      <c r="C849" s="24" t="s">
        <v>32</v>
      </c>
      <c r="D849" s="9"/>
      <c r="E849" s="10" t="s">
        <v>12</v>
      </c>
      <c r="F849" s="25"/>
      <c r="G849" s="26"/>
      <c r="H849" s="26"/>
    </row>
    <row r="850" spans="2:8" x14ac:dyDescent="0.25">
      <c r="B850" s="11"/>
      <c r="C850" s="12"/>
      <c r="D850" s="9"/>
      <c r="E850" s="10" t="s">
        <v>13</v>
      </c>
      <c r="F850" s="30"/>
      <c r="G850" s="26"/>
      <c r="H850" s="26"/>
    </row>
    <row r="851" spans="2:8" x14ac:dyDescent="0.25">
      <c r="B851" s="5">
        <v>15</v>
      </c>
      <c r="C851" s="21" t="s">
        <v>279</v>
      </c>
      <c r="D851" s="6"/>
      <c r="E851" s="7"/>
      <c r="F851" s="22"/>
      <c r="G851" s="23"/>
      <c r="H851" s="23"/>
    </row>
    <row r="852" spans="2:8" x14ac:dyDescent="0.25">
      <c r="B852" s="8" t="s">
        <v>9</v>
      </c>
      <c r="C852" s="24" t="s">
        <v>586</v>
      </c>
      <c r="D852" s="9"/>
      <c r="E852" s="10" t="s">
        <v>9</v>
      </c>
      <c r="F852" s="25"/>
      <c r="G852" s="26"/>
      <c r="H852" s="1" t="b">
        <f>IF(D852="x",H$2,H$1)</f>
        <v>0</v>
      </c>
    </row>
    <row r="853" spans="2:8" ht="47.25" x14ac:dyDescent="0.25">
      <c r="B853" s="8" t="s">
        <v>10</v>
      </c>
      <c r="C853" s="24" t="s">
        <v>587</v>
      </c>
      <c r="D853" s="9"/>
      <c r="E853" s="10" t="s">
        <v>10</v>
      </c>
      <c r="F853" s="27" t="str">
        <f>IF(H854=1,IF(H852=H$2,H852,""),"")</f>
        <v/>
      </c>
      <c r="G853" s="26"/>
      <c r="H853" s="1" t="str">
        <f>IF(E857="comprobar",COUNTIF(D852:D856,"x"),"")</f>
        <v/>
      </c>
    </row>
    <row r="854" spans="2:8" ht="31.5" x14ac:dyDescent="0.25">
      <c r="B854" s="8" t="s">
        <v>11</v>
      </c>
      <c r="C854" s="24" t="s">
        <v>588</v>
      </c>
      <c r="D854" s="9"/>
      <c r="E854" s="10" t="s">
        <v>11</v>
      </c>
      <c r="F854" s="28" t="str">
        <f>IF(H854=-0.33,IF(H852=H$1,H852,""),"")</f>
        <v/>
      </c>
      <c r="G854" s="26"/>
      <c r="H854" s="29">
        <f>IF(H853=1,IF(H852=H$2,1,-0.33),0)</f>
        <v>0</v>
      </c>
    </row>
    <row r="855" spans="2:8" x14ac:dyDescent="0.25">
      <c r="B855" s="8" t="s">
        <v>12</v>
      </c>
      <c r="C855" s="24" t="s">
        <v>32</v>
      </c>
      <c r="D855" s="9"/>
      <c r="E855" s="10" t="s">
        <v>12</v>
      </c>
      <c r="F855" s="25"/>
      <c r="G855" s="26"/>
      <c r="H855" s="29"/>
    </row>
    <row r="856" spans="2:8" x14ac:dyDescent="0.25">
      <c r="B856" s="11"/>
      <c r="C856" s="12"/>
      <c r="D856" s="9"/>
      <c r="E856" s="10" t="s">
        <v>13</v>
      </c>
      <c r="F856" s="30"/>
      <c r="G856" s="26"/>
      <c r="H856" s="29"/>
    </row>
    <row r="857" spans="2:8" x14ac:dyDescent="0.25">
      <c r="B857" s="33"/>
      <c r="C857" s="4"/>
      <c r="D857" s="34"/>
      <c r="E857" s="35"/>
      <c r="F857" s="30"/>
      <c r="G857" s="26"/>
      <c r="H857" s="26"/>
    </row>
    <row r="858" spans="2:8" x14ac:dyDescent="0.25">
      <c r="B858" s="33"/>
      <c r="C858" s="4"/>
      <c r="D858" s="34"/>
      <c r="E858" s="36"/>
      <c r="F858" s="37" t="s">
        <v>8</v>
      </c>
      <c r="G858" s="26" t="s">
        <v>6</v>
      </c>
      <c r="H858" s="26" t="s">
        <v>7</v>
      </c>
    </row>
    <row r="859" spans="2:8" ht="19.5" x14ac:dyDescent="0.25">
      <c r="B859" s="33"/>
      <c r="C859" s="38"/>
      <c r="D859" s="51"/>
      <c r="E859" s="51"/>
      <c r="F859" s="39" t="str">
        <f>IF(E857="comprobar",H824+H818+H812+H806+H800+H794+H788+H782+H776+H770+H830+H836+H842+H848+H854,"")</f>
        <v/>
      </c>
      <c r="G859" s="26">
        <f>10/2</f>
        <v>5</v>
      </c>
      <c r="H859" s="26"/>
    </row>
    <row r="860" spans="2:8" ht="16.5" thickBot="1" x14ac:dyDescent="0.3">
      <c r="B860" s="40"/>
      <c r="C860" s="41"/>
      <c r="D860" s="42"/>
      <c r="E860" s="43"/>
      <c r="F860" s="44" t="str">
        <f>IF(F859&gt;G859,G858,H858)</f>
        <v>APROBADO</v>
      </c>
      <c r="G860" s="26"/>
      <c r="H860" s="26"/>
    </row>
    <row r="861" spans="2:8" ht="28.5" x14ac:dyDescent="0.45">
      <c r="B861" s="19" t="s">
        <v>81</v>
      </c>
      <c r="C861" s="49" t="s">
        <v>589</v>
      </c>
      <c r="D861" s="49"/>
      <c r="E861" s="49"/>
      <c r="F861" s="50"/>
      <c r="G861" s="20"/>
      <c r="H861" s="20"/>
    </row>
    <row r="862" spans="2:8" x14ac:dyDescent="0.25">
      <c r="B862" s="5">
        <v>1</v>
      </c>
      <c r="C862" s="21" t="s">
        <v>590</v>
      </c>
      <c r="D862" s="6"/>
      <c r="E862" s="7"/>
      <c r="F862" s="22"/>
      <c r="G862" s="23"/>
      <c r="H862" s="23"/>
    </row>
    <row r="863" spans="2:8" x14ac:dyDescent="0.25">
      <c r="B863" s="8" t="s">
        <v>9</v>
      </c>
      <c r="C863" s="24" t="s">
        <v>591</v>
      </c>
      <c r="D863" s="9"/>
      <c r="E863" s="10" t="s">
        <v>9</v>
      </c>
      <c r="F863" s="25"/>
      <c r="G863" s="26"/>
      <c r="H863" s="1" t="b">
        <f>IF(D866="x",H$2,H$1)</f>
        <v>0</v>
      </c>
    </row>
    <row r="864" spans="2:8" x14ac:dyDescent="0.25">
      <c r="B864" s="8" t="s">
        <v>10</v>
      </c>
      <c r="C864" s="24" t="s">
        <v>592</v>
      </c>
      <c r="D864" s="9"/>
      <c r="E864" s="10" t="s">
        <v>10</v>
      </c>
      <c r="F864" s="27" t="str">
        <f>IF(H865=1,IF(H863=H$2,H863,""),"")</f>
        <v/>
      </c>
      <c r="G864" s="26"/>
      <c r="H864" s="1" t="str">
        <f>IF(E952="comprobar",COUNTIF(D863:D867,"x"),"")</f>
        <v/>
      </c>
    </row>
    <row r="865" spans="2:8" x14ac:dyDescent="0.25">
      <c r="B865" s="8" t="s">
        <v>11</v>
      </c>
      <c r="C865" s="24" t="s">
        <v>593</v>
      </c>
      <c r="D865" s="9"/>
      <c r="E865" s="10" t="s">
        <v>11</v>
      </c>
      <c r="F865" s="28" t="str">
        <f>IF(H865=-0.33,IF(H863=H$1,H863,""),"")</f>
        <v/>
      </c>
      <c r="G865" s="26"/>
      <c r="H865" s="29">
        <f>IF(H864=1,IF(H863=H$2,1,-0.33),0)</f>
        <v>0</v>
      </c>
    </row>
    <row r="866" spans="2:8" ht="31.5" x14ac:dyDescent="0.25">
      <c r="B866" s="8" t="s">
        <v>12</v>
      </c>
      <c r="C866" s="24" t="s">
        <v>594</v>
      </c>
      <c r="D866" s="9"/>
      <c r="E866" s="10" t="s">
        <v>12</v>
      </c>
      <c r="F866" s="25"/>
      <c r="G866" s="26"/>
      <c r="H866" s="29"/>
    </row>
    <row r="867" spans="2:8" x14ac:dyDescent="0.25">
      <c r="B867" s="11"/>
      <c r="C867" s="12"/>
      <c r="D867" s="9"/>
      <c r="E867" s="10" t="s">
        <v>13</v>
      </c>
      <c r="F867" s="30"/>
      <c r="G867" s="26"/>
      <c r="H867" s="29"/>
    </row>
    <row r="868" spans="2:8" x14ac:dyDescent="0.25">
      <c r="B868" s="5">
        <v>2</v>
      </c>
      <c r="C868" s="21" t="s">
        <v>595</v>
      </c>
      <c r="D868" s="6"/>
      <c r="E868" s="7"/>
      <c r="F868" s="22"/>
      <c r="G868" s="23"/>
      <c r="H868" s="23"/>
    </row>
    <row r="869" spans="2:8" x14ac:dyDescent="0.25">
      <c r="B869" s="8" t="s">
        <v>9</v>
      </c>
      <c r="C869" s="24" t="s">
        <v>596</v>
      </c>
      <c r="D869" s="9"/>
      <c r="E869" s="10" t="s">
        <v>9</v>
      </c>
      <c r="F869" s="25"/>
      <c r="G869" s="26"/>
      <c r="H869" s="1" t="b">
        <f>IF(D871="x",H$2,H$1)</f>
        <v>0</v>
      </c>
    </row>
    <row r="870" spans="2:8" ht="31.5" x14ac:dyDescent="0.25">
      <c r="B870" s="8" t="s">
        <v>10</v>
      </c>
      <c r="C870" s="24" t="s">
        <v>597</v>
      </c>
      <c r="D870" s="9"/>
      <c r="E870" s="10" t="s">
        <v>10</v>
      </c>
      <c r="F870" s="27" t="str">
        <f>IF(H871=1,IF(H869=H$2,H869,""),"")</f>
        <v/>
      </c>
      <c r="G870" s="26"/>
      <c r="H870" s="1" t="str">
        <f>IF(E952="comprobar",COUNTIF(D869:D873,"x"),"")</f>
        <v/>
      </c>
    </row>
    <row r="871" spans="2:8" x14ac:dyDescent="0.25">
      <c r="B871" s="8" t="s">
        <v>11</v>
      </c>
      <c r="C871" s="24" t="s">
        <v>32</v>
      </c>
      <c r="D871" s="9"/>
      <c r="E871" s="10" t="s">
        <v>11</v>
      </c>
      <c r="F871" s="28" t="str">
        <f>IF(H871=-0.33,IF(H869=H$1,H869,""),"")</f>
        <v/>
      </c>
      <c r="G871" s="26"/>
      <c r="H871" s="29">
        <f>IF(H870=1,IF(H869=H$2,1,-0.33),0)</f>
        <v>0</v>
      </c>
    </row>
    <row r="872" spans="2:8" x14ac:dyDescent="0.25">
      <c r="B872" s="8" t="s">
        <v>12</v>
      </c>
      <c r="C872" s="24" t="s">
        <v>598</v>
      </c>
      <c r="D872" s="9"/>
      <c r="E872" s="10" t="s">
        <v>12</v>
      </c>
      <c r="F872" s="25"/>
      <c r="G872" s="26"/>
      <c r="H872" s="26"/>
    </row>
    <row r="873" spans="2:8" x14ac:dyDescent="0.25">
      <c r="B873" s="11"/>
      <c r="C873" s="12"/>
      <c r="D873" s="9"/>
      <c r="E873" s="10" t="s">
        <v>13</v>
      </c>
      <c r="F873" s="30"/>
      <c r="G873" s="26"/>
      <c r="H873" s="26"/>
    </row>
    <row r="874" spans="2:8" x14ac:dyDescent="0.25">
      <c r="B874" s="5">
        <v>3</v>
      </c>
      <c r="C874" s="21" t="s">
        <v>599</v>
      </c>
      <c r="D874" s="6"/>
      <c r="E874" s="7"/>
      <c r="F874" s="22"/>
      <c r="G874" s="23"/>
      <c r="H874" s="23"/>
    </row>
    <row r="875" spans="2:8" ht="31.5" x14ac:dyDescent="0.25">
      <c r="B875" s="8" t="s">
        <v>9</v>
      </c>
      <c r="C875" s="24" t="s">
        <v>600</v>
      </c>
      <c r="D875" s="9"/>
      <c r="E875" s="10" t="s">
        <v>9</v>
      </c>
      <c r="F875" s="25"/>
      <c r="G875" s="26"/>
      <c r="H875" s="1" t="b">
        <f>IF(D878="x",H$2,H$1)</f>
        <v>0</v>
      </c>
    </row>
    <row r="876" spans="2:8" ht="31.5" x14ac:dyDescent="0.25">
      <c r="B876" s="8" t="s">
        <v>10</v>
      </c>
      <c r="C876" s="24" t="s">
        <v>601</v>
      </c>
      <c r="D876" s="9"/>
      <c r="E876" s="10" t="s">
        <v>10</v>
      </c>
      <c r="F876" s="27" t="str">
        <f>IF(H877=1,IF(H875=H$2,H875,""),"")</f>
        <v/>
      </c>
      <c r="G876" s="26"/>
      <c r="H876" s="1" t="str">
        <f>IF(E952="comprobar",COUNTIF(D875:D879,"x"),"")</f>
        <v/>
      </c>
    </row>
    <row r="877" spans="2:8" x14ac:dyDescent="0.25">
      <c r="B877" s="8" t="s">
        <v>11</v>
      </c>
      <c r="C877" s="24" t="s">
        <v>602</v>
      </c>
      <c r="D877" s="9"/>
      <c r="E877" s="10" t="s">
        <v>11</v>
      </c>
      <c r="F877" s="28" t="str">
        <f>IF(H877=-0.33,IF(H875=H$1,H875,""),"")</f>
        <v/>
      </c>
      <c r="G877" s="26"/>
      <c r="H877" s="29">
        <f>IF(H876=1,IF(H875=H$2,1,-0.33),0)</f>
        <v>0</v>
      </c>
    </row>
    <row r="878" spans="2:8" x14ac:dyDescent="0.25">
      <c r="B878" s="8" t="s">
        <v>12</v>
      </c>
      <c r="C878" s="24" t="s">
        <v>32</v>
      </c>
      <c r="D878" s="9"/>
      <c r="E878" s="10" t="s">
        <v>12</v>
      </c>
      <c r="F878" s="25"/>
      <c r="G878" s="26"/>
      <c r="H878" s="29"/>
    </row>
    <row r="879" spans="2:8" x14ac:dyDescent="0.25">
      <c r="B879" s="11"/>
      <c r="C879" s="12"/>
      <c r="D879" s="9"/>
      <c r="E879" s="10" t="s">
        <v>13</v>
      </c>
      <c r="F879" s="30"/>
      <c r="G879" s="26"/>
      <c r="H879" s="29"/>
    </row>
    <row r="880" spans="2:8" x14ac:dyDescent="0.25">
      <c r="B880" s="5">
        <v>4</v>
      </c>
      <c r="C880" s="21" t="s">
        <v>603</v>
      </c>
      <c r="D880" s="6"/>
      <c r="E880" s="7"/>
      <c r="F880" s="22"/>
      <c r="G880" s="23"/>
      <c r="H880" s="23"/>
    </row>
    <row r="881" spans="2:8" ht="47.25" x14ac:dyDescent="0.25">
      <c r="B881" s="8" t="s">
        <v>9</v>
      </c>
      <c r="C881" s="24" t="s">
        <v>604</v>
      </c>
      <c r="D881" s="9"/>
      <c r="E881" s="10" t="s">
        <v>9</v>
      </c>
      <c r="F881" s="25"/>
      <c r="G881" s="26"/>
      <c r="H881" s="1" t="b">
        <f>IF(D883="x",H$2,H$1)</f>
        <v>0</v>
      </c>
    </row>
    <row r="882" spans="2:8" ht="31.5" x14ac:dyDescent="0.25">
      <c r="B882" s="8" t="s">
        <v>10</v>
      </c>
      <c r="C882" s="24" t="s">
        <v>605</v>
      </c>
      <c r="D882" s="9"/>
      <c r="E882" s="10" t="s">
        <v>10</v>
      </c>
      <c r="F882" s="27" t="str">
        <f>IF(H883=1,IF(H881=H$2,H881,""),"")</f>
        <v/>
      </c>
      <c r="G882" s="26"/>
      <c r="H882" s="1" t="str">
        <f>IF(E952="comprobar",COUNTIF(D881:D885,"x"),"")</f>
        <v/>
      </c>
    </row>
    <row r="883" spans="2:8" x14ac:dyDescent="0.25">
      <c r="B883" s="8" t="s">
        <v>11</v>
      </c>
      <c r="C883" s="24" t="s">
        <v>606</v>
      </c>
      <c r="D883" s="9"/>
      <c r="E883" s="10" t="s">
        <v>11</v>
      </c>
      <c r="F883" s="28" t="str">
        <f>IF(H883=-0.33,IF(H881=H$1,H881,""),"")</f>
        <v/>
      </c>
      <c r="G883" s="26"/>
      <c r="H883" s="29">
        <f>IF(H882=1,IF(H881=H$2,1,-0.33),0)</f>
        <v>0</v>
      </c>
    </row>
    <row r="884" spans="2:8" x14ac:dyDescent="0.25">
      <c r="B884" s="8" t="s">
        <v>12</v>
      </c>
      <c r="C884" s="24" t="s">
        <v>368</v>
      </c>
      <c r="D884" s="9"/>
      <c r="E884" s="10" t="s">
        <v>12</v>
      </c>
      <c r="F884" s="25"/>
      <c r="G884" s="26"/>
      <c r="H884" s="29"/>
    </row>
    <row r="885" spans="2:8" x14ac:dyDescent="0.25">
      <c r="B885" s="11"/>
      <c r="C885" s="12"/>
      <c r="D885" s="9"/>
      <c r="E885" s="10" t="s">
        <v>13</v>
      </c>
      <c r="F885" s="30"/>
      <c r="G885" s="26"/>
      <c r="H885" s="29"/>
    </row>
    <row r="886" spans="2:8" x14ac:dyDescent="0.25">
      <c r="B886" s="5">
        <v>5</v>
      </c>
      <c r="C886" s="21" t="s">
        <v>607</v>
      </c>
      <c r="D886" s="6"/>
      <c r="E886" s="7"/>
      <c r="F886" s="22"/>
      <c r="G886" s="23"/>
      <c r="H886" s="23"/>
    </row>
    <row r="887" spans="2:8" ht="31.5" x14ac:dyDescent="0.25">
      <c r="B887" s="8" t="s">
        <v>9</v>
      </c>
      <c r="C887" s="24" t="s">
        <v>608</v>
      </c>
      <c r="D887" s="9"/>
      <c r="E887" s="10" t="s">
        <v>9</v>
      </c>
      <c r="F887" s="25"/>
      <c r="G887" s="26"/>
      <c r="H887" s="1" t="b">
        <f>IF(D890="x",H$2,H$1)</f>
        <v>0</v>
      </c>
    </row>
    <row r="888" spans="2:8" ht="31.5" x14ac:dyDescent="0.25">
      <c r="B888" s="8" t="s">
        <v>10</v>
      </c>
      <c r="C888" s="24" t="s">
        <v>609</v>
      </c>
      <c r="D888" s="9"/>
      <c r="E888" s="10" t="s">
        <v>10</v>
      </c>
      <c r="F888" s="27" t="str">
        <f>IF(H889=1,IF(H887=H$2,H887,""),"")</f>
        <v/>
      </c>
      <c r="G888" s="26"/>
      <c r="H888" s="1" t="str">
        <f>IF(E952="comprobar",COUNTIF(D887:D891,"x"),"")</f>
        <v/>
      </c>
    </row>
    <row r="889" spans="2:8" ht="31.5" x14ac:dyDescent="0.25">
      <c r="B889" s="8" t="s">
        <v>11</v>
      </c>
      <c r="C889" s="24" t="s">
        <v>610</v>
      </c>
      <c r="D889" s="9"/>
      <c r="E889" s="10" t="s">
        <v>11</v>
      </c>
      <c r="F889" s="28" t="str">
        <f>IF(H889=-0.33,IF(H887=H$1,H887,""),"")</f>
        <v/>
      </c>
      <c r="G889" s="26"/>
      <c r="H889" s="29">
        <f t="shared" ref="H889" si="18">IF(H888=1,IF(H887=H$2,1,-0.33),0)</f>
        <v>0</v>
      </c>
    </row>
    <row r="890" spans="2:8" x14ac:dyDescent="0.25">
      <c r="B890" s="8" t="s">
        <v>12</v>
      </c>
      <c r="C890" s="24" t="s">
        <v>32</v>
      </c>
      <c r="D890" s="9"/>
      <c r="E890" s="10" t="s">
        <v>12</v>
      </c>
      <c r="F890" s="25"/>
      <c r="G890" s="26"/>
      <c r="H890" s="26"/>
    </row>
    <row r="891" spans="2:8" x14ac:dyDescent="0.25">
      <c r="B891" s="11"/>
      <c r="C891" s="12"/>
      <c r="D891" s="9"/>
      <c r="E891" s="10" t="s">
        <v>13</v>
      </c>
      <c r="F891" s="30"/>
      <c r="G891" s="26"/>
      <c r="H891" s="26"/>
    </row>
    <row r="892" spans="2:8" x14ac:dyDescent="0.25">
      <c r="B892" s="5">
        <v>6</v>
      </c>
      <c r="C892" s="21" t="s">
        <v>611</v>
      </c>
      <c r="D892" s="6"/>
      <c r="E892" s="7"/>
      <c r="F892" s="22"/>
      <c r="G892" s="23"/>
      <c r="H892" s="23"/>
    </row>
    <row r="893" spans="2:8" x14ac:dyDescent="0.25">
      <c r="B893" s="8" t="s">
        <v>9</v>
      </c>
      <c r="C893" s="24" t="s">
        <v>612</v>
      </c>
      <c r="D893" s="9"/>
      <c r="E893" s="10" t="s">
        <v>9</v>
      </c>
      <c r="F893" s="25"/>
      <c r="G893" s="26"/>
      <c r="H893" s="1" t="b">
        <f>IF(D896="x",H$2,H$1)</f>
        <v>0</v>
      </c>
    </row>
    <row r="894" spans="2:8" x14ac:dyDescent="0.25">
      <c r="B894" s="8" t="s">
        <v>10</v>
      </c>
      <c r="C894" s="24" t="s">
        <v>613</v>
      </c>
      <c r="D894" s="9"/>
      <c r="E894" s="10" t="s">
        <v>10</v>
      </c>
      <c r="F894" s="27" t="str">
        <f>IF(H895=1,IF(H893=H$2,H893,""),"")</f>
        <v/>
      </c>
      <c r="G894" s="26"/>
      <c r="H894" s="1" t="str">
        <f>IF(E952="comprobar",COUNTIF(D893:D897,"x"),"")</f>
        <v/>
      </c>
    </row>
    <row r="895" spans="2:8" x14ac:dyDescent="0.25">
      <c r="B895" s="8" t="s">
        <v>11</v>
      </c>
      <c r="C895" s="24" t="s">
        <v>614</v>
      </c>
      <c r="D895" s="9"/>
      <c r="E895" s="10" t="s">
        <v>11</v>
      </c>
      <c r="F895" s="28" t="str">
        <f>IF(H895=-0.33,IF(H893=H$1,H893,""),"")</f>
        <v/>
      </c>
      <c r="G895" s="26"/>
      <c r="H895" s="29">
        <f>IF(H894=1,IF(H893=H$2,1,-0.33),0)</f>
        <v>0</v>
      </c>
    </row>
    <row r="896" spans="2:8" x14ac:dyDescent="0.25">
      <c r="B896" s="8" t="s">
        <v>12</v>
      </c>
      <c r="C896" s="24" t="s">
        <v>368</v>
      </c>
      <c r="D896" s="9"/>
      <c r="E896" s="10" t="s">
        <v>12</v>
      </c>
      <c r="F896" s="25"/>
      <c r="G896" s="26"/>
      <c r="H896" s="26"/>
    </row>
    <row r="897" spans="2:8" x14ac:dyDescent="0.25">
      <c r="B897" s="11"/>
      <c r="C897" s="12"/>
      <c r="D897" s="9"/>
      <c r="E897" s="10" t="s">
        <v>13</v>
      </c>
      <c r="F897" s="30"/>
      <c r="G897" s="26"/>
      <c r="H897" s="26"/>
    </row>
    <row r="898" spans="2:8" x14ac:dyDescent="0.25">
      <c r="B898" s="5">
        <v>7</v>
      </c>
      <c r="C898" s="21" t="s">
        <v>615</v>
      </c>
      <c r="D898" s="6"/>
      <c r="E898" s="7"/>
      <c r="F898" s="22"/>
      <c r="G898" s="23"/>
      <c r="H898" s="23"/>
    </row>
    <row r="899" spans="2:8" x14ac:dyDescent="0.25">
      <c r="B899" s="8" t="s">
        <v>9</v>
      </c>
      <c r="C899" s="24" t="s">
        <v>616</v>
      </c>
      <c r="D899" s="9"/>
      <c r="E899" s="10" t="s">
        <v>9</v>
      </c>
      <c r="F899" s="25"/>
      <c r="G899" s="26"/>
      <c r="H899" s="1" t="b">
        <f>IF(D902="x",H$2,H$1)</f>
        <v>0</v>
      </c>
    </row>
    <row r="900" spans="2:8" x14ac:dyDescent="0.25">
      <c r="B900" s="8" t="s">
        <v>10</v>
      </c>
      <c r="C900" s="24" t="s">
        <v>617</v>
      </c>
      <c r="D900" s="9"/>
      <c r="E900" s="10" t="s">
        <v>10</v>
      </c>
      <c r="F900" s="27" t="str">
        <f>IF(H901=1,IF(H899=H$2,H899,""),"")</f>
        <v/>
      </c>
      <c r="G900" s="26"/>
      <c r="H900" s="1" t="str">
        <f>IF(E952="comprobar",COUNTIF(D899:D903,"x"),"")</f>
        <v/>
      </c>
    </row>
    <row r="901" spans="2:8" ht="31.5" x14ac:dyDescent="0.25">
      <c r="B901" s="8" t="s">
        <v>11</v>
      </c>
      <c r="C901" s="24" t="s">
        <v>618</v>
      </c>
      <c r="D901" s="9"/>
      <c r="E901" s="10" t="s">
        <v>11</v>
      </c>
      <c r="F901" s="28" t="str">
        <f>IF(H901=-0.33,IF(H899=H$1,H899,""),"")</f>
        <v/>
      </c>
      <c r="G901" s="26"/>
      <c r="H901" s="29">
        <f>IF(H900=1,IF(H899=H$2,1,-0.33),0)</f>
        <v>0</v>
      </c>
    </row>
    <row r="902" spans="2:8" x14ac:dyDescent="0.25">
      <c r="B902" s="8" t="s">
        <v>12</v>
      </c>
      <c r="C902" s="24" t="s">
        <v>32</v>
      </c>
      <c r="D902" s="9"/>
      <c r="E902" s="10" t="s">
        <v>12</v>
      </c>
      <c r="F902" s="25"/>
      <c r="G902" s="26"/>
      <c r="H902" s="29"/>
    </row>
    <row r="903" spans="2:8" x14ac:dyDescent="0.25">
      <c r="B903" s="11"/>
      <c r="C903" s="12"/>
      <c r="D903" s="9"/>
      <c r="E903" s="10" t="s">
        <v>13</v>
      </c>
      <c r="F903" s="30"/>
      <c r="G903" s="26"/>
      <c r="H903" s="29"/>
    </row>
    <row r="904" spans="2:8" x14ac:dyDescent="0.25">
      <c r="B904" s="5">
        <v>8</v>
      </c>
      <c r="C904" s="21" t="s">
        <v>279</v>
      </c>
      <c r="D904" s="6"/>
      <c r="E904" s="7"/>
      <c r="F904" s="22"/>
      <c r="G904" s="23"/>
      <c r="H904" s="23"/>
    </row>
    <row r="905" spans="2:8" ht="31.5" x14ac:dyDescent="0.25">
      <c r="B905" s="8" t="s">
        <v>9</v>
      </c>
      <c r="C905" s="24" t="s">
        <v>619</v>
      </c>
      <c r="D905" s="9"/>
      <c r="E905" s="10" t="s">
        <v>9</v>
      </c>
      <c r="F905" s="25"/>
      <c r="G905" s="26"/>
      <c r="H905" s="1" t="b">
        <f>IF(D908="x",H$2,H$1)</f>
        <v>0</v>
      </c>
    </row>
    <row r="906" spans="2:8" x14ac:dyDescent="0.25">
      <c r="B906" s="8" t="s">
        <v>10</v>
      </c>
      <c r="C906" s="24" t="s">
        <v>620</v>
      </c>
      <c r="D906" s="9"/>
      <c r="E906" s="10" t="s">
        <v>10</v>
      </c>
      <c r="F906" s="27" t="str">
        <f>IF(H907=1,IF(H905=H$2,H905,""),"")</f>
        <v/>
      </c>
      <c r="G906" s="26"/>
      <c r="H906" s="1" t="str">
        <f>IF(E952="comprobar",COUNTIF(D905:D909,"x"),"")</f>
        <v/>
      </c>
    </row>
    <row r="907" spans="2:8" ht="31.5" x14ac:dyDescent="0.25">
      <c r="B907" s="8" t="s">
        <v>11</v>
      </c>
      <c r="C907" s="24" t="s">
        <v>621</v>
      </c>
      <c r="D907" s="9"/>
      <c r="E907" s="10" t="s">
        <v>11</v>
      </c>
      <c r="F907" s="28" t="str">
        <f>IF(H907=-0.33,IF(H905=H$1,H905,""),"")</f>
        <v/>
      </c>
      <c r="G907" s="26"/>
      <c r="H907" s="29">
        <f>IF(H906=1,IF(H905=H$2,1,-0.33),0)</f>
        <v>0</v>
      </c>
    </row>
    <row r="908" spans="2:8" x14ac:dyDescent="0.25">
      <c r="B908" s="8" t="s">
        <v>12</v>
      </c>
      <c r="C908" s="24" t="s">
        <v>622</v>
      </c>
      <c r="D908" s="9"/>
      <c r="E908" s="10" t="s">
        <v>12</v>
      </c>
      <c r="F908" s="25"/>
      <c r="G908" s="26"/>
      <c r="H908" s="29"/>
    </row>
    <row r="909" spans="2:8" x14ac:dyDescent="0.25">
      <c r="B909" s="11"/>
      <c r="C909" s="12"/>
      <c r="D909" s="9"/>
      <c r="E909" s="10" t="s">
        <v>13</v>
      </c>
      <c r="F909" s="30"/>
      <c r="G909" s="26"/>
      <c r="H909" s="29"/>
    </row>
    <row r="910" spans="2:8" x14ac:dyDescent="0.25">
      <c r="B910" s="5">
        <v>9</v>
      </c>
      <c r="C910" s="21" t="s">
        <v>279</v>
      </c>
      <c r="D910" s="6"/>
      <c r="E910" s="7"/>
      <c r="F910" s="22"/>
      <c r="G910" s="23"/>
      <c r="H910" s="23"/>
    </row>
    <row r="911" spans="2:8" x14ac:dyDescent="0.25">
      <c r="B911" s="8" t="s">
        <v>9</v>
      </c>
      <c r="C911" s="24" t="s">
        <v>623</v>
      </c>
      <c r="D911" s="9"/>
      <c r="E911" s="10" t="s">
        <v>9</v>
      </c>
      <c r="F911" s="25"/>
      <c r="G911" s="26"/>
      <c r="H911" s="1" t="b">
        <f>IF(D914="x",H$2,H$1)</f>
        <v>0</v>
      </c>
    </row>
    <row r="912" spans="2:8" ht="31.5" x14ac:dyDescent="0.25">
      <c r="B912" s="8" t="s">
        <v>10</v>
      </c>
      <c r="C912" s="24" t="s">
        <v>624</v>
      </c>
      <c r="D912" s="9"/>
      <c r="E912" s="10" t="s">
        <v>10</v>
      </c>
      <c r="F912" s="27" t="str">
        <f>IF(H913=1,IF(H911=H$2,H911,""),"")</f>
        <v/>
      </c>
      <c r="G912" s="26"/>
      <c r="H912" s="1" t="str">
        <f>IF(E952="comprobar",COUNTIF(D911:D915,"x"),"")</f>
        <v/>
      </c>
    </row>
    <row r="913" spans="2:8" x14ac:dyDescent="0.25">
      <c r="B913" s="8" t="s">
        <v>11</v>
      </c>
      <c r="C913" s="24" t="s">
        <v>625</v>
      </c>
      <c r="D913" s="9"/>
      <c r="E913" s="10" t="s">
        <v>11</v>
      </c>
      <c r="F913" s="28" t="str">
        <f>IF(H913=-0.33,IF(H911=H$1,H911,""),"")</f>
        <v/>
      </c>
      <c r="G913" s="26"/>
      <c r="H913" s="29">
        <f>IF(H912=1,IF(H911=H$2,1,-0.33),0)</f>
        <v>0</v>
      </c>
    </row>
    <row r="914" spans="2:8" x14ac:dyDescent="0.25">
      <c r="B914" s="8" t="s">
        <v>12</v>
      </c>
      <c r="C914" s="24" t="s">
        <v>626</v>
      </c>
      <c r="D914" s="9"/>
      <c r="E914" s="10" t="s">
        <v>12</v>
      </c>
      <c r="F914" s="25"/>
      <c r="G914" s="26"/>
      <c r="H914" s="1"/>
    </row>
    <row r="915" spans="2:8" x14ac:dyDescent="0.25">
      <c r="B915" s="11"/>
      <c r="C915" s="12"/>
      <c r="D915" s="9"/>
      <c r="E915" s="10" t="s">
        <v>13</v>
      </c>
      <c r="F915" s="30"/>
      <c r="G915" s="26"/>
      <c r="H915" s="15"/>
    </row>
    <row r="916" spans="2:8" x14ac:dyDescent="0.25">
      <c r="B916" s="5">
        <v>10</v>
      </c>
      <c r="C916" s="21" t="s">
        <v>627</v>
      </c>
      <c r="D916" s="6"/>
      <c r="E916" s="7"/>
      <c r="F916" s="22"/>
      <c r="G916" s="31"/>
      <c r="H916" s="31"/>
    </row>
    <row r="917" spans="2:8" x14ac:dyDescent="0.25">
      <c r="B917" s="8" t="s">
        <v>9</v>
      </c>
      <c r="C917" s="24" t="s">
        <v>628</v>
      </c>
      <c r="D917" s="9"/>
      <c r="E917" s="10" t="s">
        <v>9</v>
      </c>
      <c r="F917" s="25"/>
      <c r="G917" s="32"/>
      <c r="H917" s="1" t="b">
        <f>IF(D919="x",H$2,H$1)</f>
        <v>0</v>
      </c>
    </row>
    <row r="918" spans="2:8" ht="31.5" x14ac:dyDescent="0.25">
      <c r="B918" s="8" t="s">
        <v>10</v>
      </c>
      <c r="C918" s="24" t="s">
        <v>629</v>
      </c>
      <c r="D918" s="9"/>
      <c r="E918" s="10" t="s">
        <v>10</v>
      </c>
      <c r="F918" s="27" t="str">
        <f>IF(H919=1,IF(H917=H$2,H917,""),"")</f>
        <v/>
      </c>
      <c r="G918" s="32"/>
      <c r="H918" s="1" t="str">
        <f>IF(E952="comprobar",COUNTIF(D917:D921,"x"),"")</f>
        <v/>
      </c>
    </row>
    <row r="919" spans="2:8" ht="31.5" x14ac:dyDescent="0.25">
      <c r="B919" s="8" t="s">
        <v>11</v>
      </c>
      <c r="C919" s="24" t="s">
        <v>630</v>
      </c>
      <c r="D919" s="9"/>
      <c r="E919" s="10" t="s">
        <v>11</v>
      </c>
      <c r="F919" s="28" t="str">
        <f>IF(H919=-0.33,IF(H917=H$1,H917,""),"")</f>
        <v/>
      </c>
      <c r="G919" s="32"/>
      <c r="H919" s="29">
        <f>IF(H918=1,IF(H917=H$2,1,-0.33),0)</f>
        <v>0</v>
      </c>
    </row>
    <row r="920" spans="2:8" x14ac:dyDescent="0.25">
      <c r="B920" s="8" t="s">
        <v>12</v>
      </c>
      <c r="C920" s="24" t="s">
        <v>32</v>
      </c>
      <c r="D920" s="9"/>
      <c r="E920" s="10" t="s">
        <v>12</v>
      </c>
      <c r="F920" s="25"/>
      <c r="G920" s="32"/>
      <c r="H920" s="29"/>
    </row>
    <row r="921" spans="2:8" x14ac:dyDescent="0.25">
      <c r="B921" s="11"/>
      <c r="C921" s="12"/>
      <c r="D921" s="9"/>
      <c r="E921" s="10" t="s">
        <v>13</v>
      </c>
      <c r="F921" s="30"/>
      <c r="G921" s="32"/>
      <c r="H921" s="29"/>
    </row>
    <row r="922" spans="2:8" x14ac:dyDescent="0.25">
      <c r="B922" s="5">
        <v>11</v>
      </c>
      <c r="C922" s="21" t="s">
        <v>631</v>
      </c>
      <c r="D922" s="6"/>
      <c r="E922" s="7"/>
      <c r="F922" s="22"/>
      <c r="G922" s="31"/>
      <c r="H922" s="31"/>
    </row>
    <row r="923" spans="2:8" x14ac:dyDescent="0.25">
      <c r="B923" s="8" t="s">
        <v>9</v>
      </c>
      <c r="C923" s="24" t="s">
        <v>632</v>
      </c>
      <c r="D923" s="9"/>
      <c r="E923" s="10" t="s">
        <v>9</v>
      </c>
      <c r="F923" s="25"/>
      <c r="G923" s="32"/>
      <c r="H923" s="1" t="b">
        <f>IF(D926="x",H$2,H$1)</f>
        <v>0</v>
      </c>
    </row>
    <row r="924" spans="2:8" x14ac:dyDescent="0.25">
      <c r="B924" s="8" t="s">
        <v>10</v>
      </c>
      <c r="C924" s="24" t="s">
        <v>633</v>
      </c>
      <c r="D924" s="9"/>
      <c r="E924" s="10" t="s">
        <v>10</v>
      </c>
      <c r="F924" s="27" t="str">
        <f>IF(H925=1,IF(H923=H$2,H923,""),"")</f>
        <v/>
      </c>
      <c r="G924" s="32"/>
      <c r="H924" s="1" t="str">
        <f>IF(E952="comprobar",COUNTIF(D923:D927,"x"),"")</f>
        <v/>
      </c>
    </row>
    <row r="925" spans="2:8" x14ac:dyDescent="0.25">
      <c r="B925" s="8" t="s">
        <v>11</v>
      </c>
      <c r="C925" s="24" t="s">
        <v>634</v>
      </c>
      <c r="D925" s="9"/>
      <c r="E925" s="10" t="s">
        <v>11</v>
      </c>
      <c r="F925" s="28" t="str">
        <f>IF(H925=-0.33,IF(H923=H$1,H923,""),"")</f>
        <v/>
      </c>
      <c r="G925" s="32"/>
      <c r="H925" s="29">
        <f>IF(H924=1,IF(H923=H$2,1,-0.33),0)</f>
        <v>0</v>
      </c>
    </row>
    <row r="926" spans="2:8" x14ac:dyDescent="0.25">
      <c r="B926" s="8" t="s">
        <v>12</v>
      </c>
      <c r="C926" s="24" t="s">
        <v>635</v>
      </c>
      <c r="D926" s="9"/>
      <c r="E926" s="10" t="s">
        <v>12</v>
      </c>
      <c r="F926" s="25"/>
      <c r="G926" s="32"/>
      <c r="H926" s="29"/>
    </row>
    <row r="927" spans="2:8" x14ac:dyDescent="0.25">
      <c r="B927" s="11"/>
      <c r="C927" s="12"/>
      <c r="D927" s="9"/>
      <c r="E927" s="10"/>
      <c r="F927" s="25"/>
      <c r="G927" s="32"/>
      <c r="H927" s="29"/>
    </row>
    <row r="928" spans="2:8" x14ac:dyDescent="0.25">
      <c r="B928" s="5">
        <v>12</v>
      </c>
      <c r="C928" s="21" t="s">
        <v>636</v>
      </c>
      <c r="D928" s="6"/>
      <c r="E928" s="7"/>
      <c r="F928" s="22"/>
      <c r="G928" s="23"/>
      <c r="H928" s="23"/>
    </row>
    <row r="929" spans="2:8" x14ac:dyDescent="0.25">
      <c r="B929" s="8" t="s">
        <v>9</v>
      </c>
      <c r="C929" s="24" t="s">
        <v>637</v>
      </c>
      <c r="D929" s="9"/>
      <c r="E929" s="10" t="s">
        <v>9</v>
      </c>
      <c r="F929" s="25"/>
      <c r="G929" s="26"/>
      <c r="H929" s="1" t="b">
        <f>IF(D931="x",H$2,H$1)</f>
        <v>0</v>
      </c>
    </row>
    <row r="930" spans="2:8" x14ac:dyDescent="0.25">
      <c r="B930" s="8" t="s">
        <v>10</v>
      </c>
      <c r="C930" s="24" t="s">
        <v>638</v>
      </c>
      <c r="D930" s="9"/>
      <c r="E930" s="10" t="s">
        <v>10</v>
      </c>
      <c r="F930" s="27" t="str">
        <f>IF(H931=1,IF(H929=H$2,H929,""),"")</f>
        <v/>
      </c>
      <c r="G930" s="26"/>
      <c r="H930" s="1" t="str">
        <f>IF(E952="comprobar",COUNTIF(D929:D933,"x"),"")</f>
        <v/>
      </c>
    </row>
    <row r="931" spans="2:8" x14ac:dyDescent="0.25">
      <c r="B931" s="8" t="s">
        <v>11</v>
      </c>
      <c r="C931" s="24" t="s">
        <v>639</v>
      </c>
      <c r="D931" s="9"/>
      <c r="E931" s="10" t="s">
        <v>11</v>
      </c>
      <c r="F931" s="28" t="str">
        <f>IF(H931=-0.33,IF(H929=H$1,H929,""),"")</f>
        <v/>
      </c>
      <c r="G931" s="26"/>
      <c r="H931" s="29">
        <f>IF(H930=1,IF(H929=H$2,1,-0.33),0)</f>
        <v>0</v>
      </c>
    </row>
    <row r="932" spans="2:8" x14ac:dyDescent="0.25">
      <c r="B932" s="8" t="s">
        <v>12</v>
      </c>
      <c r="C932" s="24" t="s">
        <v>635</v>
      </c>
      <c r="D932" s="9"/>
      <c r="E932" s="10" t="s">
        <v>12</v>
      </c>
      <c r="F932" s="25"/>
      <c r="G932" s="26"/>
      <c r="H932" s="29"/>
    </row>
    <row r="933" spans="2:8" x14ac:dyDescent="0.25">
      <c r="B933" s="11"/>
      <c r="C933" s="12"/>
      <c r="D933" s="9"/>
      <c r="E933" s="10" t="s">
        <v>13</v>
      </c>
      <c r="F933" s="30"/>
      <c r="G933" s="26"/>
      <c r="H933" s="29"/>
    </row>
    <row r="934" spans="2:8" x14ac:dyDescent="0.25">
      <c r="B934" s="5">
        <v>13</v>
      </c>
      <c r="C934" s="21" t="s">
        <v>640</v>
      </c>
      <c r="D934" s="6"/>
      <c r="E934" s="7"/>
      <c r="F934" s="22"/>
      <c r="G934" s="23"/>
      <c r="H934" s="23"/>
    </row>
    <row r="935" spans="2:8" x14ac:dyDescent="0.25">
      <c r="B935" s="8" t="s">
        <v>9</v>
      </c>
      <c r="C935" s="24" t="s">
        <v>641</v>
      </c>
      <c r="D935" s="9"/>
      <c r="E935" s="10" t="s">
        <v>9</v>
      </c>
      <c r="F935" s="25"/>
      <c r="G935" s="26"/>
      <c r="H935" s="1" t="b">
        <f>IF(D935="x",H$2,H$1)</f>
        <v>0</v>
      </c>
    </row>
    <row r="936" spans="2:8" x14ac:dyDescent="0.25">
      <c r="B936" s="8" t="s">
        <v>10</v>
      </c>
      <c r="C936" s="24" t="s">
        <v>638</v>
      </c>
      <c r="D936" s="9"/>
      <c r="E936" s="10" t="s">
        <v>10</v>
      </c>
      <c r="F936" s="27" t="str">
        <f>IF(H937=1,IF(H935=H$2,H935,""),"")</f>
        <v/>
      </c>
      <c r="G936" s="26"/>
      <c r="H936" s="1" t="str">
        <f>IF(E952="comprobar",COUNTIF(D935:D939,"x"),"")</f>
        <v/>
      </c>
    </row>
    <row r="937" spans="2:8" x14ac:dyDescent="0.25">
      <c r="B937" s="8" t="s">
        <v>11</v>
      </c>
      <c r="C937" s="24" t="s">
        <v>642</v>
      </c>
      <c r="D937" s="9"/>
      <c r="E937" s="10" t="s">
        <v>11</v>
      </c>
      <c r="F937" s="28" t="str">
        <f>IF(H937=-0.33,IF(H935=H$1,H935,""),"")</f>
        <v/>
      </c>
      <c r="G937" s="26"/>
      <c r="H937" s="29">
        <f t="shared" ref="H937" si="19">IF(H936=1,IF(H935=H$2,1,-0.33),0)</f>
        <v>0</v>
      </c>
    </row>
    <row r="938" spans="2:8" x14ac:dyDescent="0.25">
      <c r="B938" s="8" t="s">
        <v>12</v>
      </c>
      <c r="C938" s="24" t="s">
        <v>635</v>
      </c>
      <c r="D938" s="9"/>
      <c r="E938" s="10" t="s">
        <v>12</v>
      </c>
      <c r="F938" s="25"/>
      <c r="G938" s="26"/>
      <c r="H938" s="26"/>
    </row>
    <row r="939" spans="2:8" x14ac:dyDescent="0.25">
      <c r="B939" s="11"/>
      <c r="C939" s="12"/>
      <c r="D939" s="9"/>
      <c r="E939" s="10" t="s">
        <v>13</v>
      </c>
      <c r="F939" s="30"/>
      <c r="G939" s="26"/>
      <c r="H939" s="26"/>
    </row>
    <row r="940" spans="2:8" x14ac:dyDescent="0.25">
      <c r="B940" s="5">
        <v>14</v>
      </c>
      <c r="C940" s="21" t="s">
        <v>643</v>
      </c>
      <c r="D940" s="6"/>
      <c r="E940" s="7"/>
      <c r="F940" s="22"/>
      <c r="G940" s="23"/>
      <c r="H940" s="23"/>
    </row>
    <row r="941" spans="2:8" ht="31.5" x14ac:dyDescent="0.25">
      <c r="B941" s="8" t="s">
        <v>9</v>
      </c>
      <c r="C941" s="24" t="s">
        <v>644</v>
      </c>
      <c r="D941" s="9"/>
      <c r="E941" s="10" t="s">
        <v>9</v>
      </c>
      <c r="F941" s="25"/>
      <c r="G941" s="26"/>
      <c r="H941" s="1" t="b">
        <f>IF(D943="x",H$2,H$1)</f>
        <v>0</v>
      </c>
    </row>
    <row r="942" spans="2:8" x14ac:dyDescent="0.25">
      <c r="B942" s="8" t="s">
        <v>10</v>
      </c>
      <c r="C942" s="24" t="s">
        <v>645</v>
      </c>
      <c r="D942" s="9"/>
      <c r="E942" s="10" t="s">
        <v>10</v>
      </c>
      <c r="F942" s="27" t="str">
        <f>IF(H943=1,IF(H941=H$2,H941,""),"")</f>
        <v/>
      </c>
      <c r="G942" s="26"/>
      <c r="H942" s="1" t="str">
        <f>IF(E952="comprobar",COUNTIF(D941:D945,"x"),"")</f>
        <v/>
      </c>
    </row>
    <row r="943" spans="2:8" ht="31.5" x14ac:dyDescent="0.25">
      <c r="B943" s="8" t="s">
        <v>11</v>
      </c>
      <c r="C943" s="24" t="s">
        <v>646</v>
      </c>
      <c r="D943" s="9"/>
      <c r="E943" s="10" t="s">
        <v>11</v>
      </c>
      <c r="F943" s="28" t="str">
        <f>IF(H943=-0.33,IF(H941=H$1,H941,""),"")</f>
        <v/>
      </c>
      <c r="G943" s="26"/>
      <c r="H943" s="29">
        <f>IF(H942=1,IF(H941=H$2,1,-0.33),0)</f>
        <v>0</v>
      </c>
    </row>
    <row r="944" spans="2:8" x14ac:dyDescent="0.25">
      <c r="B944" s="8" t="s">
        <v>12</v>
      </c>
      <c r="C944" s="24" t="s">
        <v>32</v>
      </c>
      <c r="D944" s="9"/>
      <c r="E944" s="10" t="s">
        <v>12</v>
      </c>
      <c r="F944" s="25"/>
      <c r="G944" s="26"/>
      <c r="H944" s="26"/>
    </row>
    <row r="945" spans="2:8" x14ac:dyDescent="0.25">
      <c r="B945" s="11"/>
      <c r="C945" s="12"/>
      <c r="D945" s="9"/>
      <c r="E945" s="10" t="s">
        <v>13</v>
      </c>
      <c r="F945" s="30"/>
      <c r="G945" s="26"/>
      <c r="H945" s="26"/>
    </row>
    <row r="946" spans="2:8" x14ac:dyDescent="0.25">
      <c r="B946" s="5">
        <v>15</v>
      </c>
      <c r="C946" s="21" t="s">
        <v>647</v>
      </c>
      <c r="D946" s="6"/>
      <c r="E946" s="7"/>
      <c r="F946" s="22"/>
      <c r="G946" s="23"/>
      <c r="H946" s="23"/>
    </row>
    <row r="947" spans="2:8" x14ac:dyDescent="0.25">
      <c r="B947" s="8" t="s">
        <v>9</v>
      </c>
      <c r="C947" s="24" t="s">
        <v>648</v>
      </c>
      <c r="D947" s="9"/>
      <c r="E947" s="10" t="s">
        <v>9</v>
      </c>
      <c r="F947" s="25"/>
      <c r="G947" s="26"/>
      <c r="H947" s="1" t="b">
        <f>IF(D950="x",H$2,H$1)</f>
        <v>0</v>
      </c>
    </row>
    <row r="948" spans="2:8" x14ac:dyDescent="0.25">
      <c r="B948" s="8" t="s">
        <v>10</v>
      </c>
      <c r="C948" s="24" t="s">
        <v>649</v>
      </c>
      <c r="D948" s="9"/>
      <c r="E948" s="10" t="s">
        <v>10</v>
      </c>
      <c r="F948" s="27" t="str">
        <f>IF(H949=1,IF(H947=H$2,H947,""),"")</f>
        <v/>
      </c>
      <c r="G948" s="26"/>
      <c r="H948" s="1" t="str">
        <f>IF(E952="comprobar",COUNTIF(D947:D951,"x"),"")</f>
        <v/>
      </c>
    </row>
    <row r="949" spans="2:8" x14ac:dyDescent="0.25">
      <c r="B949" s="8" t="s">
        <v>11</v>
      </c>
      <c r="C949" s="24" t="s">
        <v>650</v>
      </c>
      <c r="D949" s="9"/>
      <c r="E949" s="10" t="s">
        <v>11</v>
      </c>
      <c r="F949" s="28" t="str">
        <f>IF(H949=-0.33,IF(H947=H$1,H947,""),"")</f>
        <v/>
      </c>
      <c r="G949" s="26"/>
      <c r="H949" s="29">
        <f>IF(H948=1,IF(H947=H$2,1,-0.33),0)</f>
        <v>0</v>
      </c>
    </row>
    <row r="950" spans="2:8" x14ac:dyDescent="0.25">
      <c r="B950" s="8" t="s">
        <v>12</v>
      </c>
      <c r="C950" s="24" t="s">
        <v>32</v>
      </c>
      <c r="D950" s="9"/>
      <c r="E950" s="10" t="s">
        <v>12</v>
      </c>
      <c r="F950" s="25"/>
      <c r="G950" s="26"/>
      <c r="H950" s="29"/>
    </row>
    <row r="951" spans="2:8" x14ac:dyDescent="0.25">
      <c r="B951" s="11"/>
      <c r="C951" s="12"/>
      <c r="D951" s="9"/>
      <c r="E951" s="10" t="s">
        <v>13</v>
      </c>
      <c r="F951" s="30"/>
      <c r="G951" s="26"/>
      <c r="H951" s="29"/>
    </row>
    <row r="952" spans="2:8" x14ac:dyDescent="0.25">
      <c r="B952" s="33"/>
      <c r="C952" s="4"/>
      <c r="D952" s="34"/>
      <c r="E952" s="35"/>
      <c r="F952" s="30"/>
      <c r="G952" s="26"/>
      <c r="H952" s="26"/>
    </row>
    <row r="953" spans="2:8" x14ac:dyDescent="0.25">
      <c r="B953" s="33"/>
      <c r="C953" s="4"/>
      <c r="D953" s="34"/>
      <c r="E953" s="36"/>
      <c r="F953" s="37" t="s">
        <v>8</v>
      </c>
      <c r="G953" s="26" t="s">
        <v>6</v>
      </c>
      <c r="H953" s="26" t="s">
        <v>7</v>
      </c>
    </row>
    <row r="954" spans="2:8" ht="19.5" x14ac:dyDescent="0.25">
      <c r="B954" s="33"/>
      <c r="C954" s="38"/>
      <c r="D954" s="51"/>
      <c r="E954" s="51"/>
      <c r="F954" s="39" t="str">
        <f>IF(E952="comprobar",H919+H913+H907+H901+H895+H889+H883+H877+H871+H865+H925+H931+H937+H943+H949,"")</f>
        <v/>
      </c>
      <c r="G954" s="26">
        <f>10/2</f>
        <v>5</v>
      </c>
      <c r="H954" s="26"/>
    </row>
    <row r="955" spans="2:8" ht="16.5" thickBot="1" x14ac:dyDescent="0.3">
      <c r="B955" s="40"/>
      <c r="C955" s="41"/>
      <c r="D955" s="42"/>
      <c r="E955" s="43"/>
      <c r="F955" s="44" t="str">
        <f>IF(F954&gt;G954,G953,H953)</f>
        <v>APROBADO</v>
      </c>
      <c r="G955" s="26"/>
      <c r="H955" s="26"/>
    </row>
    <row r="956" spans="2:8" ht="28.5" x14ac:dyDescent="0.45">
      <c r="B956" s="19" t="s">
        <v>81</v>
      </c>
      <c r="C956" s="49" t="s">
        <v>651</v>
      </c>
      <c r="D956" s="49"/>
      <c r="E956" s="49"/>
      <c r="F956" s="50"/>
      <c r="G956" s="20"/>
      <c r="H956" s="20"/>
    </row>
    <row r="957" spans="2:8" x14ac:dyDescent="0.25">
      <c r="B957" s="5">
        <v>1</v>
      </c>
      <c r="C957" s="21" t="s">
        <v>652</v>
      </c>
      <c r="D957" s="6"/>
      <c r="E957" s="7"/>
      <c r="F957" s="22"/>
      <c r="G957" s="23"/>
      <c r="H957" s="23"/>
    </row>
    <row r="958" spans="2:8" x14ac:dyDescent="0.25">
      <c r="B958" s="8" t="s">
        <v>9</v>
      </c>
      <c r="C958" s="24" t="s">
        <v>653</v>
      </c>
      <c r="D958" s="9"/>
      <c r="E958" s="10" t="s">
        <v>9</v>
      </c>
      <c r="F958" s="25"/>
      <c r="G958" s="26"/>
      <c r="H958" s="1" t="b">
        <f>IF(D961="x",H$2,H$1)</f>
        <v>0</v>
      </c>
    </row>
    <row r="959" spans="2:8" x14ac:dyDescent="0.25">
      <c r="B959" s="8" t="s">
        <v>10</v>
      </c>
      <c r="C959" s="24" t="s">
        <v>654</v>
      </c>
      <c r="D959" s="9"/>
      <c r="E959" s="10" t="s">
        <v>10</v>
      </c>
      <c r="F959" s="27" t="str">
        <f>IF(H960=1,IF(H958=H$2,H958,""),"")</f>
        <v/>
      </c>
      <c r="G959" s="26"/>
      <c r="H959" s="1" t="str">
        <f>IF(E1047="comprobar",COUNTIF(D958:D962,"x"),"")</f>
        <v/>
      </c>
    </row>
    <row r="960" spans="2:8" x14ac:dyDescent="0.25">
      <c r="B960" s="8" t="s">
        <v>11</v>
      </c>
      <c r="C960" s="24" t="s">
        <v>655</v>
      </c>
      <c r="D960" s="9"/>
      <c r="E960" s="10" t="s">
        <v>11</v>
      </c>
      <c r="F960" s="28" t="str">
        <f>IF(H960=-0.33,IF(H958=H$1,H958,""),"")</f>
        <v/>
      </c>
      <c r="G960" s="26"/>
      <c r="H960" s="29">
        <f>IF(H959=1,IF(H958=H$2,1,-0.33),0)</f>
        <v>0</v>
      </c>
    </row>
    <row r="961" spans="2:8" x14ac:dyDescent="0.25">
      <c r="B961" s="8" t="s">
        <v>12</v>
      </c>
      <c r="C961" s="24" t="s">
        <v>32</v>
      </c>
      <c r="D961" s="9"/>
      <c r="E961" s="10" t="s">
        <v>12</v>
      </c>
      <c r="F961" s="25"/>
      <c r="G961" s="26"/>
      <c r="H961" s="29"/>
    </row>
    <row r="962" spans="2:8" x14ac:dyDescent="0.25">
      <c r="B962" s="11"/>
      <c r="C962" s="12"/>
      <c r="D962" s="9"/>
      <c r="E962" s="10" t="s">
        <v>13</v>
      </c>
      <c r="F962" s="30"/>
      <c r="G962" s="26"/>
      <c r="H962" s="29"/>
    </row>
    <row r="963" spans="2:8" x14ac:dyDescent="0.25">
      <c r="B963" s="5">
        <v>2</v>
      </c>
      <c r="C963" s="21" t="s">
        <v>656</v>
      </c>
      <c r="D963" s="6"/>
      <c r="E963" s="7"/>
      <c r="F963" s="22"/>
      <c r="G963" s="23"/>
      <c r="H963" s="23"/>
    </row>
    <row r="964" spans="2:8" x14ac:dyDescent="0.25">
      <c r="B964" s="8" t="s">
        <v>9</v>
      </c>
      <c r="C964" s="24" t="s">
        <v>657</v>
      </c>
      <c r="D964" s="9"/>
      <c r="E964" s="10" t="s">
        <v>9</v>
      </c>
      <c r="F964" s="25"/>
      <c r="G964" s="26"/>
      <c r="H964" s="1" t="b">
        <f>IF(D964="x",H$2,H$1)</f>
        <v>0</v>
      </c>
    </row>
    <row r="965" spans="2:8" x14ac:dyDescent="0.25">
      <c r="B965" s="8" t="s">
        <v>10</v>
      </c>
      <c r="C965" s="24" t="s">
        <v>658</v>
      </c>
      <c r="D965" s="9"/>
      <c r="E965" s="10" t="s">
        <v>10</v>
      </c>
      <c r="F965" s="27" t="str">
        <f>IF(H966=1,IF(H964=H$2,H964,""),"")</f>
        <v/>
      </c>
      <c r="G965" s="26"/>
      <c r="H965" s="1" t="str">
        <f>IF(E1047="comprobar",COUNTIF(D964:D968,"x"),"")</f>
        <v/>
      </c>
    </row>
    <row r="966" spans="2:8" x14ac:dyDescent="0.25">
      <c r="B966" s="8" t="s">
        <v>11</v>
      </c>
      <c r="C966" s="24" t="s">
        <v>659</v>
      </c>
      <c r="D966" s="9"/>
      <c r="E966" s="10" t="s">
        <v>11</v>
      </c>
      <c r="F966" s="28" t="str">
        <f>IF(H966=-0.33,IF(H964=H$1,H964,""),"")</f>
        <v/>
      </c>
      <c r="G966" s="26"/>
      <c r="H966" s="29">
        <f>IF(H965=1,IF(H964=H$2,1,-0.33),0)</f>
        <v>0</v>
      </c>
    </row>
    <row r="967" spans="2:8" x14ac:dyDescent="0.25">
      <c r="B967" s="8" t="s">
        <v>12</v>
      </c>
      <c r="C967" s="24" t="s">
        <v>660</v>
      </c>
      <c r="D967" s="9"/>
      <c r="E967" s="10" t="s">
        <v>12</v>
      </c>
      <c r="F967" s="25"/>
      <c r="G967" s="26"/>
      <c r="H967" s="26"/>
    </row>
    <row r="968" spans="2:8" x14ac:dyDescent="0.25">
      <c r="B968" s="11"/>
      <c r="C968" s="12"/>
      <c r="D968" s="9"/>
      <c r="E968" s="10" t="s">
        <v>13</v>
      </c>
      <c r="F968" s="30"/>
      <c r="G968" s="26"/>
      <c r="H968" s="26"/>
    </row>
    <row r="969" spans="2:8" x14ac:dyDescent="0.25">
      <c r="B969" s="5">
        <v>3</v>
      </c>
      <c r="C969" s="21" t="s">
        <v>661</v>
      </c>
      <c r="D969" s="6"/>
      <c r="E969" s="7"/>
      <c r="F969" s="22"/>
      <c r="G969" s="23"/>
      <c r="H969" s="23"/>
    </row>
    <row r="970" spans="2:8" x14ac:dyDescent="0.25">
      <c r="B970" s="8" t="s">
        <v>9</v>
      </c>
      <c r="C970" s="24" t="s">
        <v>662</v>
      </c>
      <c r="D970" s="9"/>
      <c r="E970" s="10" t="s">
        <v>9</v>
      </c>
      <c r="F970" s="25"/>
      <c r="G970" s="26"/>
      <c r="H970" s="1" t="b">
        <f>IF(D973="x",H$2,H$1)</f>
        <v>0</v>
      </c>
    </row>
    <row r="971" spans="2:8" x14ac:dyDescent="0.25">
      <c r="B971" s="8" t="s">
        <v>10</v>
      </c>
      <c r="C971" s="24" t="s">
        <v>663</v>
      </c>
      <c r="D971" s="9"/>
      <c r="E971" s="10" t="s">
        <v>10</v>
      </c>
      <c r="F971" s="27" t="str">
        <f>IF(H972=1,IF(H970=H$2,H970,""),"")</f>
        <v/>
      </c>
      <c r="G971" s="26"/>
      <c r="H971" s="1" t="str">
        <f>IF(E1047="comprobar",COUNTIF(D970:D974,"x"),"")</f>
        <v/>
      </c>
    </row>
    <row r="972" spans="2:8" x14ac:dyDescent="0.25">
      <c r="B972" s="8" t="s">
        <v>11</v>
      </c>
      <c r="C972" s="24" t="s">
        <v>664</v>
      </c>
      <c r="D972" s="9"/>
      <c r="E972" s="10" t="s">
        <v>11</v>
      </c>
      <c r="F972" s="28" t="str">
        <f>IF(H972=-0.33,IF(H970=H$1,H970,""),"")</f>
        <v/>
      </c>
      <c r="G972" s="26"/>
      <c r="H972" s="29">
        <f>IF(H971=1,IF(H970=H$2,1,-0.33),0)</f>
        <v>0</v>
      </c>
    </row>
    <row r="973" spans="2:8" x14ac:dyDescent="0.25">
      <c r="B973" s="8" t="s">
        <v>12</v>
      </c>
      <c r="C973" s="24" t="s">
        <v>32</v>
      </c>
      <c r="D973" s="9"/>
      <c r="E973" s="10" t="s">
        <v>12</v>
      </c>
      <c r="F973" s="25"/>
      <c r="G973" s="26"/>
      <c r="H973" s="29"/>
    </row>
    <row r="974" spans="2:8" x14ac:dyDescent="0.25">
      <c r="B974" s="11"/>
      <c r="C974" s="12"/>
      <c r="D974" s="9"/>
      <c r="E974" s="10" t="s">
        <v>13</v>
      </c>
      <c r="F974" s="30"/>
      <c r="G974" s="26"/>
      <c r="H974" s="29"/>
    </row>
    <row r="975" spans="2:8" x14ac:dyDescent="0.25">
      <c r="B975" s="5">
        <v>4</v>
      </c>
      <c r="C975" s="21" t="s">
        <v>665</v>
      </c>
      <c r="D975" s="6"/>
      <c r="E975" s="7"/>
      <c r="F975" s="22"/>
      <c r="G975" s="23"/>
      <c r="H975" s="23"/>
    </row>
    <row r="976" spans="2:8" x14ac:dyDescent="0.25">
      <c r="B976" s="8" t="s">
        <v>9</v>
      </c>
      <c r="C976" s="24" t="s">
        <v>666</v>
      </c>
      <c r="D976" s="9"/>
      <c r="E976" s="10" t="s">
        <v>9</v>
      </c>
      <c r="F976" s="25"/>
      <c r="G976" s="26"/>
      <c r="H976" s="1" t="b">
        <f>IF(D979="x",H$2,H$1)</f>
        <v>0</v>
      </c>
    </row>
    <row r="977" spans="2:8" x14ac:dyDescent="0.25">
      <c r="B977" s="8" t="s">
        <v>10</v>
      </c>
      <c r="C977" s="24" t="s">
        <v>667</v>
      </c>
      <c r="D977" s="9"/>
      <c r="E977" s="10" t="s">
        <v>10</v>
      </c>
      <c r="F977" s="27" t="str">
        <f>IF(H978=1,IF(H976=H$2,H976,""),"")</f>
        <v/>
      </c>
      <c r="G977" s="26"/>
      <c r="H977" s="1" t="str">
        <f>IF(E1047="comprobar",COUNTIF(D976:D980,"x"),"")</f>
        <v/>
      </c>
    </row>
    <row r="978" spans="2:8" ht="31.5" x14ac:dyDescent="0.25">
      <c r="B978" s="8" t="s">
        <v>11</v>
      </c>
      <c r="C978" s="24" t="s">
        <v>668</v>
      </c>
      <c r="D978" s="9"/>
      <c r="E978" s="10" t="s">
        <v>11</v>
      </c>
      <c r="F978" s="28" t="str">
        <f>IF(H978=-0.33,IF(H976=H$1,H976,""),"")</f>
        <v/>
      </c>
      <c r="G978" s="26"/>
      <c r="H978" s="29">
        <f>IF(H977=1,IF(H976=H$2,1,-0.33),0)</f>
        <v>0</v>
      </c>
    </row>
    <row r="979" spans="2:8" x14ac:dyDescent="0.25">
      <c r="B979" s="8" t="s">
        <v>12</v>
      </c>
      <c r="C979" s="24" t="s">
        <v>32</v>
      </c>
      <c r="D979" s="9"/>
      <c r="E979" s="10" t="s">
        <v>12</v>
      </c>
      <c r="F979" s="25"/>
      <c r="G979" s="26"/>
      <c r="H979" s="29"/>
    </row>
    <row r="980" spans="2:8" x14ac:dyDescent="0.25">
      <c r="B980" s="11"/>
      <c r="C980" s="12"/>
      <c r="D980" s="9"/>
      <c r="E980" s="10" t="s">
        <v>13</v>
      </c>
      <c r="F980" s="30"/>
      <c r="G980" s="26"/>
      <c r="H980" s="29"/>
    </row>
    <row r="981" spans="2:8" x14ac:dyDescent="0.25">
      <c r="B981" s="5">
        <v>5</v>
      </c>
      <c r="C981" s="21" t="s">
        <v>669</v>
      </c>
      <c r="D981" s="6"/>
      <c r="E981" s="7"/>
      <c r="F981" s="22"/>
      <c r="G981" s="23"/>
      <c r="H981" s="23"/>
    </row>
    <row r="982" spans="2:8" ht="31.5" x14ac:dyDescent="0.25">
      <c r="B982" s="8" t="s">
        <v>9</v>
      </c>
      <c r="C982" s="24" t="s">
        <v>670</v>
      </c>
      <c r="D982" s="9"/>
      <c r="E982" s="10" t="s">
        <v>9</v>
      </c>
      <c r="F982" s="25"/>
      <c r="G982" s="26"/>
      <c r="H982" s="1" t="b">
        <f>IF(D982="x",H$2,H$1)</f>
        <v>0</v>
      </c>
    </row>
    <row r="983" spans="2:8" x14ac:dyDescent="0.25">
      <c r="B983" s="8" t="s">
        <v>10</v>
      </c>
      <c r="C983" s="24" t="s">
        <v>671</v>
      </c>
      <c r="D983" s="9"/>
      <c r="E983" s="10" t="s">
        <v>10</v>
      </c>
      <c r="F983" s="27" t="str">
        <f>IF(H984=1,IF(H982=H$2,H982,""),"")</f>
        <v/>
      </c>
      <c r="G983" s="26"/>
      <c r="H983" s="1" t="str">
        <f>IF(E1047="comprobar",COUNTIF(D982:D986,"x"),"")</f>
        <v/>
      </c>
    </row>
    <row r="984" spans="2:8" x14ac:dyDescent="0.25">
      <c r="B984" s="8" t="s">
        <v>11</v>
      </c>
      <c r="C984" s="24" t="s">
        <v>672</v>
      </c>
      <c r="D984" s="9"/>
      <c r="E984" s="10" t="s">
        <v>11</v>
      </c>
      <c r="F984" s="28" t="str">
        <f>IF(H984=-0.33,IF(H982=H$1,H982,""),"")</f>
        <v/>
      </c>
      <c r="G984" s="26"/>
      <c r="H984" s="29">
        <f t="shared" ref="H984" si="20">IF(H983=1,IF(H982=H$2,1,-0.33),0)</f>
        <v>0</v>
      </c>
    </row>
    <row r="985" spans="2:8" x14ac:dyDescent="0.25">
      <c r="B985" s="8" t="s">
        <v>12</v>
      </c>
      <c r="C985" s="24" t="s">
        <v>32</v>
      </c>
      <c r="D985" s="9"/>
      <c r="E985" s="10" t="s">
        <v>12</v>
      </c>
      <c r="F985" s="25"/>
      <c r="G985" s="26"/>
      <c r="H985" s="26"/>
    </row>
    <row r="986" spans="2:8" x14ac:dyDescent="0.25">
      <c r="B986" s="11"/>
      <c r="C986" s="12"/>
      <c r="D986" s="9"/>
      <c r="E986" s="10" t="s">
        <v>13</v>
      </c>
      <c r="F986" s="30"/>
      <c r="G986" s="26"/>
      <c r="H986" s="26"/>
    </row>
    <row r="987" spans="2:8" x14ac:dyDescent="0.25">
      <c r="B987" s="5">
        <v>6</v>
      </c>
      <c r="C987" s="21" t="s">
        <v>673</v>
      </c>
      <c r="D987" s="6"/>
      <c r="E987" s="7"/>
      <c r="F987" s="22"/>
      <c r="G987" s="23"/>
      <c r="H987" s="23"/>
    </row>
    <row r="988" spans="2:8" x14ac:dyDescent="0.25">
      <c r="B988" s="8" t="s">
        <v>9</v>
      </c>
      <c r="C988" s="24" t="s">
        <v>674</v>
      </c>
      <c r="D988" s="9"/>
      <c r="E988" s="10" t="s">
        <v>9</v>
      </c>
      <c r="F988" s="25"/>
      <c r="G988" s="26"/>
      <c r="H988" s="1" t="b">
        <f>IF(D989="x",H$2,H$1)</f>
        <v>0</v>
      </c>
    </row>
    <row r="989" spans="2:8" x14ac:dyDescent="0.25">
      <c r="B989" s="8" t="s">
        <v>10</v>
      </c>
      <c r="C989" s="24" t="s">
        <v>675</v>
      </c>
      <c r="D989" s="9"/>
      <c r="E989" s="10" t="s">
        <v>10</v>
      </c>
      <c r="F989" s="27" t="str">
        <f>IF(H990=1,IF(H988=H$2,H988,""),"")</f>
        <v/>
      </c>
      <c r="G989" s="26"/>
      <c r="H989" s="1" t="str">
        <f>IF(E1047="comprobar",COUNTIF(D988:D992,"x"),"")</f>
        <v/>
      </c>
    </row>
    <row r="990" spans="2:8" x14ac:dyDescent="0.25">
      <c r="B990" s="8" t="s">
        <v>11</v>
      </c>
      <c r="C990" s="24" t="s">
        <v>676</v>
      </c>
      <c r="D990" s="9"/>
      <c r="E990" s="10" t="s">
        <v>11</v>
      </c>
      <c r="F990" s="28" t="str">
        <f>IF(H990=-0.33,IF(H988=H$1,H988,""),"")</f>
        <v/>
      </c>
      <c r="G990" s="26"/>
      <c r="H990" s="29">
        <f>IF(H989=1,IF(H988=H$2,1,-0.33),0)</f>
        <v>0</v>
      </c>
    </row>
    <row r="991" spans="2:8" x14ac:dyDescent="0.25">
      <c r="B991" s="8" t="s">
        <v>12</v>
      </c>
      <c r="C991" s="24" t="s">
        <v>677</v>
      </c>
      <c r="D991" s="9"/>
      <c r="E991" s="10" t="s">
        <v>12</v>
      </c>
      <c r="F991" s="25"/>
      <c r="G991" s="26"/>
      <c r="H991" s="26"/>
    </row>
    <row r="992" spans="2:8" x14ac:dyDescent="0.25">
      <c r="B992" s="11"/>
      <c r="C992" s="12"/>
      <c r="D992" s="9"/>
      <c r="E992" s="10" t="s">
        <v>13</v>
      </c>
      <c r="F992" s="30"/>
      <c r="G992" s="26"/>
      <c r="H992" s="26"/>
    </row>
    <row r="993" spans="2:8" x14ac:dyDescent="0.25">
      <c r="B993" s="5">
        <v>7</v>
      </c>
      <c r="C993" s="21" t="s">
        <v>678</v>
      </c>
      <c r="D993" s="6"/>
      <c r="E993" s="7"/>
      <c r="F993" s="22"/>
      <c r="G993" s="23"/>
      <c r="H993" s="23"/>
    </row>
    <row r="994" spans="2:8" x14ac:dyDescent="0.25">
      <c r="B994" s="8" t="s">
        <v>9</v>
      </c>
      <c r="C994" s="24" t="s">
        <v>679</v>
      </c>
      <c r="D994" s="9"/>
      <c r="E994" s="10" t="s">
        <v>9</v>
      </c>
      <c r="F994" s="25"/>
      <c r="G994" s="26"/>
      <c r="H994" s="1" t="b">
        <f>IF(D997="x",H$2,H$1)</f>
        <v>0</v>
      </c>
    </row>
    <row r="995" spans="2:8" x14ac:dyDescent="0.25">
      <c r="B995" s="8" t="s">
        <v>10</v>
      </c>
      <c r="C995" s="24" t="s">
        <v>680</v>
      </c>
      <c r="D995" s="9"/>
      <c r="E995" s="10" t="s">
        <v>10</v>
      </c>
      <c r="F995" s="27" t="str">
        <f>IF(H996=1,IF(H994=H$2,H994,""),"")</f>
        <v/>
      </c>
      <c r="G995" s="26"/>
      <c r="H995" s="1" t="str">
        <f>IF(E1047="comprobar",COUNTIF(D994:D998,"x"),"")</f>
        <v/>
      </c>
    </row>
    <row r="996" spans="2:8" x14ac:dyDescent="0.25">
      <c r="B996" s="8" t="s">
        <v>11</v>
      </c>
      <c r="C996" s="24" t="s">
        <v>681</v>
      </c>
      <c r="D996" s="9"/>
      <c r="E996" s="10" t="s">
        <v>11</v>
      </c>
      <c r="F996" s="28" t="str">
        <f>IF(H996=-0.33,IF(H994=H$1,H994,""),"")</f>
        <v/>
      </c>
      <c r="G996" s="26"/>
      <c r="H996" s="29">
        <f>IF(H995=1,IF(H994=H$2,1,-0.33),0)</f>
        <v>0</v>
      </c>
    </row>
    <row r="997" spans="2:8" x14ac:dyDescent="0.25">
      <c r="B997" s="8" t="s">
        <v>12</v>
      </c>
      <c r="C997" s="24" t="s">
        <v>32</v>
      </c>
      <c r="D997" s="9"/>
      <c r="E997" s="10" t="s">
        <v>12</v>
      </c>
      <c r="F997" s="25"/>
      <c r="G997" s="26"/>
      <c r="H997" s="29"/>
    </row>
    <row r="998" spans="2:8" x14ac:dyDescent="0.25">
      <c r="B998" s="11"/>
      <c r="C998" s="12"/>
      <c r="D998" s="9"/>
      <c r="E998" s="10" t="s">
        <v>13</v>
      </c>
      <c r="F998" s="30"/>
      <c r="G998" s="26"/>
      <c r="H998" s="29"/>
    </row>
    <row r="999" spans="2:8" x14ac:dyDescent="0.25">
      <c r="B999" s="5">
        <v>8</v>
      </c>
      <c r="C999" s="21" t="s">
        <v>682</v>
      </c>
      <c r="D999" s="6"/>
      <c r="E999" s="7"/>
      <c r="F999" s="22"/>
      <c r="G999" s="23"/>
      <c r="H999" s="23"/>
    </row>
    <row r="1000" spans="2:8" x14ac:dyDescent="0.25">
      <c r="B1000" s="8" t="s">
        <v>9</v>
      </c>
      <c r="C1000" s="24" t="s">
        <v>683</v>
      </c>
      <c r="D1000" s="9"/>
      <c r="E1000" s="10" t="s">
        <v>9</v>
      </c>
      <c r="F1000" s="25"/>
      <c r="G1000" s="26"/>
      <c r="H1000" s="1" t="b">
        <f>IF(D1003="x",H$2,H$1)</f>
        <v>0</v>
      </c>
    </row>
    <row r="1001" spans="2:8" x14ac:dyDescent="0.25">
      <c r="B1001" s="8" t="s">
        <v>10</v>
      </c>
      <c r="C1001" s="24" t="s">
        <v>684</v>
      </c>
      <c r="D1001" s="9"/>
      <c r="E1001" s="10" t="s">
        <v>10</v>
      </c>
      <c r="F1001" s="27" t="str">
        <f>IF(H1002=1,IF(H1000=H$2,H1000,""),"")</f>
        <v/>
      </c>
      <c r="G1001" s="26"/>
      <c r="H1001" s="1" t="str">
        <f>IF(E1047="comprobar",COUNTIF(D1000:D1004,"x"),"")</f>
        <v/>
      </c>
    </row>
    <row r="1002" spans="2:8" x14ac:dyDescent="0.25">
      <c r="B1002" s="8" t="s">
        <v>11</v>
      </c>
      <c r="C1002" s="24" t="s">
        <v>685</v>
      </c>
      <c r="D1002" s="9"/>
      <c r="E1002" s="10" t="s">
        <v>11</v>
      </c>
      <c r="F1002" s="28" t="str">
        <f>IF(H1002=-0.33,IF(H1000=H$1,H1000,""),"")</f>
        <v/>
      </c>
      <c r="G1002" s="26"/>
      <c r="H1002" s="29">
        <f>IF(H1001=1,IF(H1000=H$2,1,-0.33),0)</f>
        <v>0</v>
      </c>
    </row>
    <row r="1003" spans="2:8" x14ac:dyDescent="0.25">
      <c r="B1003" s="8" t="s">
        <v>12</v>
      </c>
      <c r="C1003" s="24" t="s">
        <v>32</v>
      </c>
      <c r="D1003" s="9"/>
      <c r="E1003" s="10" t="s">
        <v>12</v>
      </c>
      <c r="F1003" s="25"/>
      <c r="G1003" s="26"/>
      <c r="H1003" s="29"/>
    </row>
    <row r="1004" spans="2:8" x14ac:dyDescent="0.25">
      <c r="B1004" s="11"/>
      <c r="C1004" s="12"/>
      <c r="D1004" s="9"/>
      <c r="E1004" s="10" t="s">
        <v>13</v>
      </c>
      <c r="F1004" s="30"/>
      <c r="G1004" s="26"/>
      <c r="H1004" s="29"/>
    </row>
    <row r="1005" spans="2:8" x14ac:dyDescent="0.25">
      <c r="B1005" s="5">
        <v>9</v>
      </c>
      <c r="C1005" s="21" t="s">
        <v>686</v>
      </c>
      <c r="D1005" s="6"/>
      <c r="E1005" s="7"/>
      <c r="F1005" s="22"/>
      <c r="G1005" s="23"/>
      <c r="H1005" s="23"/>
    </row>
    <row r="1006" spans="2:8" x14ac:dyDescent="0.25">
      <c r="B1006" s="8" t="s">
        <v>9</v>
      </c>
      <c r="C1006" s="24" t="s">
        <v>687</v>
      </c>
      <c r="D1006" s="9"/>
      <c r="E1006" s="10" t="s">
        <v>9</v>
      </c>
      <c r="F1006" s="25"/>
      <c r="G1006" s="26"/>
      <c r="H1006" s="1" t="b">
        <f>IF(D1006="x",H$2,H$1)</f>
        <v>0</v>
      </c>
    </row>
    <row r="1007" spans="2:8" x14ac:dyDescent="0.25">
      <c r="B1007" s="8" t="s">
        <v>10</v>
      </c>
      <c r="C1007" s="24" t="s">
        <v>688</v>
      </c>
      <c r="D1007" s="9"/>
      <c r="E1007" s="10" t="s">
        <v>10</v>
      </c>
      <c r="F1007" s="27" t="str">
        <f>IF(H1008=1,IF(H1006=H$2,H1006,""),"")</f>
        <v/>
      </c>
      <c r="G1007" s="26"/>
      <c r="H1007" s="1" t="str">
        <f>IF(E1047="comprobar",COUNTIF(D1006:D1010,"x"),"")</f>
        <v/>
      </c>
    </row>
    <row r="1008" spans="2:8" x14ac:dyDescent="0.25">
      <c r="B1008" s="8" t="s">
        <v>11</v>
      </c>
      <c r="C1008" s="24" t="s">
        <v>689</v>
      </c>
      <c r="D1008" s="9"/>
      <c r="E1008" s="10" t="s">
        <v>11</v>
      </c>
      <c r="F1008" s="28" t="str">
        <f>IF(H1008=-0.33,IF(H1006=H$1,H1006,""),"")</f>
        <v/>
      </c>
      <c r="G1008" s="26"/>
      <c r="H1008" s="29">
        <f>IF(H1007=1,IF(H1006=H$2,1,-0.33),0)</f>
        <v>0</v>
      </c>
    </row>
    <row r="1009" spans="2:8" x14ac:dyDescent="0.25">
      <c r="B1009" s="8" t="s">
        <v>12</v>
      </c>
      <c r="C1009" s="24" t="s">
        <v>32</v>
      </c>
      <c r="D1009" s="9"/>
      <c r="E1009" s="10" t="s">
        <v>12</v>
      </c>
      <c r="F1009" s="25"/>
      <c r="G1009" s="26"/>
      <c r="H1009" s="1"/>
    </row>
    <row r="1010" spans="2:8" x14ac:dyDescent="0.25">
      <c r="B1010" s="11"/>
      <c r="C1010" s="12"/>
      <c r="D1010" s="9"/>
      <c r="E1010" s="10" t="s">
        <v>13</v>
      </c>
      <c r="F1010" s="30"/>
      <c r="G1010" s="26"/>
      <c r="H1010" s="15"/>
    </row>
    <row r="1011" spans="2:8" x14ac:dyDescent="0.25">
      <c r="B1011" s="5">
        <v>10</v>
      </c>
      <c r="C1011" s="21" t="s">
        <v>690</v>
      </c>
      <c r="D1011" s="6"/>
      <c r="E1011" s="7"/>
      <c r="F1011" s="22"/>
      <c r="G1011" s="31"/>
      <c r="H1011" s="31"/>
    </row>
    <row r="1012" spans="2:8" x14ac:dyDescent="0.25">
      <c r="B1012" s="8" t="s">
        <v>9</v>
      </c>
      <c r="C1012" s="24" t="s">
        <v>691</v>
      </c>
      <c r="D1012" s="9"/>
      <c r="E1012" s="10" t="s">
        <v>9</v>
      </c>
      <c r="F1012" s="25"/>
      <c r="G1012" s="32"/>
      <c r="H1012" s="1" t="b">
        <f>IF(D1012="x",H$2,H$1)</f>
        <v>0</v>
      </c>
    </row>
    <row r="1013" spans="2:8" x14ac:dyDescent="0.25">
      <c r="B1013" s="8" t="s">
        <v>10</v>
      </c>
      <c r="C1013" s="24" t="s">
        <v>692</v>
      </c>
      <c r="D1013" s="9"/>
      <c r="E1013" s="10" t="s">
        <v>10</v>
      </c>
      <c r="F1013" s="27" t="str">
        <f>IF(H1014=1,IF(H1012=H$2,H1012,""),"")</f>
        <v/>
      </c>
      <c r="G1013" s="32"/>
      <c r="H1013" s="1" t="str">
        <f>IF(E1047="comprobar",COUNTIF(D1012:D1016,"x"),"")</f>
        <v/>
      </c>
    </row>
    <row r="1014" spans="2:8" x14ac:dyDescent="0.25">
      <c r="B1014" s="8" t="s">
        <v>11</v>
      </c>
      <c r="C1014" s="24" t="s">
        <v>693</v>
      </c>
      <c r="D1014" s="9"/>
      <c r="E1014" s="10" t="s">
        <v>11</v>
      </c>
      <c r="F1014" s="28" t="str">
        <f>IF(H1014=-0.33,IF(H1012=H$1,H1012,""),"")</f>
        <v/>
      </c>
      <c r="G1014" s="32"/>
      <c r="H1014" s="29">
        <f>IF(H1013=1,IF(H1012=H$2,1,-0.33),0)</f>
        <v>0</v>
      </c>
    </row>
    <row r="1015" spans="2:8" x14ac:dyDescent="0.25">
      <c r="B1015" s="8" t="s">
        <v>12</v>
      </c>
      <c r="C1015" s="24" t="s">
        <v>368</v>
      </c>
      <c r="D1015" s="9"/>
      <c r="E1015" s="10" t="s">
        <v>12</v>
      </c>
      <c r="F1015" s="25"/>
      <c r="G1015" s="32"/>
      <c r="H1015" s="29"/>
    </row>
    <row r="1016" spans="2:8" x14ac:dyDescent="0.25">
      <c r="B1016" s="11"/>
      <c r="C1016" s="12"/>
      <c r="D1016" s="9"/>
      <c r="E1016" s="10" t="s">
        <v>13</v>
      </c>
      <c r="F1016" s="30"/>
      <c r="G1016" s="32"/>
      <c r="H1016" s="29"/>
    </row>
    <row r="1017" spans="2:8" x14ac:dyDescent="0.25">
      <c r="B1017" s="5">
        <v>11</v>
      </c>
      <c r="C1017" s="21" t="s">
        <v>694</v>
      </c>
      <c r="D1017" s="6"/>
      <c r="E1017" s="7"/>
      <c r="F1017" s="22"/>
      <c r="G1017" s="31"/>
      <c r="H1017" s="31"/>
    </row>
    <row r="1018" spans="2:8" x14ac:dyDescent="0.25">
      <c r="B1018" s="8" t="s">
        <v>9</v>
      </c>
      <c r="C1018" s="24" t="s">
        <v>695</v>
      </c>
      <c r="D1018" s="9"/>
      <c r="E1018" s="10" t="s">
        <v>9</v>
      </c>
      <c r="F1018" s="25"/>
      <c r="G1018" s="32"/>
      <c r="H1018" s="1" t="b">
        <f>IF(D1021="x",H$2,H$1)</f>
        <v>0</v>
      </c>
    </row>
    <row r="1019" spans="2:8" x14ac:dyDescent="0.25">
      <c r="B1019" s="8" t="s">
        <v>10</v>
      </c>
      <c r="C1019" s="24" t="s">
        <v>696</v>
      </c>
      <c r="D1019" s="9"/>
      <c r="E1019" s="10" t="s">
        <v>10</v>
      </c>
      <c r="F1019" s="27" t="str">
        <f>IF(H1020=1,IF(H1018=H$2,H1018,""),"")</f>
        <v/>
      </c>
      <c r="G1019" s="32"/>
      <c r="H1019" s="1" t="str">
        <f>IF(E1047="comprobar",COUNTIF(D1018:D1022,"x"),"")</f>
        <v/>
      </c>
    </row>
    <row r="1020" spans="2:8" x14ac:dyDescent="0.25">
      <c r="B1020" s="8" t="s">
        <v>11</v>
      </c>
      <c r="C1020" s="24" t="s">
        <v>697</v>
      </c>
      <c r="D1020" s="9"/>
      <c r="E1020" s="10" t="s">
        <v>11</v>
      </c>
      <c r="F1020" s="28" t="str">
        <f>IF(H1020=-0.33,IF(H1018=H$1,H1018,""),"")</f>
        <v/>
      </c>
      <c r="G1020" s="32"/>
      <c r="H1020" s="29">
        <f>IF(H1019=1,IF(H1018=H$2,1,-0.33),0)</f>
        <v>0</v>
      </c>
    </row>
    <row r="1021" spans="2:8" x14ac:dyDescent="0.25">
      <c r="B1021" s="8" t="s">
        <v>12</v>
      </c>
      <c r="C1021" s="24" t="s">
        <v>32</v>
      </c>
      <c r="D1021" s="9"/>
      <c r="E1021" s="10" t="s">
        <v>12</v>
      </c>
      <c r="F1021" s="25"/>
      <c r="G1021" s="32"/>
      <c r="H1021" s="29"/>
    </row>
    <row r="1022" spans="2:8" x14ac:dyDescent="0.25">
      <c r="B1022" s="11"/>
      <c r="C1022" s="12"/>
      <c r="D1022" s="9"/>
      <c r="E1022" s="10"/>
      <c r="F1022" s="25"/>
      <c r="G1022" s="32"/>
      <c r="H1022" s="29"/>
    </row>
    <row r="1023" spans="2:8" x14ac:dyDescent="0.25">
      <c r="B1023" s="5">
        <v>12</v>
      </c>
      <c r="C1023" s="21" t="s">
        <v>698</v>
      </c>
      <c r="D1023" s="6"/>
      <c r="E1023" s="7"/>
      <c r="F1023" s="22"/>
      <c r="G1023" s="23"/>
      <c r="H1023" s="23"/>
    </row>
    <row r="1024" spans="2:8" ht="31.5" x14ac:dyDescent="0.25">
      <c r="B1024" s="8" t="s">
        <v>9</v>
      </c>
      <c r="C1024" s="24" t="s">
        <v>699</v>
      </c>
      <c r="D1024" s="9"/>
      <c r="E1024" s="10" t="s">
        <v>9</v>
      </c>
      <c r="F1024" s="25"/>
      <c r="G1024" s="26"/>
      <c r="H1024" s="1" t="b">
        <f>IF(D1027="x",H$2,H$1)</f>
        <v>0</v>
      </c>
    </row>
    <row r="1025" spans="2:8" ht="63" x14ac:dyDescent="0.25">
      <c r="B1025" s="8" t="s">
        <v>10</v>
      </c>
      <c r="C1025" s="24" t="s">
        <v>700</v>
      </c>
      <c r="D1025" s="9"/>
      <c r="E1025" s="10" t="s">
        <v>10</v>
      </c>
      <c r="F1025" s="27" t="str">
        <f>IF(H1026=1,IF(H1024=H$2,H1024,""),"")</f>
        <v/>
      </c>
      <c r="G1025" s="26"/>
      <c r="H1025" s="1" t="str">
        <f>IF(E1047="comprobar",COUNTIF(D1024:D1028,"x"),"")</f>
        <v/>
      </c>
    </row>
    <row r="1026" spans="2:8" ht="31.5" x14ac:dyDescent="0.25">
      <c r="B1026" s="8" t="s">
        <v>11</v>
      </c>
      <c r="C1026" s="24" t="s">
        <v>701</v>
      </c>
      <c r="D1026" s="9"/>
      <c r="E1026" s="10" t="s">
        <v>11</v>
      </c>
      <c r="F1026" s="28" t="str">
        <f>IF(H1026=-0.33,IF(H1024=H$1,H1024,""),"")</f>
        <v/>
      </c>
      <c r="G1026" s="26"/>
      <c r="H1026" s="29">
        <f>IF(H1025=1,IF(H1024=H$2,1,-0.33),0)</f>
        <v>0</v>
      </c>
    </row>
    <row r="1027" spans="2:8" x14ac:dyDescent="0.25">
      <c r="B1027" s="8" t="s">
        <v>12</v>
      </c>
      <c r="C1027" s="24" t="s">
        <v>32</v>
      </c>
      <c r="D1027" s="9"/>
      <c r="E1027" s="10" t="s">
        <v>12</v>
      </c>
      <c r="F1027" s="25"/>
      <c r="G1027" s="26"/>
      <c r="H1027" s="29"/>
    </row>
    <row r="1028" spans="2:8" x14ac:dyDescent="0.25">
      <c r="B1028" s="11"/>
      <c r="C1028" s="12"/>
      <c r="D1028" s="9"/>
      <c r="E1028" s="10" t="s">
        <v>13</v>
      </c>
      <c r="F1028" s="30"/>
      <c r="G1028" s="26"/>
      <c r="H1028" s="29"/>
    </row>
    <row r="1029" spans="2:8" x14ac:dyDescent="0.25">
      <c r="B1029" s="5">
        <v>13</v>
      </c>
      <c r="C1029" s="21" t="s">
        <v>686</v>
      </c>
      <c r="D1029" s="6"/>
      <c r="E1029" s="7"/>
      <c r="F1029" s="22"/>
      <c r="G1029" s="23"/>
      <c r="H1029" s="23"/>
    </row>
    <row r="1030" spans="2:8" ht="31.5" x14ac:dyDescent="0.25">
      <c r="B1030" s="8" t="s">
        <v>9</v>
      </c>
      <c r="C1030" s="24" t="s">
        <v>702</v>
      </c>
      <c r="D1030" s="9"/>
      <c r="E1030" s="10" t="s">
        <v>9</v>
      </c>
      <c r="F1030" s="25"/>
      <c r="G1030" s="26"/>
      <c r="H1030" s="1" t="b">
        <f>IF(D1033="x",H$2,H$1)</f>
        <v>0</v>
      </c>
    </row>
    <row r="1031" spans="2:8" x14ac:dyDescent="0.25">
      <c r="B1031" s="8" t="s">
        <v>10</v>
      </c>
      <c r="C1031" s="24" t="s">
        <v>703</v>
      </c>
      <c r="D1031" s="9"/>
      <c r="E1031" s="10" t="s">
        <v>10</v>
      </c>
      <c r="F1031" s="27" t="str">
        <f>IF(H1032=1,IF(H1030=H$2,H1030,""),"")</f>
        <v/>
      </c>
      <c r="G1031" s="26"/>
      <c r="H1031" s="1" t="str">
        <f>IF(E1047="comprobar",COUNTIF(D1030:D1034,"x"),"")</f>
        <v/>
      </c>
    </row>
    <row r="1032" spans="2:8" x14ac:dyDescent="0.25">
      <c r="B1032" s="8" t="s">
        <v>11</v>
      </c>
      <c r="C1032" s="24" t="s">
        <v>704</v>
      </c>
      <c r="D1032" s="9"/>
      <c r="E1032" s="10" t="s">
        <v>11</v>
      </c>
      <c r="F1032" s="28" t="str">
        <f>IF(H1032=-0.33,IF(H1030=H$1,H1030,""),"")</f>
        <v/>
      </c>
      <c r="G1032" s="26"/>
      <c r="H1032" s="29">
        <f t="shared" ref="H1032" si="21">IF(H1031=1,IF(H1030=H$2,1,-0.33),0)</f>
        <v>0</v>
      </c>
    </row>
    <row r="1033" spans="2:8" x14ac:dyDescent="0.25">
      <c r="B1033" s="8" t="s">
        <v>12</v>
      </c>
      <c r="C1033" s="24" t="s">
        <v>32</v>
      </c>
      <c r="D1033" s="9"/>
      <c r="E1033" s="10" t="s">
        <v>12</v>
      </c>
      <c r="F1033" s="25"/>
      <c r="G1033" s="26"/>
      <c r="H1033" s="26"/>
    </row>
    <row r="1034" spans="2:8" x14ac:dyDescent="0.25">
      <c r="B1034" s="11"/>
      <c r="C1034" s="12"/>
      <c r="D1034" s="9"/>
      <c r="E1034" s="10" t="s">
        <v>13</v>
      </c>
      <c r="F1034" s="30"/>
      <c r="G1034" s="26"/>
      <c r="H1034" s="26"/>
    </row>
    <row r="1035" spans="2:8" x14ac:dyDescent="0.25">
      <c r="B1035" s="5">
        <v>14</v>
      </c>
      <c r="C1035" s="21" t="s">
        <v>705</v>
      </c>
      <c r="D1035" s="6"/>
      <c r="E1035" s="7"/>
      <c r="F1035" s="22"/>
      <c r="G1035" s="23"/>
      <c r="H1035" s="23"/>
    </row>
    <row r="1036" spans="2:8" ht="31.5" x14ac:dyDescent="0.25">
      <c r="B1036" s="8" t="s">
        <v>9</v>
      </c>
      <c r="C1036" s="24" t="s">
        <v>706</v>
      </c>
      <c r="D1036" s="9"/>
      <c r="E1036" s="10" t="s">
        <v>9</v>
      </c>
      <c r="F1036" s="25"/>
      <c r="G1036" s="26"/>
      <c r="H1036" s="1" t="b">
        <f>IF(D1036="x",H$2,H$1)</f>
        <v>0</v>
      </c>
    </row>
    <row r="1037" spans="2:8" ht="31.5" x14ac:dyDescent="0.25">
      <c r="B1037" s="8" t="s">
        <v>10</v>
      </c>
      <c r="C1037" s="24" t="s">
        <v>707</v>
      </c>
      <c r="D1037" s="9"/>
      <c r="E1037" s="10" t="s">
        <v>10</v>
      </c>
      <c r="F1037" s="27" t="str">
        <f>IF(H1038=1,IF(H1036=H$2,H1036,""),"")</f>
        <v/>
      </c>
      <c r="G1037" s="26"/>
      <c r="H1037" s="1" t="str">
        <f>IF(E1047="comprobar",COUNTIF(D1036:D1040,"x"),"")</f>
        <v/>
      </c>
    </row>
    <row r="1038" spans="2:8" ht="31.5" x14ac:dyDescent="0.25">
      <c r="B1038" s="8" t="s">
        <v>11</v>
      </c>
      <c r="C1038" s="24" t="s">
        <v>708</v>
      </c>
      <c r="D1038" s="9"/>
      <c r="E1038" s="10" t="s">
        <v>11</v>
      </c>
      <c r="F1038" s="28" t="str">
        <f>IF(H1038=-0.33,IF(H1036=H$1,H1036,""),"")</f>
        <v/>
      </c>
      <c r="G1038" s="26"/>
      <c r="H1038" s="29">
        <f>IF(H1037=1,IF(H1036=H$2,1,-0.33),0)</f>
        <v>0</v>
      </c>
    </row>
    <row r="1039" spans="2:8" x14ac:dyDescent="0.25">
      <c r="B1039" s="8" t="s">
        <v>12</v>
      </c>
      <c r="C1039" s="24" t="s">
        <v>32</v>
      </c>
      <c r="D1039" s="9"/>
      <c r="E1039" s="10" t="s">
        <v>12</v>
      </c>
      <c r="F1039" s="25"/>
      <c r="G1039" s="26"/>
      <c r="H1039" s="26"/>
    </row>
    <row r="1040" spans="2:8" x14ac:dyDescent="0.25">
      <c r="B1040" s="11"/>
      <c r="C1040" s="12"/>
      <c r="D1040" s="9"/>
      <c r="E1040" s="10" t="s">
        <v>13</v>
      </c>
      <c r="F1040" s="30"/>
      <c r="G1040" s="26"/>
      <c r="H1040" s="26"/>
    </row>
    <row r="1041" spans="2:8" ht="31.5" x14ac:dyDescent="0.25">
      <c r="B1041" s="5">
        <v>15</v>
      </c>
      <c r="C1041" s="21" t="s">
        <v>709</v>
      </c>
      <c r="D1041" s="6"/>
      <c r="E1041" s="7"/>
      <c r="F1041" s="22"/>
      <c r="G1041" s="23"/>
      <c r="H1041" s="23"/>
    </row>
    <row r="1042" spans="2:8" x14ac:dyDescent="0.25">
      <c r="B1042" s="8" t="s">
        <v>9</v>
      </c>
      <c r="C1042" s="24" t="s">
        <v>710</v>
      </c>
      <c r="D1042" s="9"/>
      <c r="E1042" s="10" t="s">
        <v>9</v>
      </c>
      <c r="F1042" s="25"/>
      <c r="G1042" s="26"/>
      <c r="H1042" s="1" t="b">
        <f>IF(D1043="x",H$2,H$1)</f>
        <v>0</v>
      </c>
    </row>
    <row r="1043" spans="2:8" x14ac:dyDescent="0.25">
      <c r="B1043" s="8" t="s">
        <v>10</v>
      </c>
      <c r="C1043" s="24" t="s">
        <v>711</v>
      </c>
      <c r="D1043" s="9"/>
      <c r="E1043" s="10" t="s">
        <v>10</v>
      </c>
      <c r="F1043" s="27" t="str">
        <f>IF(H1044=1,IF(H1042=H$2,H1042,""),"")</f>
        <v/>
      </c>
      <c r="G1043" s="26"/>
      <c r="H1043" s="1" t="str">
        <f>IF(E1047="comprobar",COUNTIF(D1042:D1046,"x"),"")</f>
        <v/>
      </c>
    </row>
    <row r="1044" spans="2:8" ht="31.5" x14ac:dyDescent="0.25">
      <c r="B1044" s="8" t="s">
        <v>11</v>
      </c>
      <c r="C1044" s="24" t="s">
        <v>712</v>
      </c>
      <c r="D1044" s="9"/>
      <c r="E1044" s="10" t="s">
        <v>11</v>
      </c>
      <c r="F1044" s="28" t="str">
        <f>IF(H1044=-0.33,IF(H1042=H$1,H1042,""),"")</f>
        <v/>
      </c>
      <c r="G1044" s="26"/>
      <c r="H1044" s="29">
        <f>IF(H1043=1,IF(H1042=H$2,1,-0.33),0)</f>
        <v>0</v>
      </c>
    </row>
    <row r="1045" spans="2:8" x14ac:dyDescent="0.25">
      <c r="B1045" s="8" t="s">
        <v>12</v>
      </c>
      <c r="C1045" s="24" t="s">
        <v>32</v>
      </c>
      <c r="D1045" s="9"/>
      <c r="E1045" s="10" t="s">
        <v>12</v>
      </c>
      <c r="F1045" s="25"/>
      <c r="G1045" s="26"/>
      <c r="H1045" s="29"/>
    </row>
    <row r="1046" spans="2:8" x14ac:dyDescent="0.25">
      <c r="B1046" s="11"/>
      <c r="C1046" s="12"/>
      <c r="D1046" s="9"/>
      <c r="E1046" s="10" t="s">
        <v>13</v>
      </c>
      <c r="F1046" s="30"/>
      <c r="G1046" s="26"/>
      <c r="H1046" s="29"/>
    </row>
    <row r="1047" spans="2:8" x14ac:dyDescent="0.25">
      <c r="B1047" s="33"/>
      <c r="C1047" s="4"/>
      <c r="D1047" s="34"/>
      <c r="E1047" s="35"/>
      <c r="F1047" s="30"/>
      <c r="G1047" s="26"/>
      <c r="H1047" s="26"/>
    </row>
    <row r="1048" spans="2:8" x14ac:dyDescent="0.25">
      <c r="B1048" s="33"/>
      <c r="C1048" s="4"/>
      <c r="D1048" s="34"/>
      <c r="E1048" s="36"/>
      <c r="F1048" s="37" t="s">
        <v>8</v>
      </c>
      <c r="G1048" s="26" t="s">
        <v>6</v>
      </c>
      <c r="H1048" s="26" t="s">
        <v>7</v>
      </c>
    </row>
    <row r="1049" spans="2:8" ht="19.5" x14ac:dyDescent="0.25">
      <c r="B1049" s="33"/>
      <c r="C1049" s="38"/>
      <c r="D1049" s="51"/>
      <c r="E1049" s="51"/>
      <c r="F1049" s="39" t="str">
        <f>IF(E1047="comprobar",H1014+H1008+H1002+H996+H990+H984+H978+H972+H966+H960+H1020+H1026+H1032+H1038+H1044,"")</f>
        <v/>
      </c>
      <c r="G1049" s="26">
        <f>10/2</f>
        <v>5</v>
      </c>
      <c r="H1049" s="26"/>
    </row>
    <row r="1050" spans="2:8" ht="16.5" thickBot="1" x14ac:dyDescent="0.3">
      <c r="B1050" s="40"/>
      <c r="C1050" s="41"/>
      <c r="D1050" s="42"/>
      <c r="E1050" s="43"/>
      <c r="F1050" s="44" t="str">
        <f>IF(F1049&gt;G1049,G1048,H1048)</f>
        <v>APROBADO</v>
      </c>
      <c r="G1050" s="26"/>
      <c r="H1050" s="26"/>
    </row>
    <row r="1051" spans="2:8" ht="28.5" x14ac:dyDescent="0.45">
      <c r="B1051" s="19" t="s">
        <v>81</v>
      </c>
      <c r="C1051" s="49" t="s">
        <v>713</v>
      </c>
      <c r="D1051" s="49"/>
      <c r="E1051" s="49"/>
      <c r="F1051" s="50"/>
      <c r="G1051" s="20"/>
      <c r="H1051" s="20"/>
    </row>
    <row r="1052" spans="2:8" x14ac:dyDescent="0.25">
      <c r="B1052" s="5">
        <v>1</v>
      </c>
      <c r="C1052" s="21" t="s">
        <v>718</v>
      </c>
      <c r="D1052" s="6"/>
      <c r="E1052" s="7"/>
      <c r="F1052" s="22"/>
      <c r="G1052" s="23"/>
      <c r="H1052" s="23"/>
    </row>
    <row r="1053" spans="2:8" ht="31.5" x14ac:dyDescent="0.25">
      <c r="B1053" s="8" t="s">
        <v>9</v>
      </c>
      <c r="C1053" s="24" t="s">
        <v>719</v>
      </c>
      <c r="D1053" s="9"/>
      <c r="E1053" s="10" t="s">
        <v>9</v>
      </c>
      <c r="F1053" s="25"/>
      <c r="G1053" s="26"/>
      <c r="H1053" s="1" t="b">
        <f>IF(D1053="x",H$2,H$1)</f>
        <v>0</v>
      </c>
    </row>
    <row r="1054" spans="2:8" x14ac:dyDescent="0.25">
      <c r="B1054" s="8" t="s">
        <v>10</v>
      </c>
      <c r="C1054" s="24" t="s">
        <v>720</v>
      </c>
      <c r="D1054" s="9"/>
      <c r="E1054" s="10" t="s">
        <v>10</v>
      </c>
      <c r="F1054" s="27" t="str">
        <f>IF(H1055=1,IF(H1053=H$2,H1053,""),"")</f>
        <v/>
      </c>
      <c r="G1054" s="26"/>
      <c r="H1054" s="1" t="str">
        <f>IF(E1142="comprobar",COUNTIF(D1053:D1057,"x"),"")</f>
        <v/>
      </c>
    </row>
    <row r="1055" spans="2:8" x14ac:dyDescent="0.25">
      <c r="B1055" s="8" t="s">
        <v>11</v>
      </c>
      <c r="C1055" s="24" t="s">
        <v>721</v>
      </c>
      <c r="D1055" s="9"/>
      <c r="E1055" s="10" t="s">
        <v>11</v>
      </c>
      <c r="F1055" s="28" t="str">
        <f>IF(H1055=-0.33,IF(H1053=H$1,H1053,""),"")</f>
        <v/>
      </c>
      <c r="G1055" s="26"/>
      <c r="H1055" s="29">
        <f>IF(H1054=1,IF(H1053=H$2,1,-0.33),0)</f>
        <v>0</v>
      </c>
    </row>
    <row r="1056" spans="2:8" x14ac:dyDescent="0.25">
      <c r="B1056" s="8" t="s">
        <v>12</v>
      </c>
      <c r="C1056" s="24" t="s">
        <v>368</v>
      </c>
      <c r="D1056" s="9"/>
      <c r="E1056" s="10" t="s">
        <v>12</v>
      </c>
      <c r="F1056" s="25"/>
      <c r="G1056" s="26"/>
      <c r="H1056" s="29"/>
    </row>
    <row r="1057" spans="2:8" x14ac:dyDescent="0.25">
      <c r="B1057" s="11"/>
      <c r="C1057" s="12"/>
      <c r="D1057" s="9"/>
      <c r="E1057" s="10" t="s">
        <v>13</v>
      </c>
      <c r="F1057" s="30"/>
      <c r="G1057" s="26"/>
      <c r="H1057" s="29"/>
    </row>
    <row r="1058" spans="2:8" x14ac:dyDescent="0.25">
      <c r="B1058" s="5">
        <v>2</v>
      </c>
      <c r="C1058" s="21" t="s">
        <v>722</v>
      </c>
      <c r="D1058" s="6"/>
      <c r="E1058" s="7"/>
      <c r="F1058" s="22"/>
      <c r="G1058" s="23"/>
      <c r="H1058" s="23"/>
    </row>
    <row r="1059" spans="2:8" x14ac:dyDescent="0.25">
      <c r="B1059" s="8" t="s">
        <v>9</v>
      </c>
      <c r="C1059" s="24" t="s">
        <v>723</v>
      </c>
      <c r="D1059" s="9"/>
      <c r="E1059" s="10" t="s">
        <v>9</v>
      </c>
      <c r="F1059" s="25"/>
      <c r="G1059" s="26"/>
      <c r="H1059" s="1" t="b">
        <f>IF(D1062="x",H$2,H$1)</f>
        <v>0</v>
      </c>
    </row>
    <row r="1060" spans="2:8" x14ac:dyDescent="0.25">
      <c r="B1060" s="8" t="s">
        <v>10</v>
      </c>
      <c r="C1060" s="24" t="s">
        <v>724</v>
      </c>
      <c r="D1060" s="9"/>
      <c r="E1060" s="10" t="s">
        <v>10</v>
      </c>
      <c r="F1060" s="27" t="str">
        <f>IF(H1061=1,IF(H1059=H$2,H1059,""),"")</f>
        <v/>
      </c>
      <c r="G1060" s="26"/>
      <c r="H1060" s="1" t="str">
        <f>IF(E1142="comprobar",COUNTIF(D1059:D1063,"x"),"")</f>
        <v/>
      </c>
    </row>
    <row r="1061" spans="2:8" x14ac:dyDescent="0.25">
      <c r="B1061" s="8" t="s">
        <v>11</v>
      </c>
      <c r="C1061" s="24" t="s">
        <v>725</v>
      </c>
      <c r="D1061" s="9"/>
      <c r="E1061" s="10" t="s">
        <v>11</v>
      </c>
      <c r="F1061" s="28" t="str">
        <f>IF(H1061=-0.33,IF(H1059=H$1,H1059,""),"")</f>
        <v/>
      </c>
      <c r="G1061" s="26"/>
      <c r="H1061" s="29">
        <f>IF(H1060=1,IF(H1059=H$2,1,-0.33),0)</f>
        <v>0</v>
      </c>
    </row>
    <row r="1062" spans="2:8" x14ac:dyDescent="0.25">
      <c r="B1062" s="8" t="s">
        <v>12</v>
      </c>
      <c r="C1062" s="24" t="s">
        <v>32</v>
      </c>
      <c r="D1062" s="9"/>
      <c r="E1062" s="10" t="s">
        <v>12</v>
      </c>
      <c r="F1062" s="25"/>
      <c r="G1062" s="26"/>
      <c r="H1062" s="26"/>
    </row>
    <row r="1063" spans="2:8" x14ac:dyDescent="0.25">
      <c r="B1063" s="11"/>
      <c r="C1063" s="12"/>
      <c r="D1063" s="9"/>
      <c r="E1063" s="10" t="s">
        <v>13</v>
      </c>
      <c r="F1063" s="30"/>
      <c r="G1063" s="26"/>
      <c r="H1063" s="26"/>
    </row>
    <row r="1064" spans="2:8" x14ac:dyDescent="0.25">
      <c r="B1064" s="5">
        <v>3</v>
      </c>
      <c r="C1064" s="21" t="s">
        <v>726</v>
      </c>
      <c r="D1064" s="6"/>
      <c r="E1064" s="7"/>
      <c r="F1064" s="22"/>
      <c r="G1064" s="23"/>
      <c r="H1064" s="23"/>
    </row>
    <row r="1065" spans="2:8" ht="31.5" x14ac:dyDescent="0.25">
      <c r="B1065" s="8" t="s">
        <v>9</v>
      </c>
      <c r="C1065" s="24" t="s">
        <v>727</v>
      </c>
      <c r="D1065" s="9"/>
      <c r="E1065" s="10" t="s">
        <v>9</v>
      </c>
      <c r="F1065" s="25"/>
      <c r="G1065" s="26"/>
      <c r="H1065" s="1" t="b">
        <f>IF(D1066="x",H$2,H$1)</f>
        <v>0</v>
      </c>
    </row>
    <row r="1066" spans="2:8" ht="31.5" x14ac:dyDescent="0.25">
      <c r="B1066" s="8" t="s">
        <v>10</v>
      </c>
      <c r="C1066" s="24" t="s">
        <v>728</v>
      </c>
      <c r="D1066" s="9"/>
      <c r="E1066" s="10" t="s">
        <v>10</v>
      </c>
      <c r="F1066" s="27" t="str">
        <f>IF(H1067=1,IF(H1065=H$2,H1065,""),"")</f>
        <v/>
      </c>
      <c r="G1066" s="26"/>
      <c r="H1066" s="1" t="str">
        <f>IF(E1142="comprobar",COUNTIF(D1065:D1069,"x"),"")</f>
        <v/>
      </c>
    </row>
    <row r="1067" spans="2:8" x14ac:dyDescent="0.25">
      <c r="B1067" s="8" t="s">
        <v>11</v>
      </c>
      <c r="C1067" s="24" t="s">
        <v>729</v>
      </c>
      <c r="D1067" s="9"/>
      <c r="E1067" s="10" t="s">
        <v>11</v>
      </c>
      <c r="F1067" s="28" t="str">
        <f>IF(H1067=-0.33,IF(H1065=H$1,H1065,""),"")</f>
        <v/>
      </c>
      <c r="G1067" s="26"/>
      <c r="H1067" s="29">
        <f>IF(H1066=1,IF(H1065=H$2,1,-0.33),0)</f>
        <v>0</v>
      </c>
    </row>
    <row r="1068" spans="2:8" x14ac:dyDescent="0.25">
      <c r="B1068" s="8" t="s">
        <v>12</v>
      </c>
      <c r="C1068" s="24" t="s">
        <v>368</v>
      </c>
      <c r="D1068" s="9"/>
      <c r="E1068" s="10" t="s">
        <v>12</v>
      </c>
      <c r="F1068" s="25"/>
      <c r="G1068" s="26"/>
      <c r="H1068" s="29"/>
    </row>
    <row r="1069" spans="2:8" x14ac:dyDescent="0.25">
      <c r="B1069" s="11"/>
      <c r="C1069" s="12"/>
      <c r="D1069" s="9"/>
      <c r="E1069" s="10" t="s">
        <v>13</v>
      </c>
      <c r="F1069" s="30"/>
      <c r="G1069" s="26"/>
      <c r="H1069" s="29"/>
    </row>
    <row r="1070" spans="2:8" x14ac:dyDescent="0.25">
      <c r="B1070" s="5">
        <v>4</v>
      </c>
      <c r="C1070" s="21" t="s">
        <v>730</v>
      </c>
      <c r="D1070" s="6"/>
      <c r="E1070" s="7"/>
      <c r="F1070" s="22"/>
      <c r="G1070" s="23"/>
      <c r="H1070" s="23"/>
    </row>
    <row r="1071" spans="2:8" x14ac:dyDescent="0.25">
      <c r="B1071" s="8" t="s">
        <v>9</v>
      </c>
      <c r="C1071" s="24" t="s">
        <v>731</v>
      </c>
      <c r="D1071" s="9"/>
      <c r="E1071" s="10" t="s">
        <v>9</v>
      </c>
      <c r="F1071" s="25"/>
      <c r="G1071" s="26"/>
      <c r="H1071" s="1" t="b">
        <f>IF(D1074="x",H$2,H$1)</f>
        <v>0</v>
      </c>
    </row>
    <row r="1072" spans="2:8" x14ac:dyDescent="0.25">
      <c r="B1072" s="8" t="s">
        <v>10</v>
      </c>
      <c r="C1072" s="24" t="s">
        <v>732</v>
      </c>
      <c r="D1072" s="9"/>
      <c r="E1072" s="10" t="s">
        <v>10</v>
      </c>
      <c r="F1072" s="27" t="str">
        <f>IF(H1073=1,IF(H1071=H$2,H1071,""),"")</f>
        <v/>
      </c>
      <c r="G1072" s="26"/>
      <c r="H1072" s="1" t="str">
        <f>IF(E1142="comprobar",COUNTIF(D1071:D1075,"x"),"")</f>
        <v/>
      </c>
    </row>
    <row r="1073" spans="2:8" x14ac:dyDescent="0.25">
      <c r="B1073" s="8" t="s">
        <v>11</v>
      </c>
      <c r="C1073" s="24" t="s">
        <v>733</v>
      </c>
      <c r="D1073" s="9"/>
      <c r="E1073" s="10" t="s">
        <v>11</v>
      </c>
      <c r="F1073" s="28" t="str">
        <f>IF(H1073=-0.33,IF(H1071=H$1,H1071,""),"")</f>
        <v/>
      </c>
      <c r="G1073" s="26"/>
      <c r="H1073" s="29">
        <f>IF(H1072=1,IF(H1071=H$2,1,-0.33),0)</f>
        <v>0</v>
      </c>
    </row>
    <row r="1074" spans="2:8" x14ac:dyDescent="0.25">
      <c r="B1074" s="8" t="s">
        <v>12</v>
      </c>
      <c r="C1074" s="24" t="s">
        <v>32</v>
      </c>
      <c r="D1074" s="9"/>
      <c r="E1074" s="10" t="s">
        <v>12</v>
      </c>
      <c r="F1074" s="25"/>
      <c r="G1074" s="26"/>
      <c r="H1074" s="29"/>
    </row>
    <row r="1075" spans="2:8" x14ac:dyDescent="0.25">
      <c r="B1075" s="11"/>
      <c r="C1075" s="12"/>
      <c r="D1075" s="9"/>
      <c r="E1075" s="10" t="s">
        <v>13</v>
      </c>
      <c r="F1075" s="30"/>
      <c r="G1075" s="26"/>
      <c r="H1075" s="29"/>
    </row>
    <row r="1076" spans="2:8" x14ac:dyDescent="0.25">
      <c r="B1076" s="5">
        <v>5</v>
      </c>
      <c r="C1076" s="21" t="s">
        <v>734</v>
      </c>
      <c r="D1076" s="6"/>
      <c r="E1076" s="7"/>
      <c r="F1076" s="22"/>
      <c r="G1076" s="23"/>
      <c r="H1076" s="23"/>
    </row>
    <row r="1077" spans="2:8" x14ac:dyDescent="0.25">
      <c r="B1077" s="8" t="s">
        <v>9</v>
      </c>
      <c r="C1077" s="24" t="s">
        <v>735</v>
      </c>
      <c r="D1077" s="9"/>
      <c r="E1077" s="10" t="s">
        <v>9</v>
      </c>
      <c r="F1077" s="25"/>
      <c r="G1077" s="26"/>
      <c r="H1077" s="1" t="b">
        <f>IF(D1080="x",H$2,H$1)</f>
        <v>0</v>
      </c>
    </row>
    <row r="1078" spans="2:8" x14ac:dyDescent="0.25">
      <c r="B1078" s="8" t="s">
        <v>10</v>
      </c>
      <c r="C1078" s="24" t="s">
        <v>736</v>
      </c>
      <c r="D1078" s="9"/>
      <c r="E1078" s="10" t="s">
        <v>10</v>
      </c>
      <c r="F1078" s="27" t="str">
        <f>IF(H1079=1,IF(H1077=H$2,H1077,""),"")</f>
        <v/>
      </c>
      <c r="G1078" s="26"/>
      <c r="H1078" s="1" t="str">
        <f>IF(E1142="comprobar",COUNTIF(D1077:D1081,"x"),"")</f>
        <v/>
      </c>
    </row>
    <row r="1079" spans="2:8" x14ac:dyDescent="0.25">
      <c r="B1079" s="8" t="s">
        <v>11</v>
      </c>
      <c r="C1079" s="24" t="s">
        <v>737</v>
      </c>
      <c r="D1079" s="9"/>
      <c r="E1079" s="10" t="s">
        <v>11</v>
      </c>
      <c r="F1079" s="28" t="str">
        <f>IF(H1079=-0.33,IF(H1077=H$1,H1077,""),"")</f>
        <v/>
      </c>
      <c r="G1079" s="26"/>
      <c r="H1079" s="29">
        <f t="shared" ref="H1079" si="22">IF(H1078=1,IF(H1077=H$2,1,-0.33),0)</f>
        <v>0</v>
      </c>
    </row>
    <row r="1080" spans="2:8" x14ac:dyDescent="0.25">
      <c r="B1080" s="8" t="s">
        <v>12</v>
      </c>
      <c r="C1080" s="24" t="s">
        <v>32</v>
      </c>
      <c r="D1080" s="9"/>
      <c r="E1080" s="10" t="s">
        <v>12</v>
      </c>
      <c r="F1080" s="25"/>
      <c r="G1080" s="26"/>
      <c r="H1080" s="26"/>
    </row>
    <row r="1081" spans="2:8" x14ac:dyDescent="0.25">
      <c r="B1081" s="11"/>
      <c r="C1081" s="12"/>
      <c r="D1081" s="9"/>
      <c r="E1081" s="10" t="s">
        <v>13</v>
      </c>
      <c r="F1081" s="30"/>
      <c r="G1081" s="26"/>
      <c r="H1081" s="26"/>
    </row>
    <row r="1082" spans="2:8" x14ac:dyDescent="0.25">
      <c r="B1082" s="5">
        <v>6</v>
      </c>
      <c r="C1082" s="21" t="s">
        <v>738</v>
      </c>
      <c r="D1082" s="6"/>
      <c r="E1082" s="7"/>
      <c r="F1082" s="22"/>
      <c r="G1082" s="23"/>
      <c r="H1082" s="23"/>
    </row>
    <row r="1083" spans="2:8" ht="31.5" x14ac:dyDescent="0.25">
      <c r="B1083" s="8" t="s">
        <v>9</v>
      </c>
      <c r="C1083" s="24" t="s">
        <v>739</v>
      </c>
      <c r="D1083" s="9"/>
      <c r="E1083" s="10" t="s">
        <v>9</v>
      </c>
      <c r="F1083" s="25"/>
      <c r="G1083" s="26"/>
      <c r="H1083" s="1" t="b">
        <f>IF(D1084="x",H$2,H$1)</f>
        <v>0</v>
      </c>
    </row>
    <row r="1084" spans="2:8" ht="31.5" x14ac:dyDescent="0.25">
      <c r="B1084" s="8" t="s">
        <v>10</v>
      </c>
      <c r="C1084" s="24" t="s">
        <v>740</v>
      </c>
      <c r="D1084" s="9"/>
      <c r="E1084" s="10" t="s">
        <v>10</v>
      </c>
      <c r="F1084" s="27" t="str">
        <f>IF(H1085=1,IF(H1083=H$2,H1083,""),"")</f>
        <v/>
      </c>
      <c r="G1084" s="26"/>
      <c r="H1084" s="1" t="str">
        <f>IF(E1142="comprobar",COUNTIF(D1083:D1087,"x"),"")</f>
        <v/>
      </c>
    </row>
    <row r="1085" spans="2:8" x14ac:dyDescent="0.25">
      <c r="B1085" s="8" t="s">
        <v>11</v>
      </c>
      <c r="C1085" s="24" t="s">
        <v>741</v>
      </c>
      <c r="D1085" s="9"/>
      <c r="E1085" s="10" t="s">
        <v>11</v>
      </c>
      <c r="F1085" s="28" t="str">
        <f>IF(H1085=-0.33,IF(H1083=H$1,H1083,""),"")</f>
        <v/>
      </c>
      <c r="G1085" s="26"/>
      <c r="H1085" s="29">
        <f>IF(H1084=1,IF(H1083=H$2,1,-0.33),0)</f>
        <v>0</v>
      </c>
    </row>
    <row r="1086" spans="2:8" x14ac:dyDescent="0.25">
      <c r="B1086" s="8" t="s">
        <v>12</v>
      </c>
      <c r="C1086" s="24" t="s">
        <v>742</v>
      </c>
      <c r="D1086" s="9"/>
      <c r="E1086" s="10" t="s">
        <v>12</v>
      </c>
      <c r="F1086" s="25"/>
      <c r="G1086" s="26"/>
      <c r="H1086" s="26"/>
    </row>
    <row r="1087" spans="2:8" x14ac:dyDescent="0.25">
      <c r="B1087" s="11"/>
      <c r="C1087" s="12"/>
      <c r="D1087" s="9"/>
      <c r="E1087" s="10" t="s">
        <v>13</v>
      </c>
      <c r="F1087" s="30"/>
      <c r="G1087" s="26"/>
      <c r="H1087" s="26"/>
    </row>
    <row r="1088" spans="2:8" x14ac:dyDescent="0.25">
      <c r="B1088" s="5">
        <v>7</v>
      </c>
      <c r="C1088" s="21" t="s">
        <v>743</v>
      </c>
      <c r="D1088" s="6"/>
      <c r="E1088" s="7"/>
      <c r="F1088" s="22"/>
      <c r="G1088" s="23"/>
      <c r="H1088" s="23"/>
    </row>
    <row r="1089" spans="2:8" x14ac:dyDescent="0.25">
      <c r="B1089" s="8" t="s">
        <v>9</v>
      </c>
      <c r="C1089" s="24" t="s">
        <v>744</v>
      </c>
      <c r="D1089" s="9"/>
      <c r="E1089" s="10" t="s">
        <v>9</v>
      </c>
      <c r="F1089" s="25"/>
      <c r="G1089" s="26"/>
      <c r="H1089" s="1" t="b">
        <f>IF(D1092="x",H$2,H$1)</f>
        <v>0</v>
      </c>
    </row>
    <row r="1090" spans="2:8" x14ac:dyDescent="0.25">
      <c r="B1090" s="8" t="s">
        <v>10</v>
      </c>
      <c r="C1090" s="24" t="s">
        <v>745</v>
      </c>
      <c r="D1090" s="9"/>
      <c r="E1090" s="10" t="s">
        <v>10</v>
      </c>
      <c r="F1090" s="27" t="str">
        <f>IF(H1091=1,IF(H1089=H$2,H1089,""),"")</f>
        <v/>
      </c>
      <c r="G1090" s="26"/>
      <c r="H1090" s="1" t="str">
        <f>IF(E1142="comprobar",COUNTIF(D1089:D1093,"x"),"")</f>
        <v/>
      </c>
    </row>
    <row r="1091" spans="2:8" ht="31.5" x14ac:dyDescent="0.25">
      <c r="B1091" s="8" t="s">
        <v>11</v>
      </c>
      <c r="C1091" s="24" t="s">
        <v>746</v>
      </c>
      <c r="D1091" s="9"/>
      <c r="E1091" s="10" t="s">
        <v>11</v>
      </c>
      <c r="F1091" s="28" t="str">
        <f>IF(H1091=-0.33,IF(H1089=H$1,H1089,""),"")</f>
        <v/>
      </c>
      <c r="G1091" s="26"/>
      <c r="H1091" s="29">
        <f>IF(H1090=1,IF(H1089=H$2,1,-0.33),0)</f>
        <v>0</v>
      </c>
    </row>
    <row r="1092" spans="2:8" x14ac:dyDescent="0.25">
      <c r="B1092" s="8" t="s">
        <v>12</v>
      </c>
      <c r="C1092" s="24" t="s">
        <v>747</v>
      </c>
      <c r="D1092" s="9"/>
      <c r="E1092" s="10" t="s">
        <v>12</v>
      </c>
      <c r="F1092" s="25"/>
      <c r="G1092" s="26"/>
      <c r="H1092" s="29"/>
    </row>
    <row r="1093" spans="2:8" x14ac:dyDescent="0.25">
      <c r="B1093" s="11"/>
      <c r="C1093" s="12"/>
      <c r="D1093" s="9"/>
      <c r="E1093" s="10" t="s">
        <v>13</v>
      </c>
      <c r="F1093" s="30"/>
      <c r="G1093" s="26"/>
      <c r="H1093" s="29"/>
    </row>
    <row r="1094" spans="2:8" x14ac:dyDescent="0.25">
      <c r="B1094" s="5">
        <v>8</v>
      </c>
      <c r="C1094" s="21" t="s">
        <v>748</v>
      </c>
      <c r="D1094" s="6"/>
      <c r="E1094" s="7"/>
      <c r="F1094" s="22"/>
      <c r="G1094" s="23"/>
      <c r="H1094" s="23"/>
    </row>
    <row r="1095" spans="2:8" x14ac:dyDescent="0.25">
      <c r="B1095" s="8" t="s">
        <v>9</v>
      </c>
      <c r="C1095" s="24" t="s">
        <v>749</v>
      </c>
      <c r="D1095" s="9"/>
      <c r="E1095" s="10" t="s">
        <v>9</v>
      </c>
      <c r="F1095" s="25"/>
      <c r="G1095" s="26"/>
      <c r="H1095" s="1" t="b">
        <f>IF(D1098="x",H$2,H$1)</f>
        <v>0</v>
      </c>
    </row>
    <row r="1096" spans="2:8" x14ac:dyDescent="0.25">
      <c r="B1096" s="8" t="s">
        <v>10</v>
      </c>
      <c r="C1096" s="24" t="s">
        <v>750</v>
      </c>
      <c r="D1096" s="9"/>
      <c r="E1096" s="10" t="s">
        <v>10</v>
      </c>
      <c r="F1096" s="27" t="str">
        <f>IF(H1097=1,IF(H1095=H$2,H1095,""),"")</f>
        <v/>
      </c>
      <c r="G1096" s="26"/>
      <c r="H1096" s="1" t="str">
        <f>IF(E1142="comprobar",COUNTIF(D1095:D1099,"x"),"")</f>
        <v/>
      </c>
    </row>
    <row r="1097" spans="2:8" x14ac:dyDescent="0.25">
      <c r="B1097" s="8" t="s">
        <v>11</v>
      </c>
      <c r="C1097" s="24" t="s">
        <v>751</v>
      </c>
      <c r="D1097" s="9"/>
      <c r="E1097" s="10" t="s">
        <v>11</v>
      </c>
      <c r="F1097" s="28" t="str">
        <f>IF(H1097=-0.33,IF(H1095=H$1,H1095,""),"")</f>
        <v/>
      </c>
      <c r="G1097" s="26"/>
      <c r="H1097" s="29">
        <f>IF(H1096=1,IF(H1095=H$2,1,-0.33),0)</f>
        <v>0</v>
      </c>
    </row>
    <row r="1098" spans="2:8" x14ac:dyDescent="0.25">
      <c r="B1098" s="8" t="s">
        <v>12</v>
      </c>
      <c r="C1098" s="24" t="s">
        <v>32</v>
      </c>
      <c r="D1098" s="9"/>
      <c r="E1098" s="10" t="s">
        <v>12</v>
      </c>
      <c r="F1098" s="25"/>
      <c r="G1098" s="26"/>
      <c r="H1098" s="29"/>
    </row>
    <row r="1099" spans="2:8" x14ac:dyDescent="0.25">
      <c r="B1099" s="11"/>
      <c r="C1099" s="12"/>
      <c r="D1099" s="9"/>
      <c r="E1099" s="10" t="s">
        <v>13</v>
      </c>
      <c r="F1099" s="30"/>
      <c r="G1099" s="26"/>
      <c r="H1099" s="29"/>
    </row>
    <row r="1100" spans="2:8" x14ac:dyDescent="0.25">
      <c r="B1100" s="5">
        <v>9</v>
      </c>
      <c r="C1100" s="21" t="s">
        <v>752</v>
      </c>
      <c r="D1100" s="6"/>
      <c r="E1100" s="7"/>
      <c r="F1100" s="22"/>
      <c r="G1100" s="23"/>
      <c r="H1100" s="23"/>
    </row>
    <row r="1101" spans="2:8" x14ac:dyDescent="0.25">
      <c r="B1101" s="8" t="s">
        <v>9</v>
      </c>
      <c r="C1101" s="24" t="s">
        <v>335</v>
      </c>
      <c r="D1101" s="9"/>
      <c r="E1101" s="10" t="s">
        <v>9</v>
      </c>
      <c r="F1101" s="25"/>
      <c r="G1101" s="26"/>
      <c r="H1101" s="1" t="b">
        <f>IF(D1102="x",H$2,H$1)</f>
        <v>0</v>
      </c>
    </row>
    <row r="1102" spans="2:8" x14ac:dyDescent="0.25">
      <c r="B1102" s="8" t="s">
        <v>10</v>
      </c>
      <c r="C1102" s="24" t="s">
        <v>337</v>
      </c>
      <c r="D1102" s="9"/>
      <c r="E1102" s="10" t="s">
        <v>10</v>
      </c>
      <c r="F1102" s="27" t="str">
        <f>IF(H1103=1,IF(H1101=H$2,H1101,""),"")</f>
        <v/>
      </c>
      <c r="G1102" s="26"/>
      <c r="H1102" s="1" t="str">
        <f>IF(E1142="comprobar",COUNTIF(D1101:D1105,"x"),"")</f>
        <v/>
      </c>
    </row>
    <row r="1103" spans="2:8" x14ac:dyDescent="0.25">
      <c r="B1103" s="8" t="s">
        <v>11</v>
      </c>
      <c r="C1103" s="24" t="s">
        <v>338</v>
      </c>
      <c r="D1103" s="9"/>
      <c r="E1103" s="10" t="s">
        <v>11</v>
      </c>
      <c r="F1103" s="28" t="str">
        <f>IF(H1103=-0.33,IF(H1101=H$1,H1101,""),"")</f>
        <v/>
      </c>
      <c r="G1103" s="26"/>
      <c r="H1103" s="29">
        <f>IF(H1102=1,IF(H1101=H$2,1,-0.33),0)</f>
        <v>0</v>
      </c>
    </row>
    <row r="1104" spans="2:8" x14ac:dyDescent="0.25">
      <c r="B1104" s="8" t="s">
        <v>12</v>
      </c>
      <c r="C1104" s="24" t="s">
        <v>753</v>
      </c>
      <c r="D1104" s="9"/>
      <c r="E1104" s="10" t="s">
        <v>12</v>
      </c>
      <c r="F1104" s="25"/>
      <c r="G1104" s="26"/>
      <c r="H1104" s="1"/>
    </row>
    <row r="1105" spans="2:8" x14ac:dyDescent="0.25">
      <c r="B1105" s="11"/>
      <c r="C1105" s="12"/>
      <c r="D1105" s="9"/>
      <c r="E1105" s="10" t="s">
        <v>13</v>
      </c>
      <c r="F1105" s="30"/>
      <c r="G1105" s="26"/>
      <c r="H1105" s="15"/>
    </row>
    <row r="1106" spans="2:8" ht="31.5" x14ac:dyDescent="0.25">
      <c r="B1106" s="5">
        <v>10</v>
      </c>
      <c r="C1106" s="21" t="s">
        <v>754</v>
      </c>
      <c r="D1106" s="6"/>
      <c r="E1106" s="7"/>
      <c r="F1106" s="22"/>
      <c r="G1106" s="31"/>
      <c r="H1106" s="31"/>
    </row>
    <row r="1107" spans="2:8" ht="31.5" x14ac:dyDescent="0.25">
      <c r="B1107" s="8" t="s">
        <v>9</v>
      </c>
      <c r="C1107" s="24" t="s">
        <v>755</v>
      </c>
      <c r="D1107" s="9"/>
      <c r="E1107" s="10" t="s">
        <v>9</v>
      </c>
      <c r="F1107" s="25"/>
      <c r="G1107" s="32"/>
      <c r="H1107" s="1" t="b">
        <f>IF(D1108="x",H$2,H$1)</f>
        <v>0</v>
      </c>
    </row>
    <row r="1108" spans="2:8" x14ac:dyDescent="0.25">
      <c r="B1108" s="8" t="s">
        <v>10</v>
      </c>
      <c r="C1108" s="24" t="s">
        <v>756</v>
      </c>
      <c r="D1108" s="9"/>
      <c r="E1108" s="10" t="s">
        <v>10</v>
      </c>
      <c r="F1108" s="27" t="str">
        <f>IF(H1109=1,IF(H1107=H$2,H1107,""),"")</f>
        <v/>
      </c>
      <c r="G1108" s="32"/>
      <c r="H1108" s="1" t="str">
        <f>IF(E1142="comprobar",COUNTIF(D1107:D1111,"x"),"")</f>
        <v/>
      </c>
    </row>
    <row r="1109" spans="2:8" x14ac:dyDescent="0.25">
      <c r="B1109" s="8" t="s">
        <v>11</v>
      </c>
      <c r="C1109" s="24" t="s">
        <v>757</v>
      </c>
      <c r="D1109" s="9"/>
      <c r="E1109" s="10" t="s">
        <v>11</v>
      </c>
      <c r="F1109" s="28" t="str">
        <f>IF(H1109=-0.33,IF(H1107=H$1,H1107,""),"")</f>
        <v/>
      </c>
      <c r="G1109" s="32"/>
      <c r="H1109" s="29">
        <f>IF(H1108=1,IF(H1107=H$2,1,-0.33),0)</f>
        <v>0</v>
      </c>
    </row>
    <row r="1110" spans="2:8" x14ac:dyDescent="0.25">
      <c r="B1110" s="8" t="s">
        <v>12</v>
      </c>
      <c r="C1110" s="24" t="s">
        <v>32</v>
      </c>
      <c r="D1110" s="9"/>
      <c r="E1110" s="10" t="s">
        <v>12</v>
      </c>
      <c r="F1110" s="25"/>
      <c r="G1110" s="32"/>
      <c r="H1110" s="29"/>
    </row>
    <row r="1111" spans="2:8" x14ac:dyDescent="0.25">
      <c r="B1111" s="11"/>
      <c r="C1111" s="12"/>
      <c r="D1111" s="9"/>
      <c r="E1111" s="10" t="s">
        <v>13</v>
      </c>
      <c r="F1111" s="30"/>
      <c r="G1111" s="32"/>
      <c r="H1111" s="29"/>
    </row>
    <row r="1112" spans="2:8" x14ac:dyDescent="0.25">
      <c r="B1112" s="5">
        <v>11</v>
      </c>
      <c r="C1112" s="21" t="s">
        <v>758</v>
      </c>
      <c r="D1112" s="6"/>
      <c r="E1112" s="7"/>
      <c r="F1112" s="22"/>
      <c r="G1112" s="31"/>
      <c r="H1112" s="31"/>
    </row>
    <row r="1113" spans="2:8" ht="31.5" x14ac:dyDescent="0.25">
      <c r="B1113" s="8" t="s">
        <v>9</v>
      </c>
      <c r="C1113" s="24" t="s">
        <v>759</v>
      </c>
      <c r="D1113" s="9"/>
      <c r="E1113" s="10" t="s">
        <v>9</v>
      </c>
      <c r="F1113" s="25"/>
      <c r="G1113" s="32"/>
      <c r="H1113" s="1" t="b">
        <f>IF(D1113="x",H$2,H$1)</f>
        <v>0</v>
      </c>
    </row>
    <row r="1114" spans="2:8" ht="31.5" x14ac:dyDescent="0.25">
      <c r="B1114" s="8" t="s">
        <v>10</v>
      </c>
      <c r="C1114" s="24" t="s">
        <v>760</v>
      </c>
      <c r="D1114" s="9"/>
      <c r="E1114" s="10" t="s">
        <v>10</v>
      </c>
      <c r="F1114" s="27" t="str">
        <f>IF(H1115=1,IF(H1113=H$2,H1113,""),"")</f>
        <v/>
      </c>
      <c r="G1114" s="32"/>
      <c r="H1114" s="1" t="str">
        <f>IF(E1142="comprobar",COUNTIF(D1113:D1117,"x"),"")</f>
        <v/>
      </c>
    </row>
    <row r="1115" spans="2:8" ht="31.5" x14ac:dyDescent="0.25">
      <c r="B1115" s="8" t="s">
        <v>11</v>
      </c>
      <c r="C1115" s="24" t="s">
        <v>761</v>
      </c>
      <c r="D1115" s="9"/>
      <c r="E1115" s="10" t="s">
        <v>11</v>
      </c>
      <c r="F1115" s="28" t="str">
        <f>IF(H1115=-0.33,IF(H1113=H$1,H1113,""),"")</f>
        <v/>
      </c>
      <c r="G1115" s="32"/>
      <c r="H1115" s="29">
        <f>IF(H1114=1,IF(H1113=H$2,1,-0.33),0)</f>
        <v>0</v>
      </c>
    </row>
    <row r="1116" spans="2:8" x14ac:dyDescent="0.25">
      <c r="B1116" s="8" t="s">
        <v>12</v>
      </c>
      <c r="C1116" s="24" t="s">
        <v>32</v>
      </c>
      <c r="D1116" s="9"/>
      <c r="E1116" s="10" t="s">
        <v>12</v>
      </c>
      <c r="F1116" s="25"/>
      <c r="G1116" s="32"/>
      <c r="H1116" s="29"/>
    </row>
    <row r="1117" spans="2:8" x14ac:dyDescent="0.25">
      <c r="B1117" s="11"/>
      <c r="C1117" s="12"/>
      <c r="D1117" s="9"/>
      <c r="E1117" s="10"/>
      <c r="F1117" s="25"/>
      <c r="G1117" s="32"/>
      <c r="H1117" s="29"/>
    </row>
    <row r="1118" spans="2:8" x14ac:dyDescent="0.25">
      <c r="B1118" s="5">
        <v>12</v>
      </c>
      <c r="C1118" s="21" t="s">
        <v>762</v>
      </c>
      <c r="D1118" s="6"/>
      <c r="E1118" s="7"/>
      <c r="F1118" s="22"/>
      <c r="G1118" s="23"/>
      <c r="H1118" s="23"/>
    </row>
    <row r="1119" spans="2:8" x14ac:dyDescent="0.25">
      <c r="B1119" s="8" t="s">
        <v>9</v>
      </c>
      <c r="C1119" s="24" t="s">
        <v>763</v>
      </c>
      <c r="D1119" s="9"/>
      <c r="E1119" s="10" t="s">
        <v>9</v>
      </c>
      <c r="F1119" s="25"/>
      <c r="G1119" s="26"/>
      <c r="H1119" s="1" t="b">
        <f>IF(D1119="x",H$2,H$1)</f>
        <v>0</v>
      </c>
    </row>
    <row r="1120" spans="2:8" x14ac:dyDescent="0.25">
      <c r="B1120" s="8" t="s">
        <v>10</v>
      </c>
      <c r="C1120" s="24" t="s">
        <v>764</v>
      </c>
      <c r="D1120" s="9"/>
      <c r="E1120" s="10" t="s">
        <v>10</v>
      </c>
      <c r="F1120" s="27" t="str">
        <f>IF(H1121=1,IF(H1119=H$2,H1119,""),"")</f>
        <v/>
      </c>
      <c r="G1120" s="26"/>
      <c r="H1120" s="1" t="str">
        <f>IF(E1142="comprobar",COUNTIF(D1119:D1123,"x"),"")</f>
        <v/>
      </c>
    </row>
    <row r="1121" spans="2:8" x14ac:dyDescent="0.25">
      <c r="B1121" s="8" t="s">
        <v>11</v>
      </c>
      <c r="C1121" s="24" t="s">
        <v>765</v>
      </c>
      <c r="D1121" s="9"/>
      <c r="E1121" s="10" t="s">
        <v>11</v>
      </c>
      <c r="F1121" s="28" t="str">
        <f>IF(H1121=-0.33,IF(H1119=H$1,H1119,""),"")</f>
        <v/>
      </c>
      <c r="G1121" s="26"/>
      <c r="H1121" s="29">
        <f>IF(H1120=1,IF(H1119=H$2,1,-0.33),0)</f>
        <v>0</v>
      </c>
    </row>
    <row r="1122" spans="2:8" x14ac:dyDescent="0.25">
      <c r="B1122" s="8" t="s">
        <v>12</v>
      </c>
      <c r="C1122" s="24" t="s">
        <v>32</v>
      </c>
      <c r="D1122" s="9"/>
      <c r="E1122" s="10" t="s">
        <v>12</v>
      </c>
      <c r="F1122" s="25"/>
      <c r="G1122" s="26"/>
      <c r="H1122" s="29"/>
    </row>
    <row r="1123" spans="2:8" x14ac:dyDescent="0.25">
      <c r="B1123" s="11"/>
      <c r="C1123" s="12"/>
      <c r="D1123" s="9"/>
      <c r="E1123" s="10" t="s">
        <v>13</v>
      </c>
      <c r="F1123" s="30"/>
      <c r="G1123" s="26"/>
      <c r="H1123" s="29"/>
    </row>
    <row r="1124" spans="2:8" x14ac:dyDescent="0.25">
      <c r="B1124" s="5">
        <v>13</v>
      </c>
      <c r="C1124" s="21" t="s">
        <v>766</v>
      </c>
      <c r="D1124" s="6"/>
      <c r="E1124" s="7"/>
      <c r="F1124" s="22"/>
      <c r="G1124" s="23"/>
      <c r="H1124" s="23"/>
    </row>
    <row r="1125" spans="2:8" x14ac:dyDescent="0.25">
      <c r="B1125" s="8" t="s">
        <v>9</v>
      </c>
      <c r="C1125" s="24" t="s">
        <v>767</v>
      </c>
      <c r="D1125" s="9"/>
      <c r="E1125" s="10" t="s">
        <v>9</v>
      </c>
      <c r="F1125" s="25"/>
      <c r="G1125" s="26"/>
      <c r="H1125" s="1" t="b">
        <f>IF(D1125="x",H$2,H$1)</f>
        <v>0</v>
      </c>
    </row>
    <row r="1126" spans="2:8" x14ac:dyDescent="0.25">
      <c r="B1126" s="8" t="s">
        <v>10</v>
      </c>
      <c r="C1126" s="24" t="s">
        <v>768</v>
      </c>
      <c r="D1126" s="9"/>
      <c r="E1126" s="10" t="s">
        <v>10</v>
      </c>
      <c r="F1126" s="27" t="str">
        <f>IF(H1127=1,IF(H1125=H$2,H1125,""),"")</f>
        <v/>
      </c>
      <c r="G1126" s="26"/>
      <c r="H1126" s="1" t="str">
        <f>IF(E1142="comprobar",COUNTIF(D1125:D1129,"x"),"")</f>
        <v/>
      </c>
    </row>
    <row r="1127" spans="2:8" x14ac:dyDescent="0.25">
      <c r="B1127" s="8" t="s">
        <v>11</v>
      </c>
      <c r="C1127" s="24" t="s">
        <v>769</v>
      </c>
      <c r="D1127" s="9"/>
      <c r="E1127" s="10" t="s">
        <v>11</v>
      </c>
      <c r="F1127" s="28" t="str">
        <f>IF(H1127=-0.33,IF(H1125=H$1,H1125,""),"")</f>
        <v/>
      </c>
      <c r="G1127" s="26"/>
      <c r="H1127" s="29">
        <f t="shared" ref="H1127" si="23">IF(H1126=1,IF(H1125=H$2,1,-0.33),0)</f>
        <v>0</v>
      </c>
    </row>
    <row r="1128" spans="2:8" x14ac:dyDescent="0.25">
      <c r="B1128" s="8" t="s">
        <v>12</v>
      </c>
      <c r="C1128" s="24" t="s">
        <v>449</v>
      </c>
      <c r="D1128" s="9"/>
      <c r="E1128" s="10" t="s">
        <v>12</v>
      </c>
      <c r="F1128" s="25"/>
      <c r="G1128" s="26"/>
      <c r="H1128" s="26"/>
    </row>
    <row r="1129" spans="2:8" x14ac:dyDescent="0.25">
      <c r="B1129" s="11"/>
      <c r="C1129" s="12"/>
      <c r="D1129" s="9"/>
      <c r="E1129" s="10" t="s">
        <v>13</v>
      </c>
      <c r="F1129" s="30"/>
      <c r="G1129" s="26"/>
      <c r="H1129" s="26"/>
    </row>
    <row r="1130" spans="2:8" x14ac:dyDescent="0.25">
      <c r="B1130" s="5">
        <v>14</v>
      </c>
      <c r="C1130" s="21" t="s">
        <v>770</v>
      </c>
      <c r="D1130" s="6"/>
      <c r="E1130" s="7"/>
      <c r="F1130" s="22"/>
      <c r="G1130" s="23"/>
      <c r="H1130" s="23"/>
    </row>
    <row r="1131" spans="2:8" x14ac:dyDescent="0.25">
      <c r="B1131" s="8" t="s">
        <v>9</v>
      </c>
      <c r="C1131" s="24" t="s">
        <v>771</v>
      </c>
      <c r="D1131" s="9"/>
      <c r="E1131" s="10" t="s">
        <v>9</v>
      </c>
      <c r="F1131" s="25"/>
      <c r="G1131" s="26"/>
      <c r="H1131" s="1" t="b">
        <f>IF(D1131="x",H$2,H$1)</f>
        <v>0</v>
      </c>
    </row>
    <row r="1132" spans="2:8" x14ac:dyDescent="0.25">
      <c r="B1132" s="8" t="s">
        <v>10</v>
      </c>
      <c r="C1132" s="24" t="s">
        <v>772</v>
      </c>
      <c r="D1132" s="9"/>
      <c r="E1132" s="10" t="s">
        <v>10</v>
      </c>
      <c r="F1132" s="27" t="str">
        <f>IF(H1133=1,IF(H1131=H$2,H1131,""),"")</f>
        <v/>
      </c>
      <c r="G1132" s="26"/>
      <c r="H1132" s="1" t="str">
        <f>IF(E1142="comprobar",COUNTIF(D1131:D1135,"x"),"")</f>
        <v/>
      </c>
    </row>
    <row r="1133" spans="2:8" x14ac:dyDescent="0.25">
      <c r="B1133" s="8" t="s">
        <v>11</v>
      </c>
      <c r="C1133" s="24" t="s">
        <v>773</v>
      </c>
      <c r="D1133" s="9"/>
      <c r="E1133" s="10" t="s">
        <v>11</v>
      </c>
      <c r="F1133" s="28" t="str">
        <f>IF(H1133=-0.33,IF(H1131=H$1,H1131,""),"")</f>
        <v/>
      </c>
      <c r="G1133" s="26"/>
      <c r="H1133" s="29">
        <f>IF(H1132=1,IF(H1131=H$2,1,-0.33),0)</f>
        <v>0</v>
      </c>
    </row>
    <row r="1134" spans="2:8" x14ac:dyDescent="0.25">
      <c r="B1134" s="8" t="s">
        <v>12</v>
      </c>
      <c r="C1134" s="24" t="s">
        <v>774</v>
      </c>
      <c r="D1134" s="9"/>
      <c r="E1134" s="10" t="s">
        <v>12</v>
      </c>
      <c r="F1134" s="25"/>
      <c r="G1134" s="26"/>
      <c r="H1134" s="26"/>
    </row>
    <row r="1135" spans="2:8" x14ac:dyDescent="0.25">
      <c r="B1135" s="11"/>
      <c r="C1135" s="12"/>
      <c r="D1135" s="9"/>
      <c r="E1135" s="10" t="s">
        <v>13</v>
      </c>
      <c r="F1135" s="30"/>
      <c r="G1135" s="26"/>
      <c r="H1135" s="26"/>
    </row>
    <row r="1136" spans="2:8" x14ac:dyDescent="0.25">
      <c r="B1136" s="5">
        <v>15</v>
      </c>
      <c r="C1136" s="21" t="s">
        <v>775</v>
      </c>
      <c r="D1136" s="6"/>
      <c r="E1136" s="7"/>
      <c r="F1136" s="22"/>
      <c r="G1136" s="23"/>
      <c r="H1136" s="23"/>
    </row>
    <row r="1137" spans="2:8" ht="31.5" x14ac:dyDescent="0.25">
      <c r="B1137" s="8" t="s">
        <v>9</v>
      </c>
      <c r="C1137" s="24" t="s">
        <v>776</v>
      </c>
      <c r="D1137" s="9"/>
      <c r="E1137" s="10" t="s">
        <v>9</v>
      </c>
      <c r="F1137" s="25"/>
      <c r="G1137" s="26"/>
      <c r="H1137" s="1" t="b">
        <f>IF(D1138="x",H$2,H$1)</f>
        <v>0</v>
      </c>
    </row>
    <row r="1138" spans="2:8" ht="31.5" x14ac:dyDescent="0.25">
      <c r="B1138" s="8" t="s">
        <v>10</v>
      </c>
      <c r="C1138" s="24" t="s">
        <v>777</v>
      </c>
      <c r="D1138" s="9"/>
      <c r="E1138" s="10" t="s">
        <v>10</v>
      </c>
      <c r="F1138" s="27" t="str">
        <f>IF(H1139=1,IF(H1137=H$2,H1137,""),"")</f>
        <v/>
      </c>
      <c r="G1138" s="26"/>
      <c r="H1138" s="1" t="str">
        <f>IF(E1142="comprobar",COUNTIF(D1137:D1141,"x"),"")</f>
        <v/>
      </c>
    </row>
    <row r="1139" spans="2:8" x14ac:dyDescent="0.25">
      <c r="B1139" s="8" t="s">
        <v>11</v>
      </c>
      <c r="C1139" s="24" t="s">
        <v>32</v>
      </c>
      <c r="D1139" s="9"/>
      <c r="E1139" s="10" t="s">
        <v>11</v>
      </c>
      <c r="F1139" s="28" t="str">
        <f>IF(H1139=-0.33,IF(H1137=H$1,H1137,""),"")</f>
        <v/>
      </c>
      <c r="G1139" s="26"/>
      <c r="H1139" s="29">
        <f>IF(H1138=1,IF(H1137=H$2,1,-0.33),0)</f>
        <v>0</v>
      </c>
    </row>
    <row r="1140" spans="2:8" x14ac:dyDescent="0.25">
      <c r="B1140" s="8" t="s">
        <v>12</v>
      </c>
      <c r="C1140" s="24" t="s">
        <v>635</v>
      </c>
      <c r="D1140" s="9"/>
      <c r="E1140" s="10" t="s">
        <v>12</v>
      </c>
      <c r="F1140" s="25"/>
      <c r="G1140" s="26"/>
      <c r="H1140" s="29"/>
    </row>
    <row r="1141" spans="2:8" x14ac:dyDescent="0.25">
      <c r="B1141" s="11"/>
      <c r="C1141" s="12"/>
      <c r="D1141" s="9"/>
      <c r="E1141" s="10" t="s">
        <v>13</v>
      </c>
      <c r="F1141" s="30"/>
      <c r="G1141" s="26"/>
      <c r="H1141" s="29"/>
    </row>
    <row r="1142" spans="2:8" x14ac:dyDescent="0.25">
      <c r="B1142" s="33"/>
      <c r="C1142" s="4"/>
      <c r="D1142" s="34"/>
      <c r="E1142" s="35"/>
      <c r="F1142" s="30"/>
      <c r="G1142" s="26"/>
      <c r="H1142" s="26"/>
    </row>
    <row r="1143" spans="2:8" x14ac:dyDescent="0.25">
      <c r="B1143" s="33"/>
      <c r="C1143" s="4"/>
      <c r="D1143" s="34"/>
      <c r="E1143" s="36"/>
      <c r="F1143" s="37" t="s">
        <v>8</v>
      </c>
      <c r="G1143" s="26" t="s">
        <v>6</v>
      </c>
      <c r="H1143" s="26" t="s">
        <v>7</v>
      </c>
    </row>
    <row r="1144" spans="2:8" ht="19.5" x14ac:dyDescent="0.25">
      <c r="B1144" s="33"/>
      <c r="C1144" s="38"/>
      <c r="D1144" s="51"/>
      <c r="E1144" s="51"/>
      <c r="F1144" s="39" t="str">
        <f>IF(E1142="comprobar",H1109+H1103+H1097+H1091+H1085+H1079+H1073+H1067+H1061+H1055+H1115+H1121+H1127+H1133+H1139,"")</f>
        <v/>
      </c>
      <c r="G1144" s="26">
        <f>10/2</f>
        <v>5</v>
      </c>
      <c r="H1144" s="26"/>
    </row>
    <row r="1145" spans="2:8" ht="16.5" thickBot="1" x14ac:dyDescent="0.3">
      <c r="B1145" s="40"/>
      <c r="C1145" s="41"/>
      <c r="D1145" s="42"/>
      <c r="E1145" s="43"/>
      <c r="F1145" s="44" t="str">
        <f>IF(F1144&gt;G1144,G1143,H1143)</f>
        <v>APROBADO</v>
      </c>
      <c r="G1145" s="26"/>
      <c r="H1145" s="26"/>
    </row>
    <row r="1146" spans="2:8" ht="28.5" x14ac:dyDescent="0.45">
      <c r="B1146" s="19" t="s">
        <v>81</v>
      </c>
      <c r="C1146" s="49" t="s">
        <v>714</v>
      </c>
      <c r="D1146" s="49"/>
      <c r="E1146" s="49"/>
      <c r="F1146" s="50"/>
      <c r="G1146" s="20"/>
      <c r="H1146" s="20"/>
    </row>
    <row r="1147" spans="2:8" ht="31.5" x14ac:dyDescent="0.25">
      <c r="B1147" s="5">
        <v>1</v>
      </c>
      <c r="C1147" s="21" t="s">
        <v>1081</v>
      </c>
      <c r="D1147" s="6"/>
      <c r="E1147" s="7"/>
      <c r="F1147" s="22"/>
      <c r="G1147" s="23"/>
      <c r="H1147" s="23"/>
    </row>
    <row r="1148" spans="2:8" x14ac:dyDescent="0.25">
      <c r="B1148" s="8" t="s">
        <v>9</v>
      </c>
      <c r="C1148" s="24" t="s">
        <v>1082</v>
      </c>
      <c r="D1148" s="9"/>
      <c r="E1148" s="10" t="s">
        <v>9</v>
      </c>
      <c r="F1148" s="25"/>
      <c r="G1148" s="26"/>
      <c r="H1148" s="1" t="b">
        <f>IF(D1150="x",H$2,H$1)</f>
        <v>0</v>
      </c>
    </row>
    <row r="1149" spans="2:8" x14ac:dyDescent="0.25">
      <c r="B1149" s="8" t="s">
        <v>10</v>
      </c>
      <c r="C1149" s="24" t="s">
        <v>1083</v>
      </c>
      <c r="D1149" s="9"/>
      <c r="E1149" s="10" t="s">
        <v>10</v>
      </c>
      <c r="F1149" s="27" t="str">
        <f>IF(H1150=1,IF(H1148=H$2,H1148,""),"")</f>
        <v/>
      </c>
      <c r="G1149" s="26"/>
      <c r="H1149" s="1" t="str">
        <f>IF(E1237="comprobar",COUNTIF(D1148:D1152,"x"),"")</f>
        <v/>
      </c>
    </row>
    <row r="1150" spans="2:8" x14ac:dyDescent="0.25">
      <c r="B1150" s="8" t="s">
        <v>11</v>
      </c>
      <c r="C1150" s="24" t="s">
        <v>1084</v>
      </c>
      <c r="D1150" s="9"/>
      <c r="E1150" s="10" t="s">
        <v>11</v>
      </c>
      <c r="F1150" s="28" t="str">
        <f>IF(H1150=-0.33,IF(H1148=H$1,H1148,""),"")</f>
        <v/>
      </c>
      <c r="G1150" s="26"/>
      <c r="H1150" s="29">
        <f>IF(H1149=1,IF(H1148=H$2,1,-0.33),0)</f>
        <v>0</v>
      </c>
    </row>
    <row r="1151" spans="2:8" x14ac:dyDescent="0.25">
      <c r="B1151" s="8" t="s">
        <v>12</v>
      </c>
      <c r="C1151" s="24" t="s">
        <v>1085</v>
      </c>
      <c r="D1151" s="9"/>
      <c r="E1151" s="10" t="s">
        <v>12</v>
      </c>
      <c r="F1151" s="25"/>
      <c r="G1151" s="26"/>
      <c r="H1151" s="29"/>
    </row>
    <row r="1152" spans="2:8" x14ac:dyDescent="0.25">
      <c r="B1152" s="11"/>
      <c r="C1152" s="12"/>
      <c r="D1152" s="9"/>
      <c r="E1152" s="10" t="s">
        <v>13</v>
      </c>
      <c r="F1152" s="30"/>
      <c r="G1152" s="26"/>
      <c r="H1152" s="29"/>
    </row>
    <row r="1153" spans="2:8" x14ac:dyDescent="0.25">
      <c r="B1153" s="5">
        <v>2</v>
      </c>
      <c r="C1153" s="21" t="s">
        <v>1086</v>
      </c>
      <c r="D1153" s="6"/>
      <c r="E1153" s="7"/>
      <c r="F1153" s="22"/>
      <c r="G1153" s="23"/>
      <c r="H1153" s="23"/>
    </row>
    <row r="1154" spans="2:8" x14ac:dyDescent="0.25">
      <c r="B1154" s="8" t="s">
        <v>9</v>
      </c>
      <c r="C1154" s="24" t="s">
        <v>1087</v>
      </c>
      <c r="D1154" s="9"/>
      <c r="E1154" s="10" t="s">
        <v>9</v>
      </c>
      <c r="F1154" s="25"/>
      <c r="G1154" s="26"/>
      <c r="H1154" s="1" t="b">
        <f>IF(D1156="x",H$2,H$1)</f>
        <v>0</v>
      </c>
    </row>
    <row r="1155" spans="2:8" x14ac:dyDescent="0.25">
      <c r="B1155" s="8" t="s">
        <v>10</v>
      </c>
      <c r="C1155" s="24" t="s">
        <v>1088</v>
      </c>
      <c r="D1155" s="9"/>
      <c r="E1155" s="10" t="s">
        <v>10</v>
      </c>
      <c r="F1155" s="27" t="str">
        <f>IF(H1156=1,IF(H1154=H$2,H1154,""),"")</f>
        <v/>
      </c>
      <c r="G1155" s="26"/>
      <c r="H1155" s="1" t="str">
        <f>IF(E1237="comprobar",COUNTIF(D1154:D1158,"x"),"")</f>
        <v/>
      </c>
    </row>
    <row r="1156" spans="2:8" x14ac:dyDescent="0.25">
      <c r="B1156" s="8" t="s">
        <v>11</v>
      </c>
      <c r="C1156" s="24" t="s">
        <v>1089</v>
      </c>
      <c r="D1156" s="9"/>
      <c r="E1156" s="10" t="s">
        <v>11</v>
      </c>
      <c r="F1156" s="28" t="str">
        <f>IF(H1156=-0.33,IF(H1154=H$1,H1154,""),"")</f>
        <v/>
      </c>
      <c r="G1156" s="26"/>
      <c r="H1156" s="29">
        <f>IF(H1155=1,IF(H1154=H$2,1,-0.33),0)</f>
        <v>0</v>
      </c>
    </row>
    <row r="1157" spans="2:8" x14ac:dyDescent="0.25">
      <c r="B1157" s="8" t="s">
        <v>12</v>
      </c>
      <c r="C1157" s="24" t="s">
        <v>1090</v>
      </c>
      <c r="D1157" s="9"/>
      <c r="E1157" s="10" t="s">
        <v>12</v>
      </c>
      <c r="F1157" s="25"/>
      <c r="G1157" s="26"/>
      <c r="H1157" s="26"/>
    </row>
    <row r="1158" spans="2:8" x14ac:dyDescent="0.25">
      <c r="B1158" s="11"/>
      <c r="C1158" s="12"/>
      <c r="D1158" s="9"/>
      <c r="E1158" s="10" t="s">
        <v>13</v>
      </c>
      <c r="F1158" s="30"/>
      <c r="G1158" s="26"/>
      <c r="H1158" s="26"/>
    </row>
    <row r="1159" spans="2:8" ht="31.5" x14ac:dyDescent="0.25">
      <c r="B1159" s="5">
        <v>3</v>
      </c>
      <c r="C1159" s="21" t="s">
        <v>1091</v>
      </c>
      <c r="D1159" s="6"/>
      <c r="E1159" s="7"/>
      <c r="F1159" s="22"/>
      <c r="G1159" s="23"/>
      <c r="H1159" s="23"/>
    </row>
    <row r="1160" spans="2:8" x14ac:dyDescent="0.25">
      <c r="B1160" s="8" t="s">
        <v>9</v>
      </c>
      <c r="C1160" s="24" t="s">
        <v>1084</v>
      </c>
      <c r="D1160" s="9"/>
      <c r="E1160" s="10" t="s">
        <v>9</v>
      </c>
      <c r="F1160" s="25"/>
      <c r="G1160" s="26"/>
      <c r="H1160" s="1" t="b">
        <f>IF(D1161="x",H$2,H$1)</f>
        <v>0</v>
      </c>
    </row>
    <row r="1161" spans="2:8" x14ac:dyDescent="0.25">
      <c r="B1161" s="8" t="s">
        <v>10</v>
      </c>
      <c r="C1161" s="24" t="s">
        <v>1082</v>
      </c>
      <c r="D1161" s="9"/>
      <c r="E1161" s="10" t="s">
        <v>10</v>
      </c>
      <c r="F1161" s="27" t="str">
        <f>IF(H1162=1,IF(H1160=H$2,H1160,""),"")</f>
        <v/>
      </c>
      <c r="G1161" s="26"/>
      <c r="H1161" s="1" t="str">
        <f>IF(E1237="comprobar",COUNTIF(D1160:D1164,"x"),"")</f>
        <v/>
      </c>
    </row>
    <row r="1162" spans="2:8" x14ac:dyDescent="0.25">
      <c r="B1162" s="8" t="s">
        <v>11</v>
      </c>
      <c r="C1162" s="24" t="s">
        <v>1085</v>
      </c>
      <c r="D1162" s="9"/>
      <c r="E1162" s="10" t="s">
        <v>11</v>
      </c>
      <c r="F1162" s="28" t="str">
        <f>IF(H1162=-0.33,IF(H1160=H$1,H1160,""),"")</f>
        <v/>
      </c>
      <c r="G1162" s="26"/>
      <c r="H1162" s="29">
        <f>IF(H1161=1,IF(H1160=H$2,1,-0.33),0)</f>
        <v>0</v>
      </c>
    </row>
    <row r="1163" spans="2:8" x14ac:dyDescent="0.25">
      <c r="B1163" s="8" t="s">
        <v>12</v>
      </c>
      <c r="C1163" s="24" t="s">
        <v>1092</v>
      </c>
      <c r="D1163" s="9"/>
      <c r="E1163" s="10" t="s">
        <v>12</v>
      </c>
      <c r="F1163" s="25"/>
      <c r="G1163" s="26"/>
      <c r="H1163" s="29"/>
    </row>
    <row r="1164" spans="2:8" x14ac:dyDescent="0.25">
      <c r="B1164" s="11"/>
      <c r="C1164" s="12"/>
      <c r="D1164" s="9"/>
      <c r="E1164" s="10" t="s">
        <v>13</v>
      </c>
      <c r="F1164" s="30"/>
      <c r="G1164" s="26"/>
      <c r="H1164" s="29"/>
    </row>
    <row r="1165" spans="2:8" ht="31.5" x14ac:dyDescent="0.25">
      <c r="B1165" s="5">
        <v>4</v>
      </c>
      <c r="C1165" s="21" t="s">
        <v>1093</v>
      </c>
      <c r="D1165" s="6"/>
      <c r="E1165" s="7"/>
      <c r="F1165" s="22"/>
      <c r="G1165" s="23"/>
      <c r="H1165" s="23"/>
    </row>
    <row r="1166" spans="2:8" x14ac:dyDescent="0.25">
      <c r="B1166" s="8" t="s">
        <v>9</v>
      </c>
      <c r="C1166" s="24" t="s">
        <v>1095</v>
      </c>
      <c r="D1166" s="9"/>
      <c r="E1166" s="10" t="s">
        <v>9</v>
      </c>
      <c r="F1166" s="25"/>
      <c r="G1166" s="26"/>
      <c r="H1166" s="1" t="b">
        <f>IF(D1166="x",H$2,H$1)</f>
        <v>0</v>
      </c>
    </row>
    <row r="1167" spans="2:8" x14ac:dyDescent="0.25">
      <c r="B1167" s="8" t="s">
        <v>10</v>
      </c>
      <c r="C1167" s="24" t="s">
        <v>1084</v>
      </c>
      <c r="D1167" s="9"/>
      <c r="E1167" s="10" t="s">
        <v>10</v>
      </c>
      <c r="F1167" s="27" t="str">
        <f>IF(H1168=1,IF(H1166=H$2,H1166,""),"")</f>
        <v/>
      </c>
      <c r="G1167" s="26"/>
      <c r="H1167" s="1" t="str">
        <f>IF(E1237="comprobar",COUNTIF(D1166:D1170,"x"),"")</f>
        <v/>
      </c>
    </row>
    <row r="1168" spans="2:8" x14ac:dyDescent="0.25">
      <c r="B1168" s="8" t="s">
        <v>11</v>
      </c>
      <c r="C1168" s="24" t="s">
        <v>1029</v>
      </c>
      <c r="D1168" s="9"/>
      <c r="E1168" s="10" t="s">
        <v>11</v>
      </c>
      <c r="F1168" s="28" t="str">
        <f>IF(H1168=-0.33,IF(H1166=H$1,H1166,""),"")</f>
        <v/>
      </c>
      <c r="G1168" s="26"/>
      <c r="H1168" s="29">
        <f>IF(H1167=1,IF(H1166=H$2,1,-0.33),0)</f>
        <v>0</v>
      </c>
    </row>
    <row r="1169" spans="2:8" x14ac:dyDescent="0.25">
      <c r="B1169" s="8" t="s">
        <v>12</v>
      </c>
      <c r="C1169" s="24" t="s">
        <v>1092</v>
      </c>
      <c r="D1169" s="9"/>
      <c r="E1169" s="10" t="s">
        <v>12</v>
      </c>
      <c r="F1169" s="25"/>
      <c r="G1169" s="26"/>
      <c r="H1169" s="29"/>
    </row>
    <row r="1170" spans="2:8" x14ac:dyDescent="0.25">
      <c r="B1170" s="11"/>
      <c r="C1170" s="12"/>
      <c r="D1170" s="9"/>
      <c r="E1170" s="10" t="s">
        <v>13</v>
      </c>
      <c r="F1170" s="30"/>
      <c r="G1170" s="26"/>
      <c r="H1170" s="29"/>
    </row>
    <row r="1171" spans="2:8" ht="31.5" x14ac:dyDescent="0.25">
      <c r="B1171" s="5">
        <v>5</v>
      </c>
      <c r="C1171" s="21" t="s">
        <v>1094</v>
      </c>
      <c r="D1171" s="6"/>
      <c r="E1171" s="7"/>
      <c r="F1171" s="22"/>
      <c r="G1171" s="23"/>
      <c r="H1171" s="23"/>
    </row>
    <row r="1172" spans="2:8" x14ac:dyDescent="0.25">
      <c r="B1172" s="8" t="s">
        <v>9</v>
      </c>
      <c r="C1172" s="24" t="s">
        <v>1096</v>
      </c>
      <c r="D1172" s="9"/>
      <c r="E1172" s="10" t="s">
        <v>9</v>
      </c>
      <c r="F1172" s="25"/>
      <c r="G1172" s="26"/>
      <c r="H1172" s="1" t="b">
        <f>IF(D1172="x",H$2,H$1)</f>
        <v>0</v>
      </c>
    </row>
    <row r="1173" spans="2:8" x14ac:dyDescent="0.25">
      <c r="B1173" s="8" t="s">
        <v>10</v>
      </c>
      <c r="C1173" s="24" t="s">
        <v>1097</v>
      </c>
      <c r="D1173" s="9"/>
      <c r="E1173" s="10" t="s">
        <v>10</v>
      </c>
      <c r="F1173" s="27" t="str">
        <f>IF(H1174=1,IF(H1172=H$2,H1172,""),"")</f>
        <v/>
      </c>
      <c r="G1173" s="26"/>
      <c r="H1173" s="1" t="str">
        <f>IF(E1237="comprobar",COUNTIF(D1172:D1176,"x"),"")</f>
        <v/>
      </c>
    </row>
    <row r="1174" spans="2:8" x14ac:dyDescent="0.25">
      <c r="B1174" s="8" t="s">
        <v>11</v>
      </c>
      <c r="C1174" s="24" t="s">
        <v>1098</v>
      </c>
      <c r="D1174" s="9"/>
      <c r="E1174" s="10" t="s">
        <v>11</v>
      </c>
      <c r="F1174" s="28" t="str">
        <f>IF(H1174=-0.33,IF(H1172=H$1,H1172,""),"")</f>
        <v/>
      </c>
      <c r="G1174" s="26"/>
      <c r="H1174" s="29">
        <f t="shared" ref="H1174" si="24">IF(H1173=1,IF(H1172=H$2,1,-0.33),0)</f>
        <v>0</v>
      </c>
    </row>
    <row r="1175" spans="2:8" x14ac:dyDescent="0.25">
      <c r="B1175" s="8" t="s">
        <v>12</v>
      </c>
      <c r="C1175" s="24" t="s">
        <v>1099</v>
      </c>
      <c r="D1175" s="9"/>
      <c r="E1175" s="10" t="s">
        <v>12</v>
      </c>
      <c r="F1175" s="25"/>
      <c r="G1175" s="26"/>
      <c r="H1175" s="26"/>
    </row>
    <row r="1176" spans="2:8" x14ac:dyDescent="0.25">
      <c r="B1176" s="11"/>
      <c r="C1176" s="12"/>
      <c r="D1176" s="9"/>
      <c r="E1176" s="10" t="s">
        <v>13</v>
      </c>
      <c r="F1176" s="30"/>
      <c r="G1176" s="26"/>
      <c r="H1176" s="26"/>
    </row>
    <row r="1177" spans="2:8" ht="31.5" x14ac:dyDescent="0.25">
      <c r="B1177" s="5">
        <v>6</v>
      </c>
      <c r="C1177" s="21" t="s">
        <v>1100</v>
      </c>
      <c r="D1177" s="6"/>
      <c r="E1177" s="7"/>
      <c r="F1177" s="22"/>
      <c r="G1177" s="23"/>
      <c r="H1177" s="23"/>
    </row>
    <row r="1178" spans="2:8" x14ac:dyDescent="0.25">
      <c r="B1178" s="8" t="s">
        <v>9</v>
      </c>
      <c r="C1178" s="24" t="s">
        <v>1102</v>
      </c>
      <c r="D1178" s="9"/>
      <c r="E1178" s="10" t="s">
        <v>9</v>
      </c>
      <c r="F1178" s="25"/>
      <c r="G1178" s="26"/>
      <c r="H1178" s="1" t="b">
        <f>IF(D1180="x",H$2,H$1)</f>
        <v>0</v>
      </c>
    </row>
    <row r="1179" spans="2:8" x14ac:dyDescent="0.25">
      <c r="B1179" s="8" t="s">
        <v>10</v>
      </c>
      <c r="C1179" s="24" t="s">
        <v>1092</v>
      </c>
      <c r="D1179" s="9"/>
      <c r="E1179" s="10" t="s">
        <v>10</v>
      </c>
      <c r="F1179" s="27" t="str">
        <f>IF(H1180=1,IF(H1178=H$2,H1178,""),"")</f>
        <v/>
      </c>
      <c r="G1179" s="26"/>
      <c r="H1179" s="1" t="str">
        <f>IF(E1237="comprobar",COUNTIF(D1178:D1182,"x"),"")</f>
        <v/>
      </c>
    </row>
    <row r="1180" spans="2:8" x14ac:dyDescent="0.25">
      <c r="B1180" s="8" t="s">
        <v>11</v>
      </c>
      <c r="C1180" s="24" t="s">
        <v>1103</v>
      </c>
      <c r="D1180" s="9"/>
      <c r="E1180" s="10" t="s">
        <v>11</v>
      </c>
      <c r="F1180" s="28" t="str">
        <f>IF(H1180=-0.33,IF(H1178=H$1,H1178,""),"")</f>
        <v/>
      </c>
      <c r="G1180" s="26"/>
      <c r="H1180" s="29">
        <f>IF(H1179=1,IF(H1178=H$2,1,-0.33),0)</f>
        <v>0</v>
      </c>
    </row>
    <row r="1181" spans="2:8" x14ac:dyDescent="0.25">
      <c r="B1181" s="8" t="s">
        <v>12</v>
      </c>
      <c r="C1181" s="24" t="s">
        <v>1104</v>
      </c>
      <c r="D1181" s="9"/>
      <c r="E1181" s="10" t="s">
        <v>12</v>
      </c>
      <c r="F1181" s="25"/>
      <c r="G1181" s="26"/>
      <c r="H1181" s="26"/>
    </row>
    <row r="1182" spans="2:8" x14ac:dyDescent="0.25">
      <c r="B1182" s="11"/>
      <c r="C1182" s="12"/>
      <c r="D1182" s="9"/>
      <c r="E1182" s="10" t="s">
        <v>13</v>
      </c>
      <c r="F1182" s="30"/>
      <c r="G1182" s="26"/>
      <c r="H1182" s="26"/>
    </row>
    <row r="1183" spans="2:8" x14ac:dyDescent="0.25">
      <c r="B1183" s="5">
        <v>7</v>
      </c>
      <c r="C1183" s="21" t="s">
        <v>1101</v>
      </c>
      <c r="D1183" s="6"/>
      <c r="E1183" s="7"/>
      <c r="F1183" s="22"/>
      <c r="G1183" s="23"/>
      <c r="H1183" s="23"/>
    </row>
    <row r="1184" spans="2:8" x14ac:dyDescent="0.25">
      <c r="B1184" s="8" t="s">
        <v>9</v>
      </c>
      <c r="C1184" s="24" t="s">
        <v>1105</v>
      </c>
      <c r="D1184" s="9"/>
      <c r="E1184" s="10" t="s">
        <v>9</v>
      </c>
      <c r="F1184" s="25"/>
      <c r="G1184" s="26"/>
      <c r="H1184" s="1" t="b">
        <f>IF(D1186="x",H$2,H$1)</f>
        <v>0</v>
      </c>
    </row>
    <row r="1185" spans="2:8" x14ac:dyDescent="0.25">
      <c r="B1185" s="8" t="s">
        <v>10</v>
      </c>
      <c r="C1185" s="24" t="s">
        <v>1106</v>
      </c>
      <c r="D1185" s="9"/>
      <c r="E1185" s="10" t="s">
        <v>10</v>
      </c>
      <c r="F1185" s="27" t="str">
        <f>IF(H1186=1,IF(H1184=H$2,H1184,""),"")</f>
        <v/>
      </c>
      <c r="G1185" s="26"/>
      <c r="H1185" s="1" t="str">
        <f>IF(E1237="comprobar",COUNTIF(D1184:D1188,"x"),"")</f>
        <v/>
      </c>
    </row>
    <row r="1186" spans="2:8" x14ac:dyDescent="0.25">
      <c r="B1186" s="8" t="s">
        <v>11</v>
      </c>
      <c r="C1186" s="24" t="s">
        <v>1089</v>
      </c>
      <c r="D1186" s="9"/>
      <c r="E1186" s="10" t="s">
        <v>11</v>
      </c>
      <c r="F1186" s="28" t="str">
        <f>IF(H1186=-0.33,IF(H1184=H$1,H1184,""),"")</f>
        <v/>
      </c>
      <c r="G1186" s="26"/>
      <c r="H1186" s="29">
        <f>IF(H1185=1,IF(H1184=H$2,1,-0.33),0)</f>
        <v>0</v>
      </c>
    </row>
    <row r="1187" spans="2:8" x14ac:dyDescent="0.25">
      <c r="B1187" s="8" t="s">
        <v>12</v>
      </c>
      <c r="C1187" s="24" t="s">
        <v>1107</v>
      </c>
      <c r="D1187" s="9"/>
      <c r="E1187" s="10" t="s">
        <v>12</v>
      </c>
      <c r="F1187" s="25"/>
      <c r="G1187" s="26"/>
      <c r="H1187" s="29"/>
    </row>
    <row r="1188" spans="2:8" x14ac:dyDescent="0.25">
      <c r="B1188" s="11"/>
      <c r="C1188" s="12"/>
      <c r="D1188" s="9"/>
      <c r="E1188" s="10" t="s">
        <v>13</v>
      </c>
      <c r="F1188" s="30"/>
      <c r="G1188" s="26"/>
      <c r="H1188" s="29"/>
    </row>
    <row r="1189" spans="2:8" x14ac:dyDescent="0.25">
      <c r="B1189" s="5">
        <v>8</v>
      </c>
      <c r="C1189" s="21" t="s">
        <v>1108</v>
      </c>
      <c r="D1189" s="6"/>
      <c r="E1189" s="7"/>
      <c r="F1189" s="22"/>
      <c r="G1189" s="23"/>
      <c r="H1189" s="23"/>
    </row>
    <row r="1190" spans="2:8" x14ac:dyDescent="0.25">
      <c r="B1190" s="8" t="s">
        <v>9</v>
      </c>
      <c r="C1190" s="24" t="s">
        <v>1070</v>
      </c>
      <c r="D1190" s="9"/>
      <c r="E1190" s="10" t="s">
        <v>9</v>
      </c>
      <c r="F1190" s="25"/>
      <c r="G1190" s="26"/>
      <c r="H1190" s="1" t="b">
        <f>IF(D1191="x",H$2,H$1)</f>
        <v>0</v>
      </c>
    </row>
    <row r="1191" spans="2:8" x14ac:dyDescent="0.25">
      <c r="B1191" s="8" t="s">
        <v>10</v>
      </c>
      <c r="C1191" s="24" t="s">
        <v>1110</v>
      </c>
      <c r="D1191" s="9"/>
      <c r="E1191" s="10" t="s">
        <v>10</v>
      </c>
      <c r="F1191" s="27" t="str">
        <f>IF(H1192=1,IF(H1190=H$2,H1190,""),"")</f>
        <v/>
      </c>
      <c r="G1191" s="26"/>
      <c r="H1191" s="1" t="str">
        <f>IF(E1237="comprobar",COUNTIF(D1190:D1194,"x"),"")</f>
        <v/>
      </c>
    </row>
    <row r="1192" spans="2:8" x14ac:dyDescent="0.25">
      <c r="B1192" s="8" t="s">
        <v>11</v>
      </c>
      <c r="C1192" s="24" t="s">
        <v>1073</v>
      </c>
      <c r="D1192" s="9"/>
      <c r="E1192" s="10" t="s">
        <v>11</v>
      </c>
      <c r="F1192" s="28" t="str">
        <f>IF(H1192=-0.33,IF(H1190=H$1,H1190,""),"")</f>
        <v/>
      </c>
      <c r="G1192" s="26"/>
      <c r="H1192" s="29">
        <f>IF(H1191=1,IF(H1190=H$2,1,-0.33),0)</f>
        <v>0</v>
      </c>
    </row>
    <row r="1193" spans="2:8" x14ac:dyDescent="0.25">
      <c r="B1193" s="8" t="s">
        <v>12</v>
      </c>
      <c r="C1193" s="24" t="s">
        <v>1074</v>
      </c>
      <c r="D1193" s="9"/>
      <c r="E1193" s="10" t="s">
        <v>12</v>
      </c>
      <c r="F1193" s="25"/>
      <c r="G1193" s="26"/>
      <c r="H1193" s="29"/>
    </row>
    <row r="1194" spans="2:8" x14ac:dyDescent="0.25">
      <c r="B1194" s="11"/>
      <c r="C1194" s="12"/>
      <c r="D1194" s="9"/>
      <c r="E1194" s="10" t="s">
        <v>13</v>
      </c>
      <c r="F1194" s="30"/>
      <c r="G1194" s="26"/>
      <c r="H1194" s="29"/>
    </row>
    <row r="1195" spans="2:8" ht="31.5" x14ac:dyDescent="0.25">
      <c r="B1195" s="5">
        <v>9</v>
      </c>
      <c r="C1195" s="21" t="s">
        <v>1109</v>
      </c>
      <c r="D1195" s="6"/>
      <c r="E1195" s="7"/>
      <c r="F1195" s="22"/>
      <c r="G1195" s="23"/>
      <c r="H1195" s="23"/>
    </row>
    <row r="1196" spans="2:8" x14ac:dyDescent="0.25">
      <c r="B1196" s="8" t="s">
        <v>9</v>
      </c>
      <c r="C1196" s="24" t="s">
        <v>1111</v>
      </c>
      <c r="D1196" s="9"/>
      <c r="E1196" s="10" t="s">
        <v>9</v>
      </c>
      <c r="F1196" s="25"/>
      <c r="G1196" s="26"/>
      <c r="H1196" s="1" t="b">
        <f>IF(D1198="x",H$2,H$1)</f>
        <v>0</v>
      </c>
    </row>
    <row r="1197" spans="2:8" x14ac:dyDescent="0.25">
      <c r="B1197" s="8" t="s">
        <v>10</v>
      </c>
      <c r="C1197" s="24" t="s">
        <v>1047</v>
      </c>
      <c r="D1197" s="9"/>
      <c r="E1197" s="10" t="s">
        <v>10</v>
      </c>
      <c r="F1197" s="27" t="str">
        <f>IF(H1198=1,IF(H1196=H$2,H1196,""),"")</f>
        <v/>
      </c>
      <c r="G1197" s="26"/>
      <c r="H1197" s="1" t="str">
        <f>IF(E1237="comprobar",COUNTIF(D1196:D1200,"x"),"")</f>
        <v/>
      </c>
    </row>
    <row r="1198" spans="2:8" x14ac:dyDescent="0.25">
      <c r="B1198" s="8" t="s">
        <v>11</v>
      </c>
      <c r="C1198" s="24" t="s">
        <v>1112</v>
      </c>
      <c r="D1198" s="9"/>
      <c r="E1198" s="10" t="s">
        <v>11</v>
      </c>
      <c r="F1198" s="28" t="str">
        <f>IF(H1198=-0.33,IF(H1196=H$1,H1196,""),"")</f>
        <v/>
      </c>
      <c r="G1198" s="26"/>
      <c r="H1198" s="29">
        <f>IF(H1197=1,IF(H1196=H$2,1,-0.33),0)</f>
        <v>0</v>
      </c>
    </row>
    <row r="1199" spans="2:8" x14ac:dyDescent="0.25">
      <c r="B1199" s="8" t="s">
        <v>12</v>
      </c>
      <c r="C1199" s="24" t="s">
        <v>1049</v>
      </c>
      <c r="D1199" s="9"/>
      <c r="E1199" s="10" t="s">
        <v>12</v>
      </c>
      <c r="F1199" s="25"/>
      <c r="G1199" s="26"/>
      <c r="H1199" s="1"/>
    </row>
    <row r="1200" spans="2:8" x14ac:dyDescent="0.25">
      <c r="B1200" s="11"/>
      <c r="C1200" s="12"/>
      <c r="D1200" s="9"/>
      <c r="E1200" s="10" t="s">
        <v>13</v>
      </c>
      <c r="F1200" s="30"/>
      <c r="G1200" s="26"/>
      <c r="H1200" s="15"/>
    </row>
    <row r="1201" spans="2:8" x14ac:dyDescent="0.25">
      <c r="B1201" s="5">
        <v>10</v>
      </c>
      <c r="C1201" s="21" t="s">
        <v>1114</v>
      </c>
      <c r="D1201" s="6"/>
      <c r="E1201" s="7"/>
      <c r="F1201" s="22"/>
      <c r="G1201" s="31"/>
      <c r="H1201" s="31"/>
    </row>
    <row r="1202" spans="2:8" x14ac:dyDescent="0.25">
      <c r="B1202" s="8" t="s">
        <v>9</v>
      </c>
      <c r="C1202" s="24" t="s">
        <v>1047</v>
      </c>
      <c r="D1202" s="9"/>
      <c r="E1202" s="10" t="s">
        <v>9</v>
      </c>
      <c r="F1202" s="25"/>
      <c r="G1202" s="32"/>
      <c r="H1202" s="1" t="b">
        <f>IF(D1203="x",H$2,H$1)</f>
        <v>0</v>
      </c>
    </row>
    <row r="1203" spans="2:8" x14ac:dyDescent="0.25">
      <c r="B1203" s="8" t="s">
        <v>10</v>
      </c>
      <c r="C1203" s="24" t="s">
        <v>1049</v>
      </c>
      <c r="D1203" s="9"/>
      <c r="E1203" s="10" t="s">
        <v>10</v>
      </c>
      <c r="F1203" s="27" t="str">
        <f>IF(H1204=1,IF(H1202=H$2,H1202,""),"")</f>
        <v/>
      </c>
      <c r="G1203" s="32"/>
      <c r="H1203" s="1" t="str">
        <f>IF(E1237="comprobar",COUNTIF(D1202:D1206,"x"),"")</f>
        <v/>
      </c>
    </row>
    <row r="1204" spans="2:8" x14ac:dyDescent="0.25">
      <c r="B1204" s="8" t="s">
        <v>11</v>
      </c>
      <c r="C1204" s="24" t="s">
        <v>1111</v>
      </c>
      <c r="D1204" s="9"/>
      <c r="E1204" s="10" t="s">
        <v>11</v>
      </c>
      <c r="F1204" s="28" t="str">
        <f>IF(H1204=-0.33,IF(H1202=H$1,H1202,""),"")</f>
        <v/>
      </c>
      <c r="G1204" s="32"/>
      <c r="H1204" s="29">
        <f>IF(H1203=1,IF(H1202=H$2,1,-0.33),0)</f>
        <v>0</v>
      </c>
    </row>
    <row r="1205" spans="2:8" x14ac:dyDescent="0.25">
      <c r="B1205" s="8" t="s">
        <v>12</v>
      </c>
      <c r="C1205" s="24" t="s">
        <v>1048</v>
      </c>
      <c r="D1205" s="9"/>
      <c r="E1205" s="10" t="s">
        <v>12</v>
      </c>
      <c r="F1205" s="25"/>
      <c r="G1205" s="32"/>
      <c r="H1205" s="29"/>
    </row>
    <row r="1206" spans="2:8" x14ac:dyDescent="0.25">
      <c r="B1206" s="11"/>
      <c r="C1206" s="12"/>
      <c r="D1206" s="9"/>
      <c r="E1206" s="10" t="s">
        <v>13</v>
      </c>
      <c r="F1206" s="30"/>
      <c r="G1206" s="32"/>
      <c r="H1206" s="29"/>
    </row>
    <row r="1207" spans="2:8" ht="31.5" x14ac:dyDescent="0.25">
      <c r="B1207" s="5">
        <v>11</v>
      </c>
      <c r="C1207" s="21" t="s">
        <v>1113</v>
      </c>
      <c r="D1207" s="6"/>
      <c r="E1207" s="7"/>
      <c r="F1207" s="22"/>
      <c r="G1207" s="31"/>
      <c r="H1207" s="31"/>
    </row>
    <row r="1208" spans="2:8" x14ac:dyDescent="0.25">
      <c r="B1208" s="8" t="s">
        <v>9</v>
      </c>
      <c r="C1208" s="24" t="s">
        <v>1044</v>
      </c>
      <c r="D1208" s="9"/>
      <c r="E1208" s="10" t="s">
        <v>9</v>
      </c>
      <c r="F1208" s="25"/>
      <c r="G1208" s="32"/>
      <c r="H1208" s="1" t="b">
        <f>IF(D1209="x",H$2,H$1)</f>
        <v>0</v>
      </c>
    </row>
    <row r="1209" spans="2:8" x14ac:dyDescent="0.25">
      <c r="B1209" s="8" t="s">
        <v>10</v>
      </c>
      <c r="C1209" s="24" t="s">
        <v>1045</v>
      </c>
      <c r="D1209" s="9"/>
      <c r="E1209" s="10" t="s">
        <v>10</v>
      </c>
      <c r="F1209" s="27" t="str">
        <f>IF(H1210=1,IF(H1208=H$2,H1208,""),"")</f>
        <v/>
      </c>
      <c r="G1209" s="32"/>
      <c r="H1209" s="1" t="str">
        <f>IF(E1237="comprobar",COUNTIF(D1208:D1212,"x"),"")</f>
        <v/>
      </c>
    </row>
    <row r="1210" spans="2:8" x14ac:dyDescent="0.25">
      <c r="B1210" s="8" t="s">
        <v>11</v>
      </c>
      <c r="C1210" s="24" t="s">
        <v>1046</v>
      </c>
      <c r="D1210" s="9"/>
      <c r="E1210" s="10" t="s">
        <v>11</v>
      </c>
      <c r="F1210" s="28" t="str">
        <f>IF(H1210=-0.33,IF(H1208=H$1,H1208,""),"")</f>
        <v/>
      </c>
      <c r="G1210" s="32"/>
      <c r="H1210" s="29">
        <f>IF(H1209=1,IF(H1208=H$2,1,-0.33),0)</f>
        <v>0</v>
      </c>
    </row>
    <row r="1211" spans="2:8" x14ac:dyDescent="0.25">
      <c r="B1211" s="8" t="s">
        <v>12</v>
      </c>
      <c r="C1211" s="24" t="s">
        <v>1029</v>
      </c>
      <c r="D1211" s="9"/>
      <c r="E1211" s="10" t="s">
        <v>12</v>
      </c>
      <c r="F1211" s="25"/>
      <c r="G1211" s="32"/>
      <c r="H1211" s="29"/>
    </row>
    <row r="1212" spans="2:8" x14ac:dyDescent="0.25">
      <c r="B1212" s="11"/>
      <c r="C1212" s="12"/>
      <c r="D1212" s="9"/>
      <c r="E1212" s="10"/>
      <c r="F1212" s="25"/>
      <c r="G1212" s="32"/>
      <c r="H1212" s="29"/>
    </row>
    <row r="1213" spans="2:8" x14ac:dyDescent="0.25">
      <c r="B1213" s="5">
        <v>12</v>
      </c>
      <c r="C1213" s="21" t="s">
        <v>1116</v>
      </c>
      <c r="D1213" s="6"/>
      <c r="E1213" s="7"/>
      <c r="F1213" s="22"/>
      <c r="G1213" s="23"/>
      <c r="H1213" s="23"/>
    </row>
    <row r="1214" spans="2:8" x14ac:dyDescent="0.25">
      <c r="B1214" s="8" t="s">
        <v>9</v>
      </c>
      <c r="C1214" s="24" t="s">
        <v>1117</v>
      </c>
      <c r="D1214" s="9"/>
      <c r="E1214" s="10" t="s">
        <v>9</v>
      </c>
      <c r="F1214" s="25"/>
      <c r="G1214" s="26"/>
      <c r="H1214" s="1" t="b">
        <f>IF(D1216="x",H$2,H$1)</f>
        <v>0</v>
      </c>
    </row>
    <row r="1215" spans="2:8" x14ac:dyDescent="0.25">
      <c r="B1215" s="8" t="s">
        <v>10</v>
      </c>
      <c r="C1215" s="24" t="s">
        <v>1118</v>
      </c>
      <c r="D1215" s="9"/>
      <c r="E1215" s="10" t="s">
        <v>10</v>
      </c>
      <c r="F1215" s="27" t="str">
        <f>IF(H1216=1,IF(H1214=H$2,H1214,""),"")</f>
        <v/>
      </c>
      <c r="G1215" s="26"/>
      <c r="H1215" s="1" t="str">
        <f>IF(E1237="comprobar",COUNTIF(D1214:D1218,"x"),"")</f>
        <v/>
      </c>
    </row>
    <row r="1216" spans="2:8" ht="31.5" x14ac:dyDescent="0.25">
      <c r="B1216" s="8" t="s">
        <v>11</v>
      </c>
      <c r="C1216" s="24" t="s">
        <v>1119</v>
      </c>
      <c r="D1216" s="9"/>
      <c r="E1216" s="10" t="s">
        <v>11</v>
      </c>
      <c r="F1216" s="28" t="str">
        <f>IF(H1216=-0.33,IF(H1214=H$1,H1214,""),"")</f>
        <v/>
      </c>
      <c r="G1216" s="26"/>
      <c r="H1216" s="29">
        <f>IF(H1215=1,IF(H1214=H$2,1,-0.33),0)</f>
        <v>0</v>
      </c>
    </row>
    <row r="1217" spans="2:8" x14ac:dyDescent="0.25">
      <c r="B1217" s="8" t="s">
        <v>12</v>
      </c>
      <c r="C1217" s="24" t="s">
        <v>1120</v>
      </c>
      <c r="D1217" s="9"/>
      <c r="E1217" s="10" t="s">
        <v>12</v>
      </c>
      <c r="F1217" s="25"/>
      <c r="G1217" s="26"/>
      <c r="H1217" s="29"/>
    </row>
    <row r="1218" spans="2:8" x14ac:dyDescent="0.25">
      <c r="B1218" s="11"/>
      <c r="C1218" s="12"/>
      <c r="D1218" s="9"/>
      <c r="E1218" s="10" t="s">
        <v>13</v>
      </c>
      <c r="F1218" s="30"/>
      <c r="G1218" s="26"/>
      <c r="H1218" s="29"/>
    </row>
    <row r="1219" spans="2:8" x14ac:dyDescent="0.25">
      <c r="B1219" s="5">
        <v>13</v>
      </c>
      <c r="C1219" s="21" t="s">
        <v>1115</v>
      </c>
      <c r="D1219" s="6"/>
      <c r="E1219" s="7"/>
      <c r="F1219" s="22"/>
      <c r="G1219" s="23"/>
      <c r="H1219" s="23"/>
    </row>
    <row r="1220" spans="2:8" x14ac:dyDescent="0.25">
      <c r="B1220" s="8" t="s">
        <v>9</v>
      </c>
      <c r="C1220" s="24" t="s">
        <v>1121</v>
      </c>
      <c r="D1220" s="9"/>
      <c r="E1220" s="10" t="s">
        <v>9</v>
      </c>
      <c r="F1220" s="25"/>
      <c r="G1220" s="26"/>
      <c r="H1220" s="1" t="b">
        <f>IF(D1222="x",H$2,H$1)</f>
        <v>0</v>
      </c>
    </row>
    <row r="1221" spans="2:8" x14ac:dyDescent="0.25">
      <c r="B1221" s="8" t="s">
        <v>10</v>
      </c>
      <c r="C1221" s="24" t="s">
        <v>1122</v>
      </c>
      <c r="D1221" s="9"/>
      <c r="E1221" s="10" t="s">
        <v>10</v>
      </c>
      <c r="F1221" s="27" t="str">
        <f>IF(H1222=1,IF(H1220=H$2,H1220,""),"")</f>
        <v/>
      </c>
      <c r="G1221" s="26"/>
      <c r="H1221" s="1" t="str">
        <f>IF(E1237="comprobar",COUNTIF(D1220:D1224,"x"),"")</f>
        <v/>
      </c>
    </row>
    <row r="1222" spans="2:8" x14ac:dyDescent="0.25">
      <c r="B1222" s="8" t="s">
        <v>11</v>
      </c>
      <c r="C1222" s="24" t="s">
        <v>1123</v>
      </c>
      <c r="D1222" s="9"/>
      <c r="E1222" s="10" t="s">
        <v>11</v>
      </c>
      <c r="F1222" s="28" t="str">
        <f>IF(H1222=-0.33,IF(H1220=H$1,H1220,""),"")</f>
        <v/>
      </c>
      <c r="G1222" s="26"/>
      <c r="H1222" s="29">
        <f t="shared" ref="H1222" si="25">IF(H1221=1,IF(H1220=H$2,1,-0.33),0)</f>
        <v>0</v>
      </c>
    </row>
    <row r="1223" spans="2:8" x14ac:dyDescent="0.25">
      <c r="B1223" s="8" t="s">
        <v>12</v>
      </c>
      <c r="C1223" s="24" t="s">
        <v>368</v>
      </c>
      <c r="D1223" s="9"/>
      <c r="E1223" s="10" t="s">
        <v>12</v>
      </c>
      <c r="F1223" s="25"/>
      <c r="G1223" s="26"/>
      <c r="H1223" s="26"/>
    </row>
    <row r="1224" spans="2:8" x14ac:dyDescent="0.25">
      <c r="B1224" s="11"/>
      <c r="C1224" s="12"/>
      <c r="D1224" s="9"/>
      <c r="E1224" s="10" t="s">
        <v>13</v>
      </c>
      <c r="F1224" s="30"/>
      <c r="G1224" s="26"/>
      <c r="H1224" s="26"/>
    </row>
    <row r="1225" spans="2:8" x14ac:dyDescent="0.25">
      <c r="B1225" s="5">
        <v>14</v>
      </c>
      <c r="C1225" s="21" t="s">
        <v>1132</v>
      </c>
      <c r="D1225" s="6"/>
      <c r="E1225" s="7"/>
      <c r="F1225" s="22"/>
      <c r="G1225" s="23"/>
      <c r="H1225" s="23"/>
    </row>
    <row r="1226" spans="2:8" x14ac:dyDescent="0.25">
      <c r="B1226" s="8" t="s">
        <v>9</v>
      </c>
      <c r="C1226" s="24" t="s">
        <v>1131</v>
      </c>
      <c r="D1226" s="9"/>
      <c r="E1226" s="10" t="s">
        <v>9</v>
      </c>
      <c r="F1226" s="25"/>
      <c r="G1226" s="26"/>
      <c r="H1226" s="1" t="b">
        <f>IF(D1228="x",H$2,H$1)</f>
        <v>0</v>
      </c>
    </row>
    <row r="1227" spans="2:8" x14ac:dyDescent="0.25">
      <c r="B1227" s="8" t="s">
        <v>10</v>
      </c>
      <c r="C1227" s="24" t="s">
        <v>1129</v>
      </c>
      <c r="D1227" s="9"/>
      <c r="E1227" s="10" t="s">
        <v>10</v>
      </c>
      <c r="F1227" s="27" t="str">
        <f>IF(H1228=1,IF(H1226=H$2,H1226,""),"")</f>
        <v/>
      </c>
      <c r="G1227" s="26"/>
      <c r="H1227" s="1" t="str">
        <f>IF(E1237="comprobar",COUNTIF(D1226:D1230,"x"),"")</f>
        <v/>
      </c>
    </row>
    <row r="1228" spans="2:8" x14ac:dyDescent="0.25">
      <c r="B1228" s="8" t="s">
        <v>11</v>
      </c>
      <c r="C1228" s="24" t="s">
        <v>1130</v>
      </c>
      <c r="D1228" s="9"/>
      <c r="E1228" s="10" t="s">
        <v>11</v>
      </c>
      <c r="F1228" s="28" t="str">
        <f>IF(H1228=-0.33,IF(H1226=H$1,H1226,""),"")</f>
        <v/>
      </c>
      <c r="G1228" s="26"/>
      <c r="H1228" s="29">
        <f>IF(H1227=1,IF(H1226=H$2,1,-0.33),0)</f>
        <v>0</v>
      </c>
    </row>
    <row r="1229" spans="2:8" x14ac:dyDescent="0.25">
      <c r="B1229" s="8" t="s">
        <v>12</v>
      </c>
      <c r="C1229" s="24" t="s">
        <v>38</v>
      </c>
      <c r="D1229" s="9"/>
      <c r="E1229" s="10" t="s">
        <v>12</v>
      </c>
      <c r="F1229" s="25"/>
      <c r="G1229" s="26"/>
      <c r="H1229" s="26"/>
    </row>
    <row r="1230" spans="2:8" x14ac:dyDescent="0.25">
      <c r="B1230" s="11"/>
      <c r="C1230" s="12"/>
      <c r="D1230" s="9"/>
      <c r="E1230" s="10" t="s">
        <v>13</v>
      </c>
      <c r="F1230" s="30"/>
      <c r="G1230" s="26"/>
      <c r="H1230" s="26"/>
    </row>
    <row r="1231" spans="2:8" x14ac:dyDescent="0.25">
      <c r="B1231" s="5">
        <v>15</v>
      </c>
      <c r="C1231" s="21" t="s">
        <v>1128</v>
      </c>
      <c r="D1231" s="6"/>
      <c r="E1231" s="7"/>
      <c r="F1231" s="22"/>
      <c r="G1231" s="23"/>
      <c r="H1231" s="23"/>
    </row>
    <row r="1232" spans="2:8" x14ac:dyDescent="0.25">
      <c r="B1232" s="8" t="s">
        <v>9</v>
      </c>
      <c r="C1232" s="24" t="s">
        <v>1124</v>
      </c>
      <c r="D1232" s="9"/>
      <c r="E1232" s="10" t="s">
        <v>9</v>
      </c>
      <c r="F1232" s="25"/>
      <c r="G1232" s="26"/>
      <c r="H1232" s="1" t="b">
        <f>IF(D1232="x",H$2,H$1)</f>
        <v>0</v>
      </c>
    </row>
    <row r="1233" spans="2:8" x14ac:dyDescent="0.25">
      <c r="B1233" s="8" t="s">
        <v>10</v>
      </c>
      <c r="C1233" s="24" t="s">
        <v>1125</v>
      </c>
      <c r="D1233" s="9"/>
      <c r="E1233" s="10" t="s">
        <v>10</v>
      </c>
      <c r="F1233" s="27" t="str">
        <f>IF(H1234=1,IF(H1232=H$2,H1232,""),"")</f>
        <v/>
      </c>
      <c r="G1233" s="26"/>
      <c r="H1233" s="1" t="str">
        <f>IF(E1237="comprobar",COUNTIF(D1232:D1236,"x"),"")</f>
        <v/>
      </c>
    </row>
    <row r="1234" spans="2:8" x14ac:dyDescent="0.25">
      <c r="B1234" s="8" t="s">
        <v>11</v>
      </c>
      <c r="C1234" s="24" t="s">
        <v>1126</v>
      </c>
      <c r="D1234" s="9"/>
      <c r="E1234" s="10" t="s">
        <v>11</v>
      </c>
      <c r="F1234" s="28" t="str">
        <f>IF(H1234=-0.33,IF(H1232=H$1,H1232,""),"")</f>
        <v/>
      </c>
      <c r="G1234" s="26"/>
      <c r="H1234" s="29">
        <f>IF(H1233=1,IF(H1232=H$2,1,-0.33),0)</f>
        <v>0</v>
      </c>
    </row>
    <row r="1235" spans="2:8" x14ac:dyDescent="0.25">
      <c r="B1235" s="8" t="s">
        <v>12</v>
      </c>
      <c r="C1235" s="24" t="s">
        <v>1127</v>
      </c>
      <c r="D1235" s="9"/>
      <c r="E1235" s="10" t="s">
        <v>12</v>
      </c>
      <c r="F1235" s="25"/>
      <c r="G1235" s="26"/>
      <c r="H1235" s="29"/>
    </row>
    <row r="1236" spans="2:8" x14ac:dyDescent="0.25">
      <c r="B1236" s="11"/>
      <c r="C1236" s="12"/>
      <c r="D1236" s="9"/>
      <c r="E1236" s="10" t="s">
        <v>13</v>
      </c>
      <c r="F1236" s="30"/>
      <c r="G1236" s="26"/>
      <c r="H1236" s="29"/>
    </row>
    <row r="1237" spans="2:8" ht="46.5" x14ac:dyDescent="0.7">
      <c r="B1237" s="33"/>
      <c r="C1237" s="47"/>
      <c r="D1237" s="34"/>
      <c r="E1237" s="35"/>
      <c r="F1237" s="30"/>
      <c r="G1237" s="26"/>
      <c r="H1237" s="26"/>
    </row>
    <row r="1238" spans="2:8" x14ac:dyDescent="0.25">
      <c r="B1238" s="33"/>
      <c r="C1238" s="4"/>
      <c r="D1238" s="34"/>
      <c r="E1238" s="36"/>
      <c r="F1238" s="37" t="s">
        <v>8</v>
      </c>
      <c r="G1238" s="26" t="s">
        <v>6</v>
      </c>
      <c r="H1238" s="26" t="s">
        <v>7</v>
      </c>
    </row>
    <row r="1239" spans="2:8" ht="19.5" x14ac:dyDescent="0.25">
      <c r="B1239" s="33"/>
      <c r="C1239" s="38"/>
      <c r="D1239" s="51"/>
      <c r="E1239" s="51"/>
      <c r="F1239" s="39" t="str">
        <f>IF(E1237="comprobar",H1204+H1198+H1192+H1186+H1180+H1174+H1168+H1162+H1156+H1150+H1210+H1216+H1222+H1228+H1234,"")</f>
        <v/>
      </c>
      <c r="G1239" s="26">
        <f>10/2</f>
        <v>5</v>
      </c>
      <c r="H1239" s="26"/>
    </row>
    <row r="1240" spans="2:8" ht="16.5" thickBot="1" x14ac:dyDescent="0.3">
      <c r="B1240" s="40"/>
      <c r="C1240" s="41"/>
      <c r="D1240" s="42"/>
      <c r="E1240" s="43"/>
      <c r="F1240" s="44" t="str">
        <f>IF(F1239&gt;G1239,G1238,H1238)</f>
        <v>APROBADO</v>
      </c>
      <c r="G1240" s="26"/>
      <c r="H1240" s="26"/>
    </row>
    <row r="1241" spans="2:8" ht="28.5" x14ac:dyDescent="0.45">
      <c r="B1241" s="19" t="s">
        <v>81</v>
      </c>
      <c r="C1241" s="49" t="s">
        <v>715</v>
      </c>
      <c r="D1241" s="49"/>
      <c r="E1241" s="49"/>
      <c r="F1241" s="50"/>
      <c r="G1241" s="20"/>
      <c r="H1241" s="20"/>
    </row>
    <row r="1242" spans="2:8" x14ac:dyDescent="0.25">
      <c r="B1242" s="5">
        <v>1</v>
      </c>
      <c r="C1242" s="21" t="s">
        <v>778</v>
      </c>
      <c r="D1242" s="6"/>
      <c r="E1242" s="7"/>
      <c r="F1242" s="22"/>
      <c r="G1242" s="23"/>
      <c r="H1242" s="23"/>
    </row>
    <row r="1243" spans="2:8" x14ac:dyDescent="0.25">
      <c r="B1243" s="8" t="s">
        <v>9</v>
      </c>
      <c r="C1243" s="24" t="s">
        <v>779</v>
      </c>
      <c r="D1243" s="9"/>
      <c r="E1243" s="10" t="s">
        <v>9</v>
      </c>
      <c r="F1243" s="25"/>
      <c r="G1243" s="26"/>
      <c r="H1243" s="1" t="b">
        <f>IF(D1245="x",H$2,H$1)</f>
        <v>0</v>
      </c>
    </row>
    <row r="1244" spans="2:8" x14ac:dyDescent="0.25">
      <c r="B1244" s="8" t="s">
        <v>10</v>
      </c>
      <c r="C1244" s="24" t="s">
        <v>780</v>
      </c>
      <c r="D1244" s="9"/>
      <c r="E1244" s="10" t="s">
        <v>10</v>
      </c>
      <c r="F1244" s="27" t="str">
        <f>IF(H1245=1,IF(H1243=H$2,H1243,""),"")</f>
        <v/>
      </c>
      <c r="G1244" s="26"/>
      <c r="H1244" s="1" t="str">
        <f>IF(E1423="comprobar",COUNTIF(D1243:D1247,"x"),"")</f>
        <v/>
      </c>
    </row>
    <row r="1245" spans="2:8" x14ac:dyDescent="0.25">
      <c r="B1245" s="8" t="s">
        <v>11</v>
      </c>
      <c r="C1245" s="24" t="s">
        <v>21</v>
      </c>
      <c r="D1245" s="9"/>
      <c r="E1245" s="10" t="s">
        <v>11</v>
      </c>
      <c r="F1245" s="28" t="str">
        <f>IF(H1245=-0.33,IF(H1243=H$1,H1243,""),"")</f>
        <v/>
      </c>
      <c r="G1245" s="26"/>
      <c r="H1245" s="29">
        <f>IF(H1244=1,IF(H1243=H$2,1,-0.33),0)</f>
        <v>0</v>
      </c>
    </row>
    <row r="1246" spans="2:8" x14ac:dyDescent="0.25">
      <c r="B1246" s="8" t="s">
        <v>12</v>
      </c>
      <c r="C1246" s="24" t="s">
        <v>781</v>
      </c>
      <c r="D1246" s="9"/>
      <c r="E1246" s="10" t="s">
        <v>12</v>
      </c>
      <c r="F1246" s="25"/>
      <c r="G1246" s="26"/>
      <c r="H1246" s="29"/>
    </row>
    <row r="1247" spans="2:8" x14ac:dyDescent="0.25">
      <c r="B1247" s="11"/>
      <c r="C1247" s="12"/>
      <c r="D1247" s="9"/>
      <c r="E1247" s="10" t="s">
        <v>13</v>
      </c>
      <c r="F1247" s="30"/>
      <c r="G1247" s="26"/>
      <c r="H1247" s="29"/>
    </row>
    <row r="1248" spans="2:8" ht="31.5" x14ac:dyDescent="0.25">
      <c r="B1248" s="5">
        <v>2</v>
      </c>
      <c r="C1248" s="21" t="s">
        <v>782</v>
      </c>
      <c r="D1248" s="6"/>
      <c r="E1248" s="7"/>
      <c r="F1248" s="22"/>
      <c r="G1248" s="23"/>
      <c r="H1248" s="23"/>
    </row>
    <row r="1249" spans="2:8" x14ac:dyDescent="0.25">
      <c r="B1249" s="8" t="s">
        <v>9</v>
      </c>
      <c r="C1249" s="24" t="s">
        <v>783</v>
      </c>
      <c r="D1249" s="9"/>
      <c r="E1249" s="10" t="s">
        <v>9</v>
      </c>
      <c r="F1249" s="25"/>
      <c r="G1249" s="26"/>
      <c r="H1249" s="1" t="b">
        <f>IF(D1249="x",H$2,H$1)</f>
        <v>0</v>
      </c>
    </row>
    <row r="1250" spans="2:8" x14ac:dyDescent="0.25">
      <c r="B1250" s="8" t="s">
        <v>10</v>
      </c>
      <c r="C1250" s="24" t="s">
        <v>784</v>
      </c>
      <c r="D1250" s="9"/>
      <c r="E1250" s="10" t="s">
        <v>10</v>
      </c>
      <c r="F1250" s="27" t="str">
        <f>IF(H1251=1,IF(H1249=H$2,H1249,""),"")</f>
        <v/>
      </c>
      <c r="G1250" s="26"/>
      <c r="H1250" s="1" t="str">
        <f>IF(E1423="comprobar",COUNTIF(D1249:D1253,"x"),"")</f>
        <v/>
      </c>
    </row>
    <row r="1251" spans="2:8" x14ac:dyDescent="0.25">
      <c r="B1251" s="8" t="s">
        <v>11</v>
      </c>
      <c r="C1251" s="24" t="s">
        <v>785</v>
      </c>
      <c r="D1251" s="9"/>
      <c r="E1251" s="10" t="s">
        <v>11</v>
      </c>
      <c r="F1251" s="28" t="str">
        <f>IF(H1251=-0.33,IF(H1249=H$1,H1249,""),"")</f>
        <v/>
      </c>
      <c r="G1251" s="26"/>
      <c r="H1251" s="29">
        <f>IF(H1250=1,IF(H1249=H$2,1,-0.33),0)</f>
        <v>0</v>
      </c>
    </row>
    <row r="1252" spans="2:8" x14ac:dyDescent="0.25">
      <c r="B1252" s="8" t="s">
        <v>12</v>
      </c>
      <c r="C1252" s="24" t="s">
        <v>786</v>
      </c>
      <c r="D1252" s="9"/>
      <c r="E1252" s="10" t="s">
        <v>12</v>
      </c>
      <c r="F1252" s="25"/>
      <c r="G1252" s="26"/>
      <c r="H1252" s="26"/>
    </row>
    <row r="1253" spans="2:8" x14ac:dyDescent="0.25">
      <c r="B1253" s="11"/>
      <c r="C1253" s="12"/>
      <c r="D1253" s="9"/>
      <c r="E1253" s="10" t="s">
        <v>13</v>
      </c>
      <c r="F1253" s="30"/>
      <c r="G1253" s="26"/>
      <c r="H1253" s="26"/>
    </row>
    <row r="1254" spans="2:8" x14ac:dyDescent="0.25">
      <c r="B1254" s="5">
        <v>3</v>
      </c>
      <c r="C1254" s="21" t="s">
        <v>50</v>
      </c>
      <c r="D1254" s="6"/>
      <c r="E1254" s="7"/>
      <c r="F1254" s="22"/>
      <c r="G1254" s="23"/>
      <c r="H1254" s="23"/>
    </row>
    <row r="1255" spans="2:8" x14ac:dyDescent="0.25">
      <c r="B1255" s="8" t="s">
        <v>9</v>
      </c>
      <c r="C1255" s="24" t="s">
        <v>54</v>
      </c>
      <c r="D1255" s="9"/>
      <c r="E1255" s="10" t="s">
        <v>9</v>
      </c>
      <c r="F1255" s="25"/>
      <c r="G1255" s="26"/>
      <c r="H1255" s="1" t="b">
        <f>IF(D1255="x",H$2,H$1)</f>
        <v>0</v>
      </c>
    </row>
    <row r="1256" spans="2:8" x14ac:dyDescent="0.25">
      <c r="B1256" s="8" t="s">
        <v>10</v>
      </c>
      <c r="C1256" s="24" t="s">
        <v>53</v>
      </c>
      <c r="D1256" s="9"/>
      <c r="E1256" s="10" t="s">
        <v>10</v>
      </c>
      <c r="F1256" s="27" t="str">
        <f>IF(H1257=1,IF(H1255=H$2,H1255,""),"")</f>
        <v/>
      </c>
      <c r="G1256" s="26"/>
      <c r="H1256" s="1" t="str">
        <f>IF(E1423="comprobar",COUNTIF(D1255:D1259,"x"),"")</f>
        <v/>
      </c>
    </row>
    <row r="1257" spans="2:8" x14ac:dyDescent="0.25">
      <c r="B1257" s="8" t="s">
        <v>11</v>
      </c>
      <c r="C1257" s="24" t="s">
        <v>51</v>
      </c>
      <c r="D1257" s="9"/>
      <c r="E1257" s="10" t="s">
        <v>11</v>
      </c>
      <c r="F1257" s="28" t="str">
        <f>IF(H1257=-0.33,IF(H1255=H$1,H1255,""),"")</f>
        <v/>
      </c>
      <c r="G1257" s="26"/>
      <c r="H1257" s="29">
        <f>IF(H1256=1,IF(H1255=H$2,1,-0.33),0)</f>
        <v>0</v>
      </c>
    </row>
    <row r="1258" spans="2:8" x14ac:dyDescent="0.25">
      <c r="B1258" s="8" t="s">
        <v>12</v>
      </c>
      <c r="C1258" s="24" t="s">
        <v>93</v>
      </c>
      <c r="D1258" s="9"/>
      <c r="E1258" s="10" t="s">
        <v>12</v>
      </c>
      <c r="F1258" s="25"/>
      <c r="G1258" s="26"/>
      <c r="H1258" s="29"/>
    </row>
    <row r="1259" spans="2:8" x14ac:dyDescent="0.25">
      <c r="B1259" s="11"/>
      <c r="C1259" s="12"/>
      <c r="D1259" s="9"/>
      <c r="E1259" s="10" t="s">
        <v>13</v>
      </c>
      <c r="F1259" s="30"/>
      <c r="G1259" s="26"/>
      <c r="H1259" s="29"/>
    </row>
    <row r="1260" spans="2:8" x14ac:dyDescent="0.25">
      <c r="B1260" s="5">
        <v>4</v>
      </c>
      <c r="C1260" s="21" t="s">
        <v>45</v>
      </c>
      <c r="D1260" s="6"/>
      <c r="E1260" s="7"/>
      <c r="F1260" s="22"/>
      <c r="G1260" s="23"/>
      <c r="H1260" s="23"/>
    </row>
    <row r="1261" spans="2:8" x14ac:dyDescent="0.25">
      <c r="B1261" s="8" t="s">
        <v>9</v>
      </c>
      <c r="C1261" s="24" t="s">
        <v>46</v>
      </c>
      <c r="D1261" s="9"/>
      <c r="E1261" s="10" t="s">
        <v>9</v>
      </c>
      <c r="F1261" s="25"/>
      <c r="G1261" s="26"/>
      <c r="H1261" s="1" t="b">
        <f>IF(D1261="x",H$2,H$1)</f>
        <v>0</v>
      </c>
    </row>
    <row r="1262" spans="2:8" x14ac:dyDescent="0.25">
      <c r="B1262" s="8" t="s">
        <v>10</v>
      </c>
      <c r="C1262" s="24" t="s">
        <v>47</v>
      </c>
      <c r="D1262" s="9"/>
      <c r="E1262" s="10" t="s">
        <v>10</v>
      </c>
      <c r="F1262" s="27" t="str">
        <f>IF(H1263=1,IF(H1261=H$2,H1261,""),"")</f>
        <v/>
      </c>
      <c r="G1262" s="26"/>
      <c r="H1262" s="1" t="str">
        <f>IF(E1423="comprobar",COUNTIF(D1261:D1265,"x"),"")</f>
        <v/>
      </c>
    </row>
    <row r="1263" spans="2:8" x14ac:dyDescent="0.25">
      <c r="B1263" s="8" t="s">
        <v>11</v>
      </c>
      <c r="C1263" s="24" t="s">
        <v>49</v>
      </c>
      <c r="D1263" s="9"/>
      <c r="E1263" s="10" t="s">
        <v>11</v>
      </c>
      <c r="F1263" s="28" t="str">
        <f>IF(H1263=-0.33,IF(H1261=H$1,H1261,""),"")</f>
        <v/>
      </c>
      <c r="G1263" s="26"/>
      <c r="H1263" s="29">
        <f>IF(H1262=1,IF(H1261=H$2,1,-0.33),0)</f>
        <v>0</v>
      </c>
    </row>
    <row r="1264" spans="2:8" x14ac:dyDescent="0.25">
      <c r="B1264" s="8" t="s">
        <v>12</v>
      </c>
      <c r="C1264" s="24" t="s">
        <v>48</v>
      </c>
      <c r="D1264" s="9"/>
      <c r="E1264" s="10" t="s">
        <v>12</v>
      </c>
      <c r="F1264" s="25"/>
      <c r="G1264" s="26"/>
      <c r="H1264" s="29"/>
    </row>
    <row r="1265" spans="2:8" x14ac:dyDescent="0.25">
      <c r="B1265" s="11"/>
      <c r="C1265" s="12"/>
      <c r="D1265" s="9"/>
      <c r="E1265" s="10" t="s">
        <v>13</v>
      </c>
      <c r="F1265" s="30"/>
      <c r="G1265" s="26"/>
      <c r="H1265" s="29"/>
    </row>
    <row r="1266" spans="2:8" ht="31.5" x14ac:dyDescent="0.25">
      <c r="B1266" s="5">
        <v>5</v>
      </c>
      <c r="C1266" s="21" t="s">
        <v>787</v>
      </c>
      <c r="D1266" s="6"/>
      <c r="E1266" s="7"/>
      <c r="F1266" s="22"/>
      <c r="G1266" s="23"/>
      <c r="H1266" s="23"/>
    </row>
    <row r="1267" spans="2:8" x14ac:dyDescent="0.25">
      <c r="B1267" s="8" t="s">
        <v>9</v>
      </c>
      <c r="C1267" s="24" t="s">
        <v>58</v>
      </c>
      <c r="D1267" s="9"/>
      <c r="E1267" s="10" t="s">
        <v>9</v>
      </c>
      <c r="F1267" s="25"/>
      <c r="G1267" s="26"/>
      <c r="H1267" s="1" t="b">
        <f>IF(D1267="x",H$2,H$1)</f>
        <v>0</v>
      </c>
    </row>
    <row r="1268" spans="2:8" x14ac:dyDescent="0.25">
      <c r="B1268" s="8" t="s">
        <v>10</v>
      </c>
      <c r="C1268" s="24" t="s">
        <v>93</v>
      </c>
      <c r="D1268" s="9"/>
      <c r="E1268" s="10" t="s">
        <v>10</v>
      </c>
      <c r="F1268" s="27" t="str">
        <f>IF(H1269=1,IF(H1267=H$2,H1267,""),"")</f>
        <v/>
      </c>
      <c r="G1268" s="26"/>
      <c r="H1268" s="1" t="str">
        <f>IF(E1423="comprobar",COUNTIF(D1267:D1271,"x"),"")</f>
        <v/>
      </c>
    </row>
    <row r="1269" spans="2:8" x14ac:dyDescent="0.25">
      <c r="B1269" s="8" t="s">
        <v>11</v>
      </c>
      <c r="C1269" s="24" t="s">
        <v>788</v>
      </c>
      <c r="D1269" s="9"/>
      <c r="E1269" s="10" t="s">
        <v>11</v>
      </c>
      <c r="F1269" s="28" t="str">
        <f>IF(H1269=-0.33,IF(H1267=H$1,H1267,""),"")</f>
        <v/>
      </c>
      <c r="G1269" s="26"/>
      <c r="H1269" s="29">
        <f t="shared" ref="H1269" si="26">IF(H1268=1,IF(H1267=H$2,1,-0.33),0)</f>
        <v>0</v>
      </c>
    </row>
    <row r="1270" spans="2:8" x14ac:dyDescent="0.25">
      <c r="B1270" s="8" t="s">
        <v>12</v>
      </c>
      <c r="C1270" s="24" t="s">
        <v>789</v>
      </c>
      <c r="D1270" s="9"/>
      <c r="E1270" s="10" t="s">
        <v>12</v>
      </c>
      <c r="F1270" s="25"/>
      <c r="G1270" s="26"/>
      <c r="H1270" s="26"/>
    </row>
    <row r="1271" spans="2:8" x14ac:dyDescent="0.25">
      <c r="B1271" s="11"/>
      <c r="C1271" s="12"/>
      <c r="D1271" s="9"/>
      <c r="E1271" s="10" t="s">
        <v>13</v>
      </c>
      <c r="F1271" s="30"/>
      <c r="G1271" s="26"/>
      <c r="H1271" s="26"/>
    </row>
    <row r="1272" spans="2:8" x14ac:dyDescent="0.25">
      <c r="B1272" s="5">
        <v>6</v>
      </c>
      <c r="C1272" s="21" t="s">
        <v>790</v>
      </c>
      <c r="D1272" s="6"/>
      <c r="E1272" s="7"/>
      <c r="F1272" s="22"/>
      <c r="G1272" s="23"/>
      <c r="H1272" s="23"/>
    </row>
    <row r="1273" spans="2:8" x14ac:dyDescent="0.25">
      <c r="B1273" s="8" t="s">
        <v>9</v>
      </c>
      <c r="C1273" s="24" t="s">
        <v>31</v>
      </c>
      <c r="D1273" s="9"/>
      <c r="E1273" s="10" t="s">
        <v>9</v>
      </c>
      <c r="F1273" s="25"/>
      <c r="G1273" s="26"/>
      <c r="H1273" s="1" t="b">
        <f>IF(D1275="x",H$2,H$1)</f>
        <v>0</v>
      </c>
    </row>
    <row r="1274" spans="2:8" x14ac:dyDescent="0.25">
      <c r="B1274" s="8" t="s">
        <v>10</v>
      </c>
      <c r="C1274" s="24" t="s">
        <v>44</v>
      </c>
      <c r="D1274" s="9"/>
      <c r="E1274" s="10" t="s">
        <v>10</v>
      </c>
      <c r="F1274" s="27" t="str">
        <f>IF(H1275=1,IF(H1273=H$2,H1273,""),"")</f>
        <v/>
      </c>
      <c r="G1274" s="26"/>
      <c r="H1274" s="1" t="str">
        <f>IF(E1423="comprobar",COUNTIF(D1273:D1277,"x"),"")</f>
        <v/>
      </c>
    </row>
    <row r="1275" spans="2:8" x14ac:dyDescent="0.25">
      <c r="B1275" s="8" t="s">
        <v>11</v>
      </c>
      <c r="C1275" s="24" t="s">
        <v>791</v>
      </c>
      <c r="D1275" s="9"/>
      <c r="E1275" s="10" t="s">
        <v>11</v>
      </c>
      <c r="F1275" s="28" t="str">
        <f>IF(H1275=-0.33,IF(H1273=H$1,H1273,""),"")</f>
        <v/>
      </c>
      <c r="G1275" s="26"/>
      <c r="H1275" s="29">
        <f>IF(H1274=1,IF(H1273=H$2,1,-0.33),0)</f>
        <v>0</v>
      </c>
    </row>
    <row r="1276" spans="2:8" x14ac:dyDescent="0.25">
      <c r="B1276" s="8" t="s">
        <v>12</v>
      </c>
      <c r="C1276" s="24" t="s">
        <v>56</v>
      </c>
      <c r="D1276" s="9"/>
      <c r="E1276" s="10" t="s">
        <v>12</v>
      </c>
      <c r="F1276" s="25"/>
      <c r="G1276" s="26"/>
      <c r="H1276" s="26"/>
    </row>
    <row r="1277" spans="2:8" x14ac:dyDescent="0.25">
      <c r="B1277" s="11"/>
      <c r="C1277" s="12"/>
      <c r="D1277" s="9"/>
      <c r="E1277" s="10" t="s">
        <v>13</v>
      </c>
      <c r="F1277" s="30"/>
      <c r="G1277" s="26"/>
      <c r="H1277" s="26"/>
    </row>
    <row r="1278" spans="2:8" x14ac:dyDescent="0.25">
      <c r="B1278" s="5">
        <v>7</v>
      </c>
      <c r="C1278" s="21" t="s">
        <v>792</v>
      </c>
      <c r="D1278" s="6"/>
      <c r="E1278" s="7"/>
      <c r="F1278" s="22"/>
      <c r="G1278" s="23"/>
      <c r="H1278" s="23"/>
    </row>
    <row r="1279" spans="2:8" x14ac:dyDescent="0.25">
      <c r="B1279" s="8" t="s">
        <v>9</v>
      </c>
      <c r="C1279" s="24" t="s">
        <v>793</v>
      </c>
      <c r="D1279" s="9"/>
      <c r="E1279" s="10" t="s">
        <v>9</v>
      </c>
      <c r="F1279" s="25"/>
      <c r="G1279" s="26"/>
      <c r="H1279" s="1" t="b">
        <f>IF(D1281="x",H$2,H$1)</f>
        <v>0</v>
      </c>
    </row>
    <row r="1280" spans="2:8" x14ac:dyDescent="0.25">
      <c r="B1280" s="8" t="s">
        <v>10</v>
      </c>
      <c r="C1280" s="24" t="s">
        <v>794</v>
      </c>
      <c r="D1280" s="9"/>
      <c r="E1280" s="10" t="s">
        <v>10</v>
      </c>
      <c r="F1280" s="27" t="str">
        <f>IF(H1281=1,IF(H1279=H$2,H1279,""),"")</f>
        <v/>
      </c>
      <c r="G1280" s="26"/>
      <c r="H1280" s="1" t="str">
        <f>IF(E1423="comprobar",COUNTIF(D1279:D1283,"x"),"")</f>
        <v/>
      </c>
    </row>
    <row r="1281" spans="2:8" x14ac:dyDescent="0.25">
      <c r="B1281" s="8" t="s">
        <v>11</v>
      </c>
      <c r="C1281" s="24" t="s">
        <v>795</v>
      </c>
      <c r="D1281" s="9"/>
      <c r="E1281" s="10" t="s">
        <v>11</v>
      </c>
      <c r="F1281" s="28" t="str">
        <f>IF(H1281=-0.33,IF(H1279=H$1,H1279,""),"")</f>
        <v/>
      </c>
      <c r="G1281" s="26"/>
      <c r="H1281" s="29">
        <f>IF(H1280=1,IF(H1279=H$2,1,-0.33),0)</f>
        <v>0</v>
      </c>
    </row>
    <row r="1282" spans="2:8" x14ac:dyDescent="0.25">
      <c r="B1282" s="8" t="s">
        <v>12</v>
      </c>
      <c r="C1282" s="24" t="s">
        <v>796</v>
      </c>
      <c r="D1282" s="9"/>
      <c r="E1282" s="10" t="s">
        <v>12</v>
      </c>
      <c r="F1282" s="25"/>
      <c r="G1282" s="26"/>
      <c r="H1282" s="29"/>
    </row>
    <row r="1283" spans="2:8" x14ac:dyDescent="0.25">
      <c r="B1283" s="11"/>
      <c r="C1283" s="12"/>
      <c r="D1283" s="9"/>
      <c r="E1283" s="10" t="s">
        <v>13</v>
      </c>
      <c r="F1283" s="30"/>
      <c r="G1283" s="26"/>
      <c r="H1283" s="29"/>
    </row>
    <row r="1284" spans="2:8" x14ac:dyDescent="0.25">
      <c r="B1284" s="5">
        <v>8</v>
      </c>
      <c r="C1284" s="21" t="s">
        <v>797</v>
      </c>
      <c r="D1284" s="6"/>
      <c r="E1284" s="7"/>
      <c r="F1284" s="22"/>
      <c r="G1284" s="23"/>
      <c r="H1284" s="23"/>
    </row>
    <row r="1285" spans="2:8" x14ac:dyDescent="0.25">
      <c r="B1285" s="8" t="s">
        <v>9</v>
      </c>
      <c r="C1285" s="24" t="s">
        <v>798</v>
      </c>
      <c r="D1285" s="9"/>
      <c r="E1285" s="10" t="s">
        <v>9</v>
      </c>
      <c r="F1285" s="25"/>
      <c r="G1285" s="26"/>
      <c r="H1285" s="1" t="b">
        <f>IF(D1285="x",H$2,H$1)</f>
        <v>0</v>
      </c>
    </row>
    <row r="1286" spans="2:8" x14ac:dyDescent="0.25">
      <c r="B1286" s="8" t="s">
        <v>10</v>
      </c>
      <c r="C1286" s="24" t="s">
        <v>788</v>
      </c>
      <c r="D1286" s="9"/>
      <c r="E1286" s="10" t="s">
        <v>10</v>
      </c>
      <c r="F1286" s="27" t="str">
        <f>IF(H1287=1,IF(H1285=H$2,H1285,""),"")</f>
        <v/>
      </c>
      <c r="G1286" s="26"/>
      <c r="H1286" s="1" t="str">
        <f>IF(E1423="comprobar",COUNTIF(D1285:D1289,"x"),"")</f>
        <v/>
      </c>
    </row>
    <row r="1287" spans="2:8" x14ac:dyDescent="0.25">
      <c r="B1287" s="8" t="s">
        <v>11</v>
      </c>
      <c r="C1287" s="24" t="s">
        <v>30</v>
      </c>
      <c r="D1287" s="9"/>
      <c r="E1287" s="10" t="s">
        <v>11</v>
      </c>
      <c r="F1287" s="28" t="str">
        <f>IF(H1287=-0.33,IF(H1285=H$1,H1285,""),"")</f>
        <v/>
      </c>
      <c r="G1287" s="26"/>
      <c r="H1287" s="29">
        <f>IF(H1286=1,IF(H1285=H$2,1,-0.33),0)</f>
        <v>0</v>
      </c>
    </row>
    <row r="1288" spans="2:8" x14ac:dyDescent="0.25">
      <c r="B1288" s="8" t="s">
        <v>12</v>
      </c>
      <c r="C1288" s="24" t="s">
        <v>58</v>
      </c>
      <c r="D1288" s="9"/>
      <c r="E1288" s="10" t="s">
        <v>12</v>
      </c>
      <c r="F1288" s="25"/>
      <c r="G1288" s="26"/>
      <c r="H1288" s="29"/>
    </row>
    <row r="1289" spans="2:8" x14ac:dyDescent="0.25">
      <c r="B1289" s="11"/>
      <c r="C1289" s="12"/>
      <c r="D1289" s="9"/>
      <c r="E1289" s="10" t="s">
        <v>13</v>
      </c>
      <c r="F1289" s="30"/>
      <c r="G1289" s="26"/>
      <c r="H1289" s="29"/>
    </row>
    <row r="1290" spans="2:8" ht="31.5" x14ac:dyDescent="0.25">
      <c r="B1290" s="5">
        <v>9</v>
      </c>
      <c r="C1290" s="21" t="s">
        <v>57</v>
      </c>
      <c r="D1290" s="6"/>
      <c r="E1290" s="7"/>
      <c r="F1290" s="22"/>
      <c r="G1290" s="23"/>
      <c r="H1290" s="23"/>
    </row>
    <row r="1291" spans="2:8" x14ac:dyDescent="0.25">
      <c r="B1291" s="8" t="s">
        <v>9</v>
      </c>
      <c r="C1291" s="24" t="s">
        <v>44</v>
      </c>
      <c r="D1291" s="9"/>
      <c r="E1291" s="10" t="s">
        <v>9</v>
      </c>
      <c r="F1291" s="25"/>
      <c r="G1291" s="26"/>
      <c r="H1291" s="1" t="b">
        <f>IF(D1292="x",H$2,H$1)</f>
        <v>0</v>
      </c>
    </row>
    <row r="1292" spans="2:8" x14ac:dyDescent="0.25">
      <c r="B1292" s="8" t="s">
        <v>10</v>
      </c>
      <c r="C1292" s="24" t="s">
        <v>30</v>
      </c>
      <c r="D1292" s="9"/>
      <c r="E1292" s="10" t="s">
        <v>10</v>
      </c>
      <c r="F1292" s="27" t="str">
        <f>IF(H1293=1,IF(H1291=H$2,H1291,""),"")</f>
        <v/>
      </c>
      <c r="G1292" s="26"/>
      <c r="H1292" s="1" t="str">
        <f>IF(E1423="comprobar",COUNTIF(D1291:D1295,"x"),"")</f>
        <v/>
      </c>
    </row>
    <row r="1293" spans="2:8" x14ac:dyDescent="0.25">
      <c r="B1293" s="8" t="s">
        <v>11</v>
      </c>
      <c r="C1293" s="24" t="s">
        <v>58</v>
      </c>
      <c r="D1293" s="9"/>
      <c r="E1293" s="10" t="s">
        <v>11</v>
      </c>
      <c r="F1293" s="28" t="str">
        <f>IF(H1293=-0.33,IF(H1291=H$1,H1291,""),"")</f>
        <v/>
      </c>
      <c r="G1293" s="26"/>
      <c r="H1293" s="29">
        <f>IF(H1292=1,IF(H1291=H$2,1,-0.33),0)</f>
        <v>0</v>
      </c>
    </row>
    <row r="1294" spans="2:8" x14ac:dyDescent="0.25">
      <c r="B1294" s="8" t="s">
        <v>12</v>
      </c>
      <c r="C1294" s="24" t="s">
        <v>28</v>
      </c>
      <c r="D1294" s="9"/>
      <c r="E1294" s="10" t="s">
        <v>12</v>
      </c>
      <c r="F1294" s="25"/>
      <c r="G1294" s="26"/>
      <c r="H1294" s="1"/>
    </row>
    <row r="1295" spans="2:8" x14ac:dyDescent="0.25">
      <c r="B1295" s="11"/>
      <c r="C1295" s="12"/>
      <c r="D1295" s="9"/>
      <c r="E1295" s="10" t="s">
        <v>13</v>
      </c>
      <c r="F1295" s="30"/>
      <c r="G1295" s="26"/>
      <c r="H1295" s="15"/>
    </row>
    <row r="1296" spans="2:8" ht="31.5" x14ac:dyDescent="0.25">
      <c r="B1296" s="5">
        <v>10</v>
      </c>
      <c r="C1296" s="21" t="s">
        <v>799</v>
      </c>
      <c r="D1296" s="6"/>
      <c r="E1296" s="7"/>
      <c r="F1296" s="22"/>
      <c r="G1296" s="31"/>
      <c r="H1296" s="31"/>
    </row>
    <row r="1297" spans="2:8" x14ac:dyDescent="0.25">
      <c r="B1297" s="8" t="s">
        <v>9</v>
      </c>
      <c r="C1297" s="24" t="s">
        <v>789</v>
      </c>
      <c r="D1297" s="9"/>
      <c r="E1297" s="10" t="s">
        <v>9</v>
      </c>
      <c r="F1297" s="25"/>
      <c r="G1297" s="32"/>
      <c r="H1297" s="1" t="b">
        <f>IF(D1297="x",H$2,H$1)</f>
        <v>0</v>
      </c>
    </row>
    <row r="1298" spans="2:8" x14ac:dyDescent="0.25">
      <c r="B1298" s="8" t="s">
        <v>10</v>
      </c>
      <c r="C1298" s="24" t="s">
        <v>28</v>
      </c>
      <c r="D1298" s="9"/>
      <c r="E1298" s="10" t="s">
        <v>10</v>
      </c>
      <c r="F1298" s="27" t="str">
        <f>IF(H1299=1,IF(H1297=H$2,H1297,""),"")</f>
        <v/>
      </c>
      <c r="G1298" s="32"/>
      <c r="H1298" s="1" t="str">
        <f>IF(E1423="comprobar",COUNTIF(D1297:D1301,"x"),"")</f>
        <v/>
      </c>
    </row>
    <row r="1299" spans="2:8" x14ac:dyDescent="0.25">
      <c r="B1299" s="8" t="s">
        <v>11</v>
      </c>
      <c r="C1299" s="24" t="s">
        <v>788</v>
      </c>
      <c r="D1299" s="9"/>
      <c r="E1299" s="10" t="s">
        <v>11</v>
      </c>
      <c r="F1299" s="28" t="str">
        <f>IF(H1299=-0.33,IF(H1297=H$1,H1297,""),"")</f>
        <v/>
      </c>
      <c r="G1299" s="32"/>
      <c r="H1299" s="29">
        <f>IF(H1298=1,IF(H1297=H$2,1,-0.33),0)</f>
        <v>0</v>
      </c>
    </row>
    <row r="1300" spans="2:8" x14ac:dyDescent="0.25">
      <c r="B1300" s="8" t="s">
        <v>12</v>
      </c>
      <c r="C1300" s="24" t="s">
        <v>30</v>
      </c>
      <c r="D1300" s="9"/>
      <c r="E1300" s="10" t="s">
        <v>12</v>
      </c>
      <c r="F1300" s="25"/>
      <c r="G1300" s="32"/>
      <c r="H1300" s="29"/>
    </row>
    <row r="1301" spans="2:8" x14ac:dyDescent="0.25">
      <c r="B1301" s="11"/>
      <c r="C1301" s="12"/>
      <c r="D1301" s="9"/>
      <c r="E1301" s="10" t="s">
        <v>13</v>
      </c>
      <c r="F1301" s="30"/>
      <c r="G1301" s="32"/>
      <c r="H1301" s="29"/>
    </row>
    <row r="1302" spans="2:8" ht="31.5" x14ac:dyDescent="0.25">
      <c r="B1302" s="5">
        <v>11</v>
      </c>
      <c r="C1302" s="21" t="s">
        <v>800</v>
      </c>
      <c r="D1302" s="6"/>
      <c r="E1302" s="7"/>
      <c r="F1302" s="22"/>
      <c r="G1302" s="31"/>
      <c r="H1302" s="31"/>
    </row>
    <row r="1303" spans="2:8" x14ac:dyDescent="0.25">
      <c r="B1303" s="8" t="s">
        <v>9</v>
      </c>
      <c r="C1303" s="24" t="s">
        <v>142</v>
      </c>
      <c r="D1303" s="9"/>
      <c r="E1303" s="10" t="s">
        <v>9</v>
      </c>
      <c r="F1303" s="25"/>
      <c r="G1303" s="32"/>
      <c r="H1303" s="1" t="b">
        <f>IF(D1303="x",H$2,H$1)</f>
        <v>0</v>
      </c>
    </row>
    <row r="1304" spans="2:8" x14ac:dyDescent="0.25">
      <c r="B1304" s="8" t="s">
        <v>10</v>
      </c>
      <c r="C1304" s="24" t="s">
        <v>801</v>
      </c>
      <c r="D1304" s="9"/>
      <c r="E1304" s="10" t="s">
        <v>10</v>
      </c>
      <c r="F1304" s="27" t="str">
        <f>IF(H1305=1,IF(H1303=H$2,H1303,""),"")</f>
        <v/>
      </c>
      <c r="G1304" s="32"/>
      <c r="H1304" s="1" t="str">
        <f>IF(E1423="comprobar",COUNTIF(D1303:D1307,"x"),"")</f>
        <v/>
      </c>
    </row>
    <row r="1305" spans="2:8" x14ac:dyDescent="0.25">
      <c r="B1305" s="8" t="s">
        <v>11</v>
      </c>
      <c r="C1305" s="24" t="s">
        <v>139</v>
      </c>
      <c r="D1305" s="9"/>
      <c r="E1305" s="10" t="s">
        <v>11</v>
      </c>
      <c r="F1305" s="28" t="str">
        <f>IF(H1305=-0.33,IF(H1303=H$1,H1303,""),"")</f>
        <v/>
      </c>
      <c r="G1305" s="32"/>
      <c r="H1305" s="29">
        <f>IF(H1304=1,IF(H1303=H$2,1,-0.33),0)</f>
        <v>0</v>
      </c>
    </row>
    <row r="1306" spans="2:8" x14ac:dyDescent="0.25">
      <c r="B1306" s="8" t="s">
        <v>12</v>
      </c>
      <c r="C1306" s="24" t="s">
        <v>141</v>
      </c>
      <c r="D1306" s="9"/>
      <c r="E1306" s="10" t="s">
        <v>12</v>
      </c>
      <c r="F1306" s="25"/>
      <c r="G1306" s="32"/>
      <c r="H1306" s="29"/>
    </row>
    <row r="1307" spans="2:8" x14ac:dyDescent="0.25">
      <c r="B1307" s="11"/>
      <c r="C1307" s="12"/>
      <c r="D1307" s="9"/>
      <c r="E1307" s="10"/>
      <c r="F1307" s="25"/>
      <c r="G1307" s="32"/>
      <c r="H1307" s="29"/>
    </row>
    <row r="1308" spans="2:8" x14ac:dyDescent="0.25">
      <c r="B1308" s="5">
        <v>12</v>
      </c>
      <c r="C1308" s="21" t="s">
        <v>102</v>
      </c>
      <c r="D1308" s="6"/>
      <c r="E1308" s="7"/>
      <c r="F1308" s="22"/>
      <c r="G1308" s="23"/>
      <c r="H1308" s="23"/>
    </row>
    <row r="1309" spans="2:8" x14ac:dyDescent="0.25">
      <c r="B1309" s="8" t="s">
        <v>9</v>
      </c>
      <c r="C1309" s="24" t="s">
        <v>103</v>
      </c>
      <c r="D1309" s="9"/>
      <c r="E1309" s="10" t="s">
        <v>9</v>
      </c>
      <c r="F1309" s="25"/>
      <c r="G1309" s="26"/>
      <c r="H1309" s="1" t="b">
        <f>IF(D1309="x",H$2,H$1)</f>
        <v>0</v>
      </c>
    </row>
    <row r="1310" spans="2:8" x14ac:dyDescent="0.25">
      <c r="B1310" s="8" t="s">
        <v>10</v>
      </c>
      <c r="C1310" s="24" t="s">
        <v>104</v>
      </c>
      <c r="D1310" s="9"/>
      <c r="E1310" s="10" t="s">
        <v>10</v>
      </c>
      <c r="F1310" s="27" t="str">
        <f>IF(H1311=1,IF(H1309=H$2,H1309,""),"")</f>
        <v/>
      </c>
      <c r="G1310" s="26"/>
      <c r="H1310" s="1" t="str">
        <f>IF(E1423="comprobar",COUNTIF(D1309:D1313,"x"),"")</f>
        <v/>
      </c>
    </row>
    <row r="1311" spans="2:8" x14ac:dyDescent="0.25">
      <c r="B1311" s="8" t="s">
        <v>11</v>
      </c>
      <c r="C1311" s="24" t="s">
        <v>105</v>
      </c>
      <c r="D1311" s="9"/>
      <c r="E1311" s="10" t="s">
        <v>11</v>
      </c>
      <c r="F1311" s="28" t="str">
        <f>IF(H1311=-0.33,IF(H1309=H$1,H1309,""),"")</f>
        <v/>
      </c>
      <c r="G1311" s="26"/>
      <c r="H1311" s="29">
        <f>IF(H1310=1,IF(H1309=H$2,1,-0.33),0)</f>
        <v>0</v>
      </c>
    </row>
    <row r="1312" spans="2:8" x14ac:dyDescent="0.25">
      <c r="B1312" s="8" t="s">
        <v>12</v>
      </c>
      <c r="C1312" s="24" t="s">
        <v>106</v>
      </c>
      <c r="D1312" s="9"/>
      <c r="E1312" s="10" t="s">
        <v>12</v>
      </c>
      <c r="F1312" s="25"/>
      <c r="G1312" s="26"/>
      <c r="H1312" s="29"/>
    </row>
    <row r="1313" spans="2:8" x14ac:dyDescent="0.25">
      <c r="B1313" s="11"/>
      <c r="C1313" s="12"/>
      <c r="D1313" s="9"/>
      <c r="E1313" s="10" t="s">
        <v>13</v>
      </c>
      <c r="F1313" s="30"/>
      <c r="G1313" s="26"/>
      <c r="H1313" s="29"/>
    </row>
    <row r="1314" spans="2:8" x14ac:dyDescent="0.25">
      <c r="B1314" s="5">
        <v>13</v>
      </c>
      <c r="C1314" s="21" t="s">
        <v>802</v>
      </c>
      <c r="D1314" s="6"/>
      <c r="E1314" s="7"/>
      <c r="F1314" s="22"/>
      <c r="G1314" s="23"/>
      <c r="H1314" s="23"/>
    </row>
    <row r="1315" spans="2:8" x14ac:dyDescent="0.25">
      <c r="B1315" s="8" t="s">
        <v>9</v>
      </c>
      <c r="C1315" s="24" t="s">
        <v>803</v>
      </c>
      <c r="D1315" s="9"/>
      <c r="E1315" s="10" t="s">
        <v>9</v>
      </c>
      <c r="F1315" s="25"/>
      <c r="G1315" s="26"/>
      <c r="H1315" s="1" t="b">
        <f>IF(D1315="x",H$2,H$1)</f>
        <v>0</v>
      </c>
    </row>
    <row r="1316" spans="2:8" ht="31.5" x14ac:dyDescent="0.25">
      <c r="B1316" s="8" t="s">
        <v>10</v>
      </c>
      <c r="C1316" s="24" t="s">
        <v>804</v>
      </c>
      <c r="D1316" s="9"/>
      <c r="E1316" s="10" t="s">
        <v>10</v>
      </c>
      <c r="F1316" s="27" t="str">
        <f>IF(H1317=1,IF(H1315=H$2,H1315,""),"")</f>
        <v/>
      </c>
      <c r="G1316" s="26"/>
      <c r="H1316" s="1" t="str">
        <f>IF(E1423="comprobar",COUNTIF(D1315:D1319,"x"),"")</f>
        <v/>
      </c>
    </row>
    <row r="1317" spans="2:8" ht="31.5" x14ac:dyDescent="0.25">
      <c r="B1317" s="8" t="s">
        <v>11</v>
      </c>
      <c r="C1317" s="24" t="s">
        <v>805</v>
      </c>
      <c r="D1317" s="9"/>
      <c r="E1317" s="10" t="s">
        <v>11</v>
      </c>
      <c r="F1317" s="28" t="str">
        <f>IF(H1317=-0.33,IF(H1315=H$1,H1315,""),"")</f>
        <v/>
      </c>
      <c r="G1317" s="26"/>
      <c r="H1317" s="29">
        <f t="shared" ref="H1317" si="27">IF(H1316=1,IF(H1315=H$2,1,-0.33),0)</f>
        <v>0</v>
      </c>
    </row>
    <row r="1318" spans="2:8" x14ac:dyDescent="0.25">
      <c r="B1318" s="8" t="s">
        <v>12</v>
      </c>
      <c r="C1318" s="24" t="s">
        <v>806</v>
      </c>
      <c r="D1318" s="9"/>
      <c r="E1318" s="10" t="s">
        <v>12</v>
      </c>
      <c r="F1318" s="25"/>
      <c r="G1318" s="26"/>
      <c r="H1318" s="26"/>
    </row>
    <row r="1319" spans="2:8" x14ac:dyDescent="0.25">
      <c r="B1319" s="11"/>
      <c r="C1319" s="12"/>
      <c r="D1319" s="9"/>
      <c r="E1319" s="10" t="s">
        <v>13</v>
      </c>
      <c r="F1319" s="30"/>
      <c r="G1319" s="26"/>
      <c r="H1319" s="26"/>
    </row>
    <row r="1320" spans="2:8" x14ac:dyDescent="0.25">
      <c r="B1320" s="5">
        <v>14</v>
      </c>
      <c r="C1320" s="21" t="s">
        <v>807</v>
      </c>
      <c r="D1320" s="6"/>
      <c r="E1320" s="7"/>
      <c r="F1320" s="22"/>
      <c r="G1320" s="23"/>
      <c r="H1320" s="23"/>
    </row>
    <row r="1321" spans="2:8" x14ac:dyDescent="0.25">
      <c r="B1321" s="8" t="s">
        <v>9</v>
      </c>
      <c r="C1321" s="24" t="s">
        <v>808</v>
      </c>
      <c r="D1321" s="9"/>
      <c r="E1321" s="10" t="s">
        <v>9</v>
      </c>
      <c r="F1321" s="25"/>
      <c r="G1321" s="26"/>
      <c r="H1321" s="1" t="b">
        <f>IF(D1323="x",H$2,H$1)</f>
        <v>0</v>
      </c>
    </row>
    <row r="1322" spans="2:8" x14ac:dyDescent="0.25">
      <c r="B1322" s="8" t="s">
        <v>10</v>
      </c>
      <c r="C1322" s="24" t="s">
        <v>809</v>
      </c>
      <c r="D1322" s="9"/>
      <c r="E1322" s="10" t="s">
        <v>10</v>
      </c>
      <c r="F1322" s="27" t="str">
        <f>IF(H1323=1,IF(H1321=H$2,H1321,""),"")</f>
        <v/>
      </c>
      <c r="G1322" s="26"/>
      <c r="H1322" s="1" t="str">
        <f>IF(E1423="comprobar",COUNTIF(D1321:D1325,"x"),"")</f>
        <v/>
      </c>
    </row>
    <row r="1323" spans="2:8" x14ac:dyDescent="0.25">
      <c r="B1323" s="8" t="s">
        <v>11</v>
      </c>
      <c r="C1323" s="24" t="s">
        <v>46</v>
      </c>
      <c r="D1323" s="9"/>
      <c r="E1323" s="10" t="s">
        <v>11</v>
      </c>
      <c r="F1323" s="28" t="str">
        <f>IF(H1323=-0.33,IF(H1321=H$1,H1321,""),"")</f>
        <v/>
      </c>
      <c r="G1323" s="26"/>
      <c r="H1323" s="29">
        <f>IF(H1322=1,IF(H1321=H$2,1,-0.33),0)</f>
        <v>0</v>
      </c>
    </row>
    <row r="1324" spans="2:8" x14ac:dyDescent="0.25">
      <c r="B1324" s="8" t="s">
        <v>12</v>
      </c>
      <c r="C1324" s="24" t="s">
        <v>810</v>
      </c>
      <c r="D1324" s="9"/>
      <c r="E1324" s="10" t="s">
        <v>12</v>
      </c>
      <c r="F1324" s="25"/>
      <c r="G1324" s="26"/>
      <c r="H1324" s="26"/>
    </row>
    <row r="1325" spans="2:8" x14ac:dyDescent="0.25">
      <c r="B1325" s="11"/>
      <c r="C1325" s="12"/>
      <c r="D1325" s="9"/>
      <c r="E1325" s="10" t="s">
        <v>13</v>
      </c>
      <c r="F1325" s="30"/>
      <c r="G1325" s="26"/>
      <c r="H1325" s="26"/>
    </row>
    <row r="1326" spans="2:8" x14ac:dyDescent="0.25">
      <c r="B1326" s="5">
        <v>15</v>
      </c>
      <c r="C1326" s="21" t="s">
        <v>118</v>
      </c>
      <c r="D1326" s="6"/>
      <c r="E1326" s="7"/>
      <c r="F1326" s="22"/>
      <c r="G1326" s="23"/>
      <c r="H1326" s="23"/>
    </row>
    <row r="1327" spans="2:8" x14ac:dyDescent="0.25">
      <c r="B1327" s="8" t="s">
        <v>9</v>
      </c>
      <c r="C1327" s="24" t="s">
        <v>121</v>
      </c>
      <c r="D1327" s="9"/>
      <c r="E1327" s="10" t="s">
        <v>9</v>
      </c>
      <c r="F1327" s="25"/>
      <c r="G1327" s="26"/>
      <c r="H1327" s="1" t="b">
        <f>IF(D1327="x",H$2,H$1)</f>
        <v>0</v>
      </c>
    </row>
    <row r="1328" spans="2:8" x14ac:dyDescent="0.25">
      <c r="B1328" s="8" t="s">
        <v>10</v>
      </c>
      <c r="C1328" s="24" t="s">
        <v>119</v>
      </c>
      <c r="D1328" s="9"/>
      <c r="E1328" s="10" t="s">
        <v>10</v>
      </c>
      <c r="F1328" s="27" t="str">
        <f>IF(H1329=1,IF(H1327=H$2,H1327,""),"")</f>
        <v/>
      </c>
      <c r="G1328" s="26"/>
      <c r="H1328" s="1" t="str">
        <f>IF(E1423="comprobar",COUNTIF(D1327:D1331,"x"),"")</f>
        <v/>
      </c>
    </row>
    <row r="1329" spans="2:8" x14ac:dyDescent="0.25">
      <c r="B1329" s="8" t="s">
        <v>11</v>
      </c>
      <c r="C1329" s="24" t="s">
        <v>120</v>
      </c>
      <c r="D1329" s="9"/>
      <c r="E1329" s="10" t="s">
        <v>11</v>
      </c>
      <c r="F1329" s="28" t="str">
        <f>IF(H1329=-0.33,IF(H1327=H$1,H1327,""),"")</f>
        <v/>
      </c>
      <c r="G1329" s="26"/>
      <c r="H1329" s="29">
        <f>IF(H1328=1,IF(H1327=H$2,1,-0.33),0)</f>
        <v>0</v>
      </c>
    </row>
    <row r="1330" spans="2:8" x14ac:dyDescent="0.25">
      <c r="B1330" s="8" t="s">
        <v>12</v>
      </c>
      <c r="C1330" s="24" t="s">
        <v>122</v>
      </c>
      <c r="D1330" s="9"/>
      <c r="E1330" s="10" t="s">
        <v>12</v>
      </c>
      <c r="F1330" s="25"/>
      <c r="G1330" s="26"/>
      <c r="H1330" s="29"/>
    </row>
    <row r="1331" spans="2:8" x14ac:dyDescent="0.25">
      <c r="B1331" s="11"/>
      <c r="C1331" s="12"/>
      <c r="D1331" s="9"/>
      <c r="E1331" s="10" t="s">
        <v>13</v>
      </c>
      <c r="F1331" s="30"/>
      <c r="G1331" s="26"/>
      <c r="H1331" s="29"/>
    </row>
    <row r="1332" spans="2:8" ht="31.5" x14ac:dyDescent="0.25">
      <c r="B1332" s="5">
        <v>16</v>
      </c>
      <c r="C1332" s="21" t="s">
        <v>112</v>
      </c>
      <c r="D1332" s="6"/>
      <c r="E1332" s="7"/>
      <c r="F1332" s="22"/>
      <c r="G1332" s="23"/>
      <c r="H1332" s="23"/>
    </row>
    <row r="1333" spans="2:8" x14ac:dyDescent="0.25">
      <c r="B1333" s="8" t="s">
        <v>9</v>
      </c>
      <c r="C1333" s="24" t="s">
        <v>99</v>
      </c>
      <c r="D1333" s="9"/>
      <c r="E1333" s="10" t="s">
        <v>9</v>
      </c>
      <c r="F1333" s="25"/>
      <c r="G1333" s="26"/>
      <c r="H1333" s="1" t="b">
        <f>IF(D1335="x",H$2,H$1)</f>
        <v>0</v>
      </c>
    </row>
    <row r="1334" spans="2:8" x14ac:dyDescent="0.25">
      <c r="B1334" s="8" t="s">
        <v>10</v>
      </c>
      <c r="C1334" s="24" t="s">
        <v>100</v>
      </c>
      <c r="D1334" s="9"/>
      <c r="E1334" s="10" t="s">
        <v>10</v>
      </c>
      <c r="F1334" s="27" t="str">
        <f>IF(H1335=1,IF(H1333=H$2,H1333,""),"")</f>
        <v/>
      </c>
      <c r="G1334" s="26"/>
      <c r="H1334" s="1" t="str">
        <f>IF(E1423="comprobar",COUNTIF(D1333:D1337,"x"),"")</f>
        <v/>
      </c>
    </row>
    <row r="1335" spans="2:8" x14ac:dyDescent="0.25">
      <c r="B1335" s="8" t="s">
        <v>11</v>
      </c>
      <c r="C1335" s="24" t="s">
        <v>98</v>
      </c>
      <c r="D1335" s="9"/>
      <c r="E1335" s="10" t="s">
        <v>11</v>
      </c>
      <c r="F1335" s="28" t="str">
        <f>IF(H1335=-0.33,IF(H1333=H$1,H1333,""),"")</f>
        <v/>
      </c>
      <c r="G1335" s="26"/>
      <c r="H1335" s="29">
        <f>IF(H1334=1,IF(H1333=H$2,1,-0.33),0)</f>
        <v>0</v>
      </c>
    </row>
    <row r="1336" spans="2:8" x14ac:dyDescent="0.25">
      <c r="B1336" s="8" t="s">
        <v>12</v>
      </c>
      <c r="C1336" s="24" t="s">
        <v>101</v>
      </c>
      <c r="D1336" s="9"/>
      <c r="E1336" s="10" t="s">
        <v>12</v>
      </c>
      <c r="F1336" s="25"/>
      <c r="G1336" s="26"/>
      <c r="H1336" s="29"/>
    </row>
    <row r="1337" spans="2:8" x14ac:dyDescent="0.25">
      <c r="B1337" s="11"/>
      <c r="C1337" s="12"/>
      <c r="D1337" s="9"/>
      <c r="E1337" s="10" t="s">
        <v>13</v>
      </c>
      <c r="F1337" s="30"/>
      <c r="G1337" s="26"/>
      <c r="H1337" s="29"/>
    </row>
    <row r="1338" spans="2:8" x14ac:dyDescent="0.25">
      <c r="B1338" s="5">
        <v>17</v>
      </c>
      <c r="C1338" s="21" t="s">
        <v>811</v>
      </c>
      <c r="D1338" s="6"/>
      <c r="E1338" s="7"/>
      <c r="F1338" s="22"/>
      <c r="G1338" s="23"/>
      <c r="H1338" s="23"/>
    </row>
    <row r="1339" spans="2:8" x14ac:dyDescent="0.25">
      <c r="B1339" s="8" t="s">
        <v>9</v>
      </c>
      <c r="C1339" s="24" t="s">
        <v>812</v>
      </c>
      <c r="D1339" s="9"/>
      <c r="E1339" s="10" t="s">
        <v>9</v>
      </c>
      <c r="F1339" s="25"/>
      <c r="G1339" s="26"/>
      <c r="H1339" s="1" t="b">
        <f>IF(D1340="x",H$2,H$1)</f>
        <v>0</v>
      </c>
    </row>
    <row r="1340" spans="2:8" x14ac:dyDescent="0.25">
      <c r="B1340" s="8" t="s">
        <v>10</v>
      </c>
      <c r="C1340" s="24" t="s">
        <v>813</v>
      </c>
      <c r="D1340" s="9"/>
      <c r="E1340" s="10" t="s">
        <v>10</v>
      </c>
      <c r="F1340" s="27" t="str">
        <f>IF(H1341=1,IF(H1339=H$2,H1339,""),"")</f>
        <v/>
      </c>
      <c r="G1340" s="26"/>
      <c r="H1340" s="1" t="str">
        <f>IF(E1423="comprobar",COUNTIF(D1339:D1343,"x"),"")</f>
        <v/>
      </c>
    </row>
    <row r="1341" spans="2:8" x14ac:dyDescent="0.25">
      <c r="B1341" s="8" t="s">
        <v>11</v>
      </c>
      <c r="C1341" s="24" t="s">
        <v>814</v>
      </c>
      <c r="D1341" s="9"/>
      <c r="E1341" s="10" t="s">
        <v>11</v>
      </c>
      <c r="F1341" s="28" t="str">
        <f>IF(H1341=-0.33,IF(H1339=H$1,H1339,""),"")</f>
        <v/>
      </c>
      <c r="G1341" s="26"/>
      <c r="H1341" s="29">
        <f>IF(H1340=1,IF(H1339=H$2,1,-0.33),0)</f>
        <v>0</v>
      </c>
    </row>
    <row r="1342" spans="2:8" x14ac:dyDescent="0.25">
      <c r="B1342" s="8" t="s">
        <v>12</v>
      </c>
      <c r="C1342" s="24" t="s">
        <v>815</v>
      </c>
      <c r="D1342" s="9"/>
      <c r="E1342" s="10" t="s">
        <v>12</v>
      </c>
      <c r="F1342" s="25"/>
      <c r="G1342" s="26"/>
      <c r="H1342" s="26"/>
    </row>
    <row r="1343" spans="2:8" x14ac:dyDescent="0.25">
      <c r="B1343" s="11"/>
      <c r="C1343" s="12"/>
      <c r="D1343" s="9"/>
      <c r="E1343" s="10" t="s">
        <v>13</v>
      </c>
      <c r="F1343" s="30"/>
      <c r="G1343" s="26"/>
      <c r="H1343" s="26"/>
    </row>
    <row r="1344" spans="2:8" ht="31.5" x14ac:dyDescent="0.25">
      <c r="B1344" s="5">
        <v>18</v>
      </c>
      <c r="C1344" s="21" t="s">
        <v>133</v>
      </c>
      <c r="D1344" s="6"/>
      <c r="E1344" s="7"/>
      <c r="F1344" s="22"/>
      <c r="G1344" s="23"/>
      <c r="H1344" s="23"/>
    </row>
    <row r="1345" spans="2:8" x14ac:dyDescent="0.25">
      <c r="B1345" s="8" t="s">
        <v>9</v>
      </c>
      <c r="C1345" s="24" t="s">
        <v>137</v>
      </c>
      <c r="D1345" s="9"/>
      <c r="E1345" s="10" t="s">
        <v>9</v>
      </c>
      <c r="F1345" s="25"/>
      <c r="G1345" s="26"/>
      <c r="H1345" s="1" t="b">
        <f>IF(D1346="x",H$2,H$1)</f>
        <v>0</v>
      </c>
    </row>
    <row r="1346" spans="2:8" x14ac:dyDescent="0.25">
      <c r="B1346" s="8" t="s">
        <v>10</v>
      </c>
      <c r="C1346" s="24" t="s">
        <v>134</v>
      </c>
      <c r="D1346" s="9"/>
      <c r="E1346" s="10" t="s">
        <v>10</v>
      </c>
      <c r="F1346" s="27" t="str">
        <f>IF(H1347=1,IF(H1345=H$2,H1345,""),"")</f>
        <v/>
      </c>
      <c r="G1346" s="26"/>
      <c r="H1346" s="1" t="str">
        <f>IF(E1423="comprobar",COUNTIF(D1345:D1349,"x"),"")</f>
        <v/>
      </c>
    </row>
    <row r="1347" spans="2:8" x14ac:dyDescent="0.25">
      <c r="B1347" s="8" t="s">
        <v>11</v>
      </c>
      <c r="C1347" s="24" t="s">
        <v>135</v>
      </c>
      <c r="D1347" s="9"/>
      <c r="E1347" s="10" t="s">
        <v>11</v>
      </c>
      <c r="F1347" s="28" t="str">
        <f>IF(H1347=-0.33,IF(H1345=H$1,H1345,""),"")</f>
        <v/>
      </c>
      <c r="G1347" s="26"/>
      <c r="H1347" s="29">
        <f>IF(H1346=1,IF(H1345=H$2,1,-0.33),0)</f>
        <v>0</v>
      </c>
    </row>
    <row r="1348" spans="2:8" x14ac:dyDescent="0.25">
      <c r="B1348" s="8" t="s">
        <v>12</v>
      </c>
      <c r="C1348" s="24" t="s">
        <v>136</v>
      </c>
      <c r="D1348" s="9"/>
      <c r="E1348" s="10" t="s">
        <v>12</v>
      </c>
      <c r="F1348" s="25"/>
      <c r="G1348" s="26"/>
      <c r="H1348" s="29"/>
    </row>
    <row r="1349" spans="2:8" x14ac:dyDescent="0.25">
      <c r="B1349" s="11"/>
      <c r="C1349" s="12"/>
      <c r="D1349" s="9"/>
      <c r="E1349" s="10" t="s">
        <v>13</v>
      </c>
      <c r="F1349" s="30"/>
      <c r="G1349" s="26"/>
      <c r="H1349" s="29"/>
    </row>
    <row r="1350" spans="2:8" x14ac:dyDescent="0.25">
      <c r="B1350" s="5">
        <v>19</v>
      </c>
      <c r="C1350" s="21" t="s">
        <v>816</v>
      </c>
      <c r="D1350" s="6"/>
      <c r="E1350" s="7"/>
      <c r="F1350" s="22"/>
      <c r="G1350" s="23"/>
      <c r="H1350" s="23"/>
    </row>
    <row r="1351" spans="2:8" x14ac:dyDescent="0.25">
      <c r="B1351" s="8" t="s">
        <v>9</v>
      </c>
      <c r="C1351" s="24" t="s">
        <v>817</v>
      </c>
      <c r="D1351" s="9"/>
      <c r="E1351" s="10" t="s">
        <v>9</v>
      </c>
      <c r="F1351" s="25"/>
      <c r="G1351" s="26"/>
      <c r="H1351" s="1" t="b">
        <f>IF(D1354="x",H$2,H$1)</f>
        <v>0</v>
      </c>
    </row>
    <row r="1352" spans="2:8" x14ac:dyDescent="0.25">
      <c r="B1352" s="8" t="s">
        <v>9</v>
      </c>
      <c r="C1352" s="24" t="s">
        <v>818</v>
      </c>
      <c r="D1352" s="9"/>
      <c r="E1352" s="10" t="s">
        <v>10</v>
      </c>
      <c r="F1352" s="27" t="str">
        <f>IF(H1353=1,IF(H1351=H$2,H1351,""),"")</f>
        <v/>
      </c>
      <c r="G1352" s="26"/>
      <c r="H1352" s="1" t="str">
        <f>IF(E1423="comprobar",COUNTIF(D1351:D1355,"x"),"")</f>
        <v/>
      </c>
    </row>
    <row r="1353" spans="2:8" x14ac:dyDescent="0.25">
      <c r="B1353" s="8" t="s">
        <v>11</v>
      </c>
      <c r="C1353" s="24" t="s">
        <v>819</v>
      </c>
      <c r="D1353" s="9"/>
      <c r="E1353" s="10" t="s">
        <v>11</v>
      </c>
      <c r="F1353" s="28" t="str">
        <f>IF(H1353=-0.33,IF(H1351=H$1,H1351,""),"")</f>
        <v/>
      </c>
      <c r="G1353" s="26"/>
      <c r="H1353" s="29">
        <f>IF(H1352=1,IF(H1351=H$2,1,-0.33),0)</f>
        <v>0</v>
      </c>
    </row>
    <row r="1354" spans="2:8" x14ac:dyDescent="0.25">
      <c r="B1354" s="8" t="s">
        <v>12</v>
      </c>
      <c r="C1354" s="24" t="s">
        <v>820</v>
      </c>
      <c r="D1354" s="9"/>
      <c r="E1354" s="10" t="s">
        <v>12</v>
      </c>
      <c r="F1354" s="25"/>
      <c r="G1354" s="26"/>
      <c r="H1354" s="29"/>
    </row>
    <row r="1355" spans="2:8" x14ac:dyDescent="0.25">
      <c r="B1355" s="11"/>
      <c r="C1355" s="12"/>
      <c r="D1355" s="9"/>
      <c r="E1355" s="10" t="s">
        <v>13</v>
      </c>
      <c r="F1355" s="30"/>
      <c r="G1355" s="26"/>
      <c r="H1355" s="29"/>
    </row>
    <row r="1356" spans="2:8" x14ac:dyDescent="0.25">
      <c r="B1356" s="5">
        <v>20</v>
      </c>
      <c r="C1356" s="21" t="s">
        <v>128</v>
      </c>
      <c r="D1356" s="6"/>
      <c r="E1356" s="7"/>
      <c r="F1356" s="22"/>
      <c r="G1356" s="23"/>
      <c r="H1356" s="23"/>
    </row>
    <row r="1357" spans="2:8" x14ac:dyDescent="0.25">
      <c r="B1357" s="8" t="s">
        <v>9</v>
      </c>
      <c r="C1357" s="24" t="s">
        <v>132</v>
      </c>
      <c r="D1357" s="9"/>
      <c r="E1357" s="10" t="s">
        <v>9</v>
      </c>
      <c r="F1357" s="25"/>
      <c r="G1357" s="26"/>
      <c r="H1357" s="1" t="b">
        <f>IF(D1360="x",H$2,H$1)</f>
        <v>0</v>
      </c>
    </row>
    <row r="1358" spans="2:8" x14ac:dyDescent="0.25">
      <c r="B1358" s="8" t="s">
        <v>10</v>
      </c>
      <c r="C1358" s="24" t="s">
        <v>131</v>
      </c>
      <c r="D1358" s="9"/>
      <c r="E1358" s="10" t="s">
        <v>10</v>
      </c>
      <c r="F1358" s="27" t="str">
        <f>IF(H1359=1,IF(H1357=H$2,H1357,""),"")</f>
        <v/>
      </c>
      <c r="G1358" s="26"/>
      <c r="H1358" s="1" t="str">
        <f>IF(E1423="comprobar",COUNTIF(D1357:D1361,"x"),"")</f>
        <v/>
      </c>
    </row>
    <row r="1359" spans="2:8" x14ac:dyDescent="0.25">
      <c r="B1359" s="8" t="s">
        <v>11</v>
      </c>
      <c r="C1359" s="24" t="s">
        <v>129</v>
      </c>
      <c r="D1359" s="9"/>
      <c r="E1359" s="10" t="s">
        <v>11</v>
      </c>
      <c r="F1359" s="28" t="str">
        <f>IF(H1359=-0.33,IF(H1357=H$1,H1357,""),"")</f>
        <v/>
      </c>
      <c r="G1359" s="26"/>
      <c r="H1359" s="29">
        <f t="shared" ref="H1359" si="28">IF(H1358=1,IF(H1357=H$2,1,-0.33),0)</f>
        <v>0</v>
      </c>
    </row>
    <row r="1360" spans="2:8" x14ac:dyDescent="0.25">
      <c r="B1360" s="8" t="s">
        <v>12</v>
      </c>
      <c r="C1360" s="24" t="s">
        <v>130</v>
      </c>
      <c r="D1360" s="9"/>
      <c r="E1360" s="10" t="s">
        <v>12</v>
      </c>
      <c r="F1360" s="25"/>
      <c r="G1360" s="26"/>
      <c r="H1360" s="26"/>
    </row>
    <row r="1361" spans="2:8" x14ac:dyDescent="0.25">
      <c r="B1361" s="11"/>
      <c r="C1361" s="12"/>
      <c r="D1361" s="9"/>
      <c r="E1361" s="10" t="s">
        <v>13</v>
      </c>
      <c r="F1361" s="30"/>
      <c r="G1361" s="26"/>
      <c r="H1361" s="26"/>
    </row>
    <row r="1362" spans="2:8" x14ac:dyDescent="0.25">
      <c r="B1362" s="5">
        <v>21</v>
      </c>
      <c r="C1362" s="21" t="s">
        <v>157</v>
      </c>
      <c r="D1362" s="6"/>
      <c r="E1362" s="7"/>
      <c r="F1362" s="22"/>
      <c r="G1362" s="23"/>
      <c r="H1362" s="23"/>
    </row>
    <row r="1363" spans="2:8" x14ac:dyDescent="0.25">
      <c r="B1363" s="8" t="s">
        <v>9</v>
      </c>
      <c r="C1363" s="24" t="s">
        <v>158</v>
      </c>
      <c r="D1363" s="9"/>
      <c r="E1363" s="10" t="s">
        <v>9</v>
      </c>
      <c r="F1363" s="25"/>
      <c r="G1363" s="26"/>
      <c r="H1363" s="1" t="b">
        <f>IF(D1364="x",H$2,H$1)</f>
        <v>0</v>
      </c>
    </row>
    <row r="1364" spans="2:8" x14ac:dyDescent="0.25">
      <c r="B1364" s="8" t="s">
        <v>10</v>
      </c>
      <c r="C1364" s="24" t="s">
        <v>159</v>
      </c>
      <c r="D1364" s="9"/>
      <c r="E1364" s="10" t="s">
        <v>10</v>
      </c>
      <c r="F1364" s="27" t="str">
        <f>IF(H1365=1,IF(H1363=H$2,H1363,""),"")</f>
        <v/>
      </c>
      <c r="G1364" s="26"/>
      <c r="H1364" s="1" t="str">
        <f>IF(E1423="comprobar",COUNTIF(D1363:D1367,"x"),"")</f>
        <v/>
      </c>
    </row>
    <row r="1365" spans="2:8" x14ac:dyDescent="0.25">
      <c r="B1365" s="8" t="s">
        <v>11</v>
      </c>
      <c r="C1365" s="24" t="s">
        <v>161</v>
      </c>
      <c r="D1365" s="9"/>
      <c r="E1365" s="10" t="s">
        <v>11</v>
      </c>
      <c r="F1365" s="28" t="str">
        <f>IF(H1365=-0.33,IF(H1363=H$1,H1363,""),"")</f>
        <v/>
      </c>
      <c r="G1365" s="26"/>
      <c r="H1365" s="29">
        <f>IF(H1364=1,IF(H1363=H$2,1,-0.33),0)</f>
        <v>0</v>
      </c>
    </row>
    <row r="1366" spans="2:8" x14ac:dyDescent="0.25">
      <c r="B1366" s="8" t="s">
        <v>12</v>
      </c>
      <c r="C1366" s="24" t="s">
        <v>160</v>
      </c>
      <c r="D1366" s="9"/>
      <c r="E1366" s="10" t="s">
        <v>12</v>
      </c>
      <c r="F1366" s="25"/>
      <c r="G1366" s="26"/>
      <c r="H1366" s="26"/>
    </row>
    <row r="1367" spans="2:8" x14ac:dyDescent="0.25">
      <c r="B1367" s="11"/>
      <c r="C1367" s="12"/>
      <c r="D1367" s="9"/>
      <c r="E1367" s="10" t="s">
        <v>13</v>
      </c>
      <c r="F1367" s="30"/>
      <c r="G1367" s="26"/>
      <c r="H1367" s="26"/>
    </row>
    <row r="1368" spans="2:8" x14ac:dyDescent="0.25">
      <c r="B1368" s="5">
        <v>22</v>
      </c>
      <c r="C1368" s="21" t="s">
        <v>199</v>
      </c>
      <c r="D1368" s="6"/>
      <c r="E1368" s="7"/>
      <c r="F1368" s="22"/>
      <c r="G1368" s="23"/>
      <c r="H1368" s="23"/>
    </row>
    <row r="1369" spans="2:8" x14ac:dyDescent="0.25">
      <c r="B1369" s="8" t="s">
        <v>9</v>
      </c>
      <c r="C1369" s="24" t="s">
        <v>201</v>
      </c>
      <c r="D1369" s="9"/>
      <c r="E1369" s="10" t="s">
        <v>9</v>
      </c>
      <c r="F1369" s="25"/>
      <c r="G1369" s="26"/>
      <c r="H1369" s="1" t="b">
        <f>IF(D1370="x",H$2,H$1)</f>
        <v>0</v>
      </c>
    </row>
    <row r="1370" spans="2:8" x14ac:dyDescent="0.25">
      <c r="B1370" s="8" t="s">
        <v>10</v>
      </c>
      <c r="C1370" s="24" t="s">
        <v>46</v>
      </c>
      <c r="D1370" s="9"/>
      <c r="E1370" s="10" t="s">
        <v>10</v>
      </c>
      <c r="F1370" s="27" t="str">
        <f>IF(H1371=1,IF(H1369=H$2,H1369,""),"")</f>
        <v/>
      </c>
      <c r="G1370" s="26"/>
      <c r="H1370" s="1" t="str">
        <f>IF(E1423="comprobar",COUNTIF(D1369:D1373,"x"),"")</f>
        <v/>
      </c>
    </row>
    <row r="1371" spans="2:8" x14ac:dyDescent="0.25">
      <c r="B1371" s="8" t="s">
        <v>11</v>
      </c>
      <c r="C1371" s="24" t="s">
        <v>200</v>
      </c>
      <c r="D1371" s="9"/>
      <c r="E1371" s="10" t="s">
        <v>11</v>
      </c>
      <c r="F1371" s="28" t="str">
        <f>IF(H1371=-0.33,IF(H1369=H$1,H1369,""),"")</f>
        <v/>
      </c>
      <c r="G1371" s="26"/>
      <c r="H1371" s="29">
        <f>IF(H1370=1,IF(H1369=H$2,1,-0.33),0)</f>
        <v>0</v>
      </c>
    </row>
    <row r="1372" spans="2:8" x14ac:dyDescent="0.25">
      <c r="B1372" s="8" t="s">
        <v>12</v>
      </c>
      <c r="C1372" s="24" t="s">
        <v>202</v>
      </c>
      <c r="D1372" s="9"/>
      <c r="E1372" s="10" t="s">
        <v>12</v>
      </c>
      <c r="F1372" s="25"/>
      <c r="G1372" s="26"/>
      <c r="H1372" s="29"/>
    </row>
    <row r="1373" spans="2:8" x14ac:dyDescent="0.25">
      <c r="B1373" s="11"/>
      <c r="C1373" s="12"/>
      <c r="D1373" s="9"/>
      <c r="E1373" s="10" t="s">
        <v>13</v>
      </c>
      <c r="F1373" s="30"/>
      <c r="G1373" s="26"/>
      <c r="H1373" s="29"/>
    </row>
    <row r="1374" spans="2:8" ht="31.5" x14ac:dyDescent="0.25">
      <c r="B1374" s="5">
        <v>23</v>
      </c>
      <c r="C1374" s="21" t="s">
        <v>821</v>
      </c>
      <c r="D1374" s="6"/>
      <c r="E1374" s="7"/>
      <c r="F1374" s="22"/>
      <c r="G1374" s="23"/>
      <c r="H1374" s="23"/>
    </row>
    <row r="1375" spans="2:8" x14ac:dyDescent="0.25">
      <c r="B1375" s="8" t="s">
        <v>9</v>
      </c>
      <c r="C1375" s="24" t="s">
        <v>822</v>
      </c>
      <c r="D1375" s="9"/>
      <c r="E1375" s="10" t="s">
        <v>9</v>
      </c>
      <c r="F1375" s="25"/>
      <c r="G1375" s="26"/>
      <c r="H1375" s="1" t="b">
        <f>IF(D1378="x",H$2,H$1)</f>
        <v>0</v>
      </c>
    </row>
    <row r="1376" spans="2:8" x14ac:dyDescent="0.25">
      <c r="B1376" s="8" t="s">
        <v>10</v>
      </c>
      <c r="C1376" s="24" t="s">
        <v>823</v>
      </c>
      <c r="D1376" s="9"/>
      <c r="E1376" s="10" t="s">
        <v>10</v>
      </c>
      <c r="F1376" s="27" t="str">
        <f>IF(H1377=1,IF(H1375=H$2,H1375,""),"")</f>
        <v/>
      </c>
      <c r="G1376" s="26"/>
      <c r="H1376" s="1" t="str">
        <f>IF(E1423="comprobar",COUNTIF(D1375:D1379,"x"),"")</f>
        <v/>
      </c>
    </row>
    <row r="1377" spans="2:8" x14ac:dyDescent="0.25">
      <c r="B1377" s="8" t="s">
        <v>11</v>
      </c>
      <c r="C1377" s="24" t="s">
        <v>824</v>
      </c>
      <c r="D1377" s="9"/>
      <c r="E1377" s="10" t="s">
        <v>11</v>
      </c>
      <c r="F1377" s="28" t="str">
        <f>IF(H1377=-0.33,IF(H1375=H$1,H1375,""),"")</f>
        <v/>
      </c>
      <c r="G1377" s="26"/>
      <c r="H1377" s="29">
        <f>IF(H1376=1,IF(H1375=H$2,1,-0.33),0)</f>
        <v>0</v>
      </c>
    </row>
    <row r="1378" spans="2:8" x14ac:dyDescent="0.25">
      <c r="B1378" s="8" t="s">
        <v>12</v>
      </c>
      <c r="C1378" s="24" t="s">
        <v>825</v>
      </c>
      <c r="D1378" s="9"/>
      <c r="E1378" s="10" t="s">
        <v>12</v>
      </c>
      <c r="F1378" s="25"/>
      <c r="G1378" s="26"/>
      <c r="H1378" s="29"/>
    </row>
    <row r="1379" spans="2:8" x14ac:dyDescent="0.25">
      <c r="B1379" s="11"/>
      <c r="C1379" s="12"/>
      <c r="D1379" s="9"/>
      <c r="E1379" s="10" t="s">
        <v>13</v>
      </c>
      <c r="F1379" s="30"/>
      <c r="G1379" s="26"/>
      <c r="H1379" s="29"/>
    </row>
    <row r="1380" spans="2:8" x14ac:dyDescent="0.25">
      <c r="B1380" s="5">
        <v>24</v>
      </c>
      <c r="C1380" s="21" t="s">
        <v>826</v>
      </c>
      <c r="D1380" s="6"/>
      <c r="E1380" s="7"/>
      <c r="F1380" s="22"/>
      <c r="G1380" s="23"/>
      <c r="H1380" s="23"/>
    </row>
    <row r="1381" spans="2:8" x14ac:dyDescent="0.25">
      <c r="B1381" s="8" t="s">
        <v>9</v>
      </c>
      <c r="C1381" s="24" t="s">
        <v>827</v>
      </c>
      <c r="D1381" s="9"/>
      <c r="E1381" s="10" t="s">
        <v>9</v>
      </c>
      <c r="F1381" s="25"/>
      <c r="G1381" s="26"/>
      <c r="H1381" s="1" t="b">
        <f>IF(D1383="x",H$2,H$1)</f>
        <v>0</v>
      </c>
    </row>
    <row r="1382" spans="2:8" x14ac:dyDescent="0.25">
      <c r="B1382" s="8" t="s">
        <v>10</v>
      </c>
      <c r="C1382" s="24" t="s">
        <v>828</v>
      </c>
      <c r="D1382" s="9"/>
      <c r="E1382" s="10" t="s">
        <v>10</v>
      </c>
      <c r="F1382" s="27" t="str">
        <f>IF(H1383=1,IF(H1381=H$2,H1381,""),"")</f>
        <v/>
      </c>
      <c r="G1382" s="26"/>
      <c r="H1382" s="1" t="str">
        <f>IF(E1423="comprobar",COUNTIF(D1381:D1385,"x"),"")</f>
        <v/>
      </c>
    </row>
    <row r="1383" spans="2:8" x14ac:dyDescent="0.25">
      <c r="B1383" s="8" t="s">
        <v>11</v>
      </c>
      <c r="C1383" s="24" t="s">
        <v>829</v>
      </c>
      <c r="D1383" s="9"/>
      <c r="E1383" s="10" t="s">
        <v>11</v>
      </c>
      <c r="F1383" s="28" t="str">
        <f>IF(H1383=-0.33,IF(H1381=H$1,H1381,""),"")</f>
        <v/>
      </c>
      <c r="G1383" s="26"/>
      <c r="H1383" s="29">
        <f>IF(H1382=1,IF(H1381=H$2,1,-0.33),0)</f>
        <v>0</v>
      </c>
    </row>
    <row r="1384" spans="2:8" x14ac:dyDescent="0.25">
      <c r="B1384" s="8" t="s">
        <v>12</v>
      </c>
      <c r="C1384" s="24" t="s">
        <v>830</v>
      </c>
      <c r="D1384" s="9"/>
      <c r="E1384" s="10" t="s">
        <v>12</v>
      </c>
      <c r="F1384" s="25"/>
      <c r="G1384" s="26"/>
      <c r="H1384" s="1"/>
    </row>
    <row r="1385" spans="2:8" x14ac:dyDescent="0.25">
      <c r="B1385" s="11"/>
      <c r="C1385" s="12"/>
      <c r="D1385" s="9"/>
      <c r="E1385" s="10" t="s">
        <v>13</v>
      </c>
      <c r="F1385" s="30"/>
      <c r="G1385" s="26"/>
      <c r="H1385" s="15"/>
    </row>
    <row r="1386" spans="2:8" x14ac:dyDescent="0.25">
      <c r="B1386" s="5">
        <v>25</v>
      </c>
      <c r="C1386" s="21" t="s">
        <v>172</v>
      </c>
      <c r="D1386" s="6"/>
      <c r="E1386" s="7"/>
      <c r="F1386" s="22"/>
      <c r="G1386" s="31"/>
      <c r="H1386" s="31"/>
    </row>
    <row r="1387" spans="2:8" x14ac:dyDescent="0.25">
      <c r="B1387" s="8" t="s">
        <v>9</v>
      </c>
      <c r="C1387" s="24" t="s">
        <v>176</v>
      </c>
      <c r="D1387" s="9"/>
      <c r="E1387" s="10" t="s">
        <v>9</v>
      </c>
      <c r="F1387" s="25"/>
      <c r="G1387" s="32"/>
      <c r="H1387" s="1" t="b">
        <f>IF(D1388="x",H$2,H$1)</f>
        <v>0</v>
      </c>
    </row>
    <row r="1388" spans="2:8" x14ac:dyDescent="0.25">
      <c r="B1388" s="8" t="s">
        <v>10</v>
      </c>
      <c r="C1388" s="24" t="s">
        <v>175</v>
      </c>
      <c r="D1388" s="9"/>
      <c r="E1388" s="10" t="s">
        <v>10</v>
      </c>
      <c r="F1388" s="27" t="str">
        <f>IF(H1389=1,IF(H1387=H$2,H1387,""),"")</f>
        <v/>
      </c>
      <c r="G1388" s="32"/>
      <c r="H1388" s="1" t="str">
        <f>IF(E1423="comprobar",COUNTIF(D1387:D1391,"x"),"")</f>
        <v/>
      </c>
    </row>
    <row r="1389" spans="2:8" x14ac:dyDescent="0.25">
      <c r="B1389" s="8" t="s">
        <v>11</v>
      </c>
      <c r="C1389" s="24" t="s">
        <v>174</v>
      </c>
      <c r="D1389" s="9"/>
      <c r="E1389" s="10" t="s">
        <v>11</v>
      </c>
      <c r="F1389" s="28" t="str">
        <f>IF(H1389=-0.33,IF(H1387=H$1,H1387,""),"")</f>
        <v/>
      </c>
      <c r="G1389" s="32"/>
      <c r="H1389" s="29">
        <f>IF(H1388=1,IF(H1387=H$2,1,-0.33),0)</f>
        <v>0</v>
      </c>
    </row>
    <row r="1390" spans="2:8" x14ac:dyDescent="0.25">
      <c r="B1390" s="8" t="s">
        <v>12</v>
      </c>
      <c r="C1390" s="24" t="s">
        <v>173</v>
      </c>
      <c r="D1390" s="9"/>
      <c r="E1390" s="10" t="s">
        <v>12</v>
      </c>
      <c r="F1390" s="25"/>
      <c r="G1390" s="32"/>
      <c r="H1390" s="29"/>
    </row>
    <row r="1391" spans="2:8" x14ac:dyDescent="0.25">
      <c r="B1391" s="11"/>
      <c r="C1391" s="12"/>
      <c r="D1391" s="9"/>
      <c r="E1391" s="10" t="s">
        <v>13</v>
      </c>
      <c r="F1391" s="30"/>
      <c r="G1391" s="32"/>
      <c r="H1391" s="29"/>
    </row>
    <row r="1392" spans="2:8" x14ac:dyDescent="0.25">
      <c r="B1392" s="5">
        <v>26</v>
      </c>
      <c r="C1392" s="21" t="s">
        <v>831</v>
      </c>
      <c r="D1392" s="6"/>
      <c r="E1392" s="7"/>
      <c r="F1392" s="22"/>
      <c r="G1392" s="31"/>
      <c r="H1392" s="31"/>
    </row>
    <row r="1393" spans="2:8" x14ac:dyDescent="0.25">
      <c r="B1393" s="8" t="s">
        <v>9</v>
      </c>
      <c r="C1393" s="24" t="s">
        <v>170</v>
      </c>
      <c r="D1393" s="9"/>
      <c r="E1393" s="10" t="s">
        <v>9</v>
      </c>
      <c r="F1393" s="25"/>
      <c r="G1393" s="32"/>
      <c r="H1393" s="1" t="b">
        <f>IF(D1394="x",H$2,H$1)</f>
        <v>0</v>
      </c>
    </row>
    <row r="1394" spans="2:8" x14ac:dyDescent="0.25">
      <c r="B1394" s="8" t="s">
        <v>10</v>
      </c>
      <c r="C1394" s="24" t="s">
        <v>209</v>
      </c>
      <c r="D1394" s="9"/>
      <c r="E1394" s="10" t="s">
        <v>10</v>
      </c>
      <c r="F1394" s="27" t="str">
        <f>IF(H1395=1,IF(H1393=H$2,H1393,""),"")</f>
        <v/>
      </c>
      <c r="G1394" s="32"/>
      <c r="H1394" s="1" t="str">
        <f>IF(E1423="comprobar",COUNTIF(D1393:D1397,"x"),"")</f>
        <v/>
      </c>
    </row>
    <row r="1395" spans="2:8" x14ac:dyDescent="0.25">
      <c r="B1395" s="8" t="s">
        <v>11</v>
      </c>
      <c r="C1395" s="24" t="s">
        <v>171</v>
      </c>
      <c r="D1395" s="9"/>
      <c r="E1395" s="10" t="s">
        <v>11</v>
      </c>
      <c r="F1395" s="28" t="str">
        <f>IF(H1395=-0.33,IF(H1393=H$1,H1393,""),"")</f>
        <v/>
      </c>
      <c r="G1395" s="32"/>
      <c r="H1395" s="29">
        <f>IF(H1394=1,IF(H1393=H$2,1,-0.33),0)</f>
        <v>0</v>
      </c>
    </row>
    <row r="1396" spans="2:8" x14ac:dyDescent="0.25">
      <c r="B1396" s="8" t="s">
        <v>12</v>
      </c>
      <c r="C1396" s="24" t="s">
        <v>192</v>
      </c>
      <c r="D1396" s="9"/>
      <c r="E1396" s="10" t="s">
        <v>12</v>
      </c>
      <c r="F1396" s="25"/>
      <c r="G1396" s="32"/>
      <c r="H1396" s="29"/>
    </row>
    <row r="1397" spans="2:8" x14ac:dyDescent="0.25">
      <c r="B1397" s="11"/>
      <c r="C1397" s="12"/>
      <c r="D1397" s="9"/>
      <c r="E1397" s="10"/>
      <c r="F1397" s="25"/>
      <c r="G1397" s="32"/>
      <c r="H1397" s="29"/>
    </row>
    <row r="1398" spans="2:8" ht="31.5" x14ac:dyDescent="0.25">
      <c r="B1398" s="5">
        <v>27</v>
      </c>
      <c r="C1398" s="21" t="s">
        <v>832</v>
      </c>
      <c r="D1398" s="6"/>
      <c r="E1398" s="7"/>
      <c r="F1398" s="22"/>
      <c r="G1398" s="23"/>
      <c r="H1398" s="23"/>
    </row>
    <row r="1399" spans="2:8" x14ac:dyDescent="0.25">
      <c r="B1399" s="8" t="s">
        <v>9</v>
      </c>
      <c r="C1399" s="24" t="s">
        <v>833</v>
      </c>
      <c r="D1399" s="9"/>
      <c r="E1399" s="10" t="s">
        <v>9</v>
      </c>
      <c r="F1399" s="25"/>
      <c r="G1399" s="26"/>
      <c r="H1399" s="1" t="b">
        <f>IF(D1400="x",H$2,H$1)</f>
        <v>0</v>
      </c>
    </row>
    <row r="1400" spans="2:8" x14ac:dyDescent="0.25">
      <c r="B1400" s="8" t="s">
        <v>10</v>
      </c>
      <c r="C1400" s="24" t="s">
        <v>834</v>
      </c>
      <c r="D1400" s="9"/>
      <c r="E1400" s="10" t="s">
        <v>10</v>
      </c>
      <c r="F1400" s="27" t="str">
        <f>IF(H1401=1,IF(H1399=H$2,H1399,""),"")</f>
        <v/>
      </c>
      <c r="G1400" s="26"/>
      <c r="H1400" s="1" t="str">
        <f>IF(E1423="comprobar",COUNTIF(D1399:D1403,"x"),"")</f>
        <v/>
      </c>
    </row>
    <row r="1401" spans="2:8" x14ac:dyDescent="0.25">
      <c r="B1401" s="8" t="s">
        <v>11</v>
      </c>
      <c r="C1401" s="24" t="s">
        <v>835</v>
      </c>
      <c r="D1401" s="9"/>
      <c r="E1401" s="10" t="s">
        <v>11</v>
      </c>
      <c r="F1401" s="28" t="str">
        <f>IF(H1401=-0.33,IF(H1399=H$1,H1399,""),"")</f>
        <v/>
      </c>
      <c r="G1401" s="26"/>
      <c r="H1401" s="29">
        <f>IF(H1400=1,IF(H1399=H$2,1,-0.33),0)</f>
        <v>0</v>
      </c>
    </row>
    <row r="1402" spans="2:8" x14ac:dyDescent="0.25">
      <c r="B1402" s="8" t="s">
        <v>12</v>
      </c>
      <c r="C1402" s="24" t="s">
        <v>836</v>
      </c>
      <c r="D1402" s="9"/>
      <c r="E1402" s="10" t="s">
        <v>12</v>
      </c>
      <c r="F1402" s="25"/>
      <c r="G1402" s="26"/>
      <c r="H1402" s="29"/>
    </row>
    <row r="1403" spans="2:8" x14ac:dyDescent="0.25">
      <c r="B1403" s="11"/>
      <c r="C1403" s="12"/>
      <c r="D1403" s="9"/>
      <c r="E1403" s="10" t="s">
        <v>13</v>
      </c>
      <c r="F1403" s="30"/>
      <c r="G1403" s="26"/>
      <c r="H1403" s="29"/>
    </row>
    <row r="1404" spans="2:8" ht="31.5" x14ac:dyDescent="0.25">
      <c r="B1404" s="5">
        <v>28</v>
      </c>
      <c r="C1404" s="21" t="s">
        <v>208</v>
      </c>
      <c r="D1404" s="6"/>
      <c r="E1404" s="7"/>
      <c r="F1404" s="22"/>
      <c r="G1404" s="23"/>
      <c r="H1404" s="23"/>
    </row>
    <row r="1405" spans="2:8" x14ac:dyDescent="0.25">
      <c r="B1405" s="8" t="s">
        <v>9</v>
      </c>
      <c r="C1405" s="24" t="s">
        <v>209</v>
      </c>
      <c r="D1405" s="9"/>
      <c r="E1405" s="10" t="s">
        <v>9</v>
      </c>
      <c r="F1405" s="25"/>
      <c r="G1405" s="26"/>
      <c r="H1405" s="1" t="b">
        <f>IF(D1406="x",H$2,H$1)</f>
        <v>0</v>
      </c>
    </row>
    <row r="1406" spans="2:8" x14ac:dyDescent="0.25">
      <c r="B1406" s="8" t="s">
        <v>10</v>
      </c>
      <c r="C1406" s="24" t="s">
        <v>192</v>
      </c>
      <c r="D1406" s="9"/>
      <c r="E1406" s="10" t="s">
        <v>10</v>
      </c>
      <c r="F1406" s="27" t="str">
        <f>IF(H1407=1,IF(H1405=H$2,H1405,""),"")</f>
        <v/>
      </c>
      <c r="G1406" s="26"/>
      <c r="H1406" s="1" t="str">
        <f>IF(E1423="comprobar",COUNTIF(D1405:D1409,"x"),"")</f>
        <v/>
      </c>
    </row>
    <row r="1407" spans="2:8" x14ac:dyDescent="0.25">
      <c r="B1407" s="8" t="s">
        <v>11</v>
      </c>
      <c r="C1407" s="24" t="s">
        <v>170</v>
      </c>
      <c r="D1407" s="9"/>
      <c r="E1407" s="10" t="s">
        <v>11</v>
      </c>
      <c r="F1407" s="28" t="str">
        <f>IF(H1407=-0.33,IF(H1405=H$1,H1405,""),"")</f>
        <v/>
      </c>
      <c r="G1407" s="26"/>
      <c r="H1407" s="29">
        <f t="shared" ref="H1407" si="29">IF(H1406=1,IF(H1405=H$2,1,-0.33),0)</f>
        <v>0</v>
      </c>
    </row>
    <row r="1408" spans="2:8" x14ac:dyDescent="0.25">
      <c r="B1408" s="8" t="s">
        <v>12</v>
      </c>
      <c r="C1408" s="24" t="s">
        <v>171</v>
      </c>
      <c r="D1408" s="9"/>
      <c r="E1408" s="10" t="s">
        <v>12</v>
      </c>
      <c r="F1408" s="25"/>
      <c r="G1408" s="26"/>
      <c r="H1408" s="26"/>
    </row>
    <row r="1409" spans="2:8" x14ac:dyDescent="0.25">
      <c r="B1409" s="11"/>
      <c r="C1409" s="12"/>
      <c r="D1409" s="9"/>
      <c r="E1409" s="10" t="s">
        <v>13</v>
      </c>
      <c r="F1409" s="30"/>
      <c r="G1409" s="26"/>
      <c r="H1409" s="26"/>
    </row>
    <row r="1410" spans="2:8" x14ac:dyDescent="0.25">
      <c r="B1410" s="5">
        <v>29</v>
      </c>
      <c r="C1410" s="21" t="s">
        <v>837</v>
      </c>
      <c r="D1410" s="6"/>
      <c r="E1410" s="7"/>
      <c r="F1410" s="22"/>
      <c r="G1410" s="23"/>
      <c r="H1410" s="23"/>
    </row>
    <row r="1411" spans="2:8" x14ac:dyDescent="0.25">
      <c r="B1411" s="8" t="s">
        <v>9</v>
      </c>
      <c r="C1411" s="24" t="s">
        <v>838</v>
      </c>
      <c r="D1411" s="9"/>
      <c r="E1411" s="10" t="s">
        <v>9</v>
      </c>
      <c r="F1411" s="25"/>
      <c r="G1411" s="26"/>
      <c r="H1411" s="1" t="b">
        <f>IF(D1414="x",H$2,H$1)</f>
        <v>0</v>
      </c>
    </row>
    <row r="1412" spans="2:8" x14ac:dyDescent="0.25">
      <c r="B1412" s="8" t="s">
        <v>10</v>
      </c>
      <c r="C1412" s="24" t="s">
        <v>93</v>
      </c>
      <c r="D1412" s="9"/>
      <c r="E1412" s="10" t="s">
        <v>10</v>
      </c>
      <c r="F1412" s="27" t="str">
        <f>IF(H1413=1,IF(H1411=H$2,H1411,""),"")</f>
        <v/>
      </c>
      <c r="G1412" s="26"/>
      <c r="H1412" s="1" t="str">
        <f>IF(E1423="comprobar",COUNTIF(D1411:D1415,"x"),"")</f>
        <v/>
      </c>
    </row>
    <row r="1413" spans="2:8" x14ac:dyDescent="0.25">
      <c r="B1413" s="8" t="s">
        <v>11</v>
      </c>
      <c r="C1413" s="24" t="s">
        <v>839</v>
      </c>
      <c r="D1413" s="9"/>
      <c r="E1413" s="10" t="s">
        <v>11</v>
      </c>
      <c r="F1413" s="28" t="str">
        <f>IF(H1413=-0.33,IF(H1411=H$1,H1411,""),"")</f>
        <v/>
      </c>
      <c r="G1413" s="26"/>
      <c r="H1413" s="29">
        <f>IF(H1412=1,IF(H1411=H$2,1,-0.33),0)</f>
        <v>0</v>
      </c>
    </row>
    <row r="1414" spans="2:8" x14ac:dyDescent="0.25">
      <c r="B1414" s="8" t="s">
        <v>12</v>
      </c>
      <c r="C1414" s="24" t="s">
        <v>840</v>
      </c>
      <c r="D1414" s="9"/>
      <c r="E1414" s="10" t="s">
        <v>12</v>
      </c>
      <c r="F1414" s="25"/>
      <c r="G1414" s="26"/>
      <c r="H1414" s="26"/>
    </row>
    <row r="1415" spans="2:8" x14ac:dyDescent="0.25">
      <c r="B1415" s="11"/>
      <c r="C1415" s="12"/>
      <c r="D1415" s="9"/>
      <c r="E1415" s="10" t="s">
        <v>13</v>
      </c>
      <c r="F1415" s="30"/>
      <c r="G1415" s="26"/>
      <c r="H1415" s="26"/>
    </row>
    <row r="1416" spans="2:8" x14ac:dyDescent="0.25">
      <c r="B1416" s="5">
        <v>30</v>
      </c>
      <c r="C1416" s="21" t="s">
        <v>841</v>
      </c>
      <c r="D1416" s="6"/>
      <c r="E1416" s="7"/>
      <c r="F1416" s="22"/>
      <c r="G1416" s="23"/>
      <c r="H1416" s="23"/>
    </row>
    <row r="1417" spans="2:8" x14ac:dyDescent="0.25">
      <c r="B1417" s="8" t="s">
        <v>9</v>
      </c>
      <c r="C1417" s="24" t="s">
        <v>842</v>
      </c>
      <c r="D1417" s="9"/>
      <c r="E1417" s="10" t="s">
        <v>9</v>
      </c>
      <c r="F1417" s="25"/>
      <c r="G1417" s="26"/>
      <c r="H1417" s="1" t="b">
        <f>IF(D1420="x",H$2,H$1)</f>
        <v>0</v>
      </c>
    </row>
    <row r="1418" spans="2:8" x14ac:dyDescent="0.25">
      <c r="B1418" s="8" t="s">
        <v>10</v>
      </c>
      <c r="C1418" s="24" t="s">
        <v>843</v>
      </c>
      <c r="D1418" s="9"/>
      <c r="E1418" s="10" t="s">
        <v>10</v>
      </c>
      <c r="F1418" s="27" t="str">
        <f>IF(H1419=1,IF(H1417=H$2,H1417,""),"")</f>
        <v/>
      </c>
      <c r="G1418" s="26"/>
      <c r="H1418" s="1" t="str">
        <f>IF(E1423="comprobar",COUNTIF(D1417:D1421,"x"),"")</f>
        <v/>
      </c>
    </row>
    <row r="1419" spans="2:8" x14ac:dyDescent="0.25">
      <c r="B1419" s="8" t="s">
        <v>11</v>
      </c>
      <c r="C1419" s="24" t="s">
        <v>844</v>
      </c>
      <c r="D1419" s="9"/>
      <c r="E1419" s="10" t="s">
        <v>11</v>
      </c>
      <c r="F1419" s="28" t="str">
        <f>IF(H1419=-0.33,IF(H1417=H$1,H1417,""),"")</f>
        <v/>
      </c>
      <c r="G1419" s="26"/>
      <c r="H1419" s="29">
        <f>IF(H1418=1,IF(H1417=H$2,1,-0.33),0)</f>
        <v>0</v>
      </c>
    </row>
    <row r="1420" spans="2:8" x14ac:dyDescent="0.25">
      <c r="B1420" s="8" t="s">
        <v>12</v>
      </c>
      <c r="C1420" s="24" t="s">
        <v>845</v>
      </c>
      <c r="D1420" s="9"/>
      <c r="E1420" s="10" t="s">
        <v>12</v>
      </c>
      <c r="F1420" s="25"/>
      <c r="G1420" s="26"/>
      <c r="H1420" s="29"/>
    </row>
    <row r="1421" spans="2:8" x14ac:dyDescent="0.25">
      <c r="B1421" s="11"/>
      <c r="C1421" s="12"/>
      <c r="D1421" s="9"/>
      <c r="E1421" s="10" t="s">
        <v>13</v>
      </c>
      <c r="F1421" s="30"/>
      <c r="G1421" s="26"/>
      <c r="H1421" s="29"/>
    </row>
    <row r="1422" spans="2:8" x14ac:dyDescent="0.25">
      <c r="B1422" s="46"/>
      <c r="C1422" s="46"/>
      <c r="D1422" s="34"/>
      <c r="E1422" s="26"/>
      <c r="F1422" s="30"/>
      <c r="G1422" s="26"/>
      <c r="H1422" s="29"/>
    </row>
    <row r="1423" spans="2:8" x14ac:dyDescent="0.25">
      <c r="B1423" s="33"/>
      <c r="C1423" s="4"/>
      <c r="D1423" s="34"/>
      <c r="E1423" s="35"/>
      <c r="F1423" s="30"/>
      <c r="G1423" s="26"/>
      <c r="H1423" s="26"/>
    </row>
    <row r="1424" spans="2:8" x14ac:dyDescent="0.25">
      <c r="B1424" s="33"/>
      <c r="C1424" s="4"/>
      <c r="D1424" s="34"/>
      <c r="E1424" s="36"/>
      <c r="F1424" s="37" t="s">
        <v>8</v>
      </c>
      <c r="G1424" s="26" t="s">
        <v>6</v>
      </c>
      <c r="H1424" s="26" t="s">
        <v>7</v>
      </c>
    </row>
    <row r="1425" spans="2:8" ht="19.5" x14ac:dyDescent="0.25">
      <c r="B1425" s="33"/>
      <c r="C1425" s="38"/>
      <c r="D1425" s="51"/>
      <c r="E1425" s="51"/>
      <c r="F1425" s="39" t="str">
        <f>IF(E1423="comprobar",H1299+H1293+H1287+H1281+H1275+H1269+H1263+H1257+H1251+H1245+H1305+H1311+H1317+H1323+H1329+H1419+H1413+H1407+H1401+H1395+H1389+H1383+H1377+H1371+H1365+H1359+H1353+H1347+H1341+H1335,"")</f>
        <v/>
      </c>
      <c r="G1425" s="26">
        <f>10/2</f>
        <v>5</v>
      </c>
      <c r="H1425" s="26"/>
    </row>
    <row r="1426" spans="2:8" ht="16.5" thickBot="1" x14ac:dyDescent="0.3">
      <c r="B1426" s="40"/>
      <c r="C1426" s="41"/>
      <c r="D1426" s="42"/>
      <c r="E1426" s="43"/>
      <c r="F1426" s="44" t="str">
        <f>IF(F1425&gt;G1425,G1424,H1424)</f>
        <v>APROBADO</v>
      </c>
      <c r="G1426" s="26"/>
      <c r="H1426" s="26"/>
    </row>
    <row r="1427" spans="2:8" ht="28.5" x14ac:dyDescent="0.45">
      <c r="B1427" s="19" t="s">
        <v>81</v>
      </c>
      <c r="C1427" s="49" t="s">
        <v>716</v>
      </c>
      <c r="D1427" s="49"/>
      <c r="E1427" s="49"/>
      <c r="F1427" s="50"/>
      <c r="G1427" s="20"/>
      <c r="H1427" s="20"/>
    </row>
    <row r="1428" spans="2:8" x14ac:dyDescent="0.25">
      <c r="B1428" s="5">
        <v>1</v>
      </c>
      <c r="C1428" s="21" t="s">
        <v>846</v>
      </c>
      <c r="D1428" s="6"/>
      <c r="E1428" s="23"/>
      <c r="F1428" s="22"/>
      <c r="G1428" s="23"/>
      <c r="H1428" s="23"/>
    </row>
    <row r="1429" spans="2:8" x14ac:dyDescent="0.25">
      <c r="B1429" s="8" t="s">
        <v>9</v>
      </c>
      <c r="C1429" s="24" t="s">
        <v>847</v>
      </c>
      <c r="D1429" s="9"/>
      <c r="E1429" s="26" t="s">
        <v>9</v>
      </c>
      <c r="F1429" s="25"/>
      <c r="G1429" s="26"/>
      <c r="H1429" s="1" t="b">
        <f>IF(D1432="x",H$2,H$1)</f>
        <v>0</v>
      </c>
    </row>
    <row r="1430" spans="2:8" x14ac:dyDescent="0.25">
      <c r="B1430" s="8" t="s">
        <v>10</v>
      </c>
      <c r="C1430" s="24" t="s">
        <v>848</v>
      </c>
      <c r="D1430" s="9"/>
      <c r="E1430" s="26" t="s">
        <v>10</v>
      </c>
      <c r="F1430" s="27" t="str">
        <f>IF(H1431=1,IF(H1429=H$2,H1429,""),"")</f>
        <v/>
      </c>
      <c r="G1430" s="26"/>
      <c r="H1430" s="1" t="str">
        <f>IF(E1609="comprobar",COUNTIF(D1429:D1433,"x"),"")</f>
        <v/>
      </c>
    </row>
    <row r="1431" spans="2:8" x14ac:dyDescent="0.25">
      <c r="B1431" s="8" t="s">
        <v>11</v>
      </c>
      <c r="C1431" s="24" t="s">
        <v>849</v>
      </c>
      <c r="D1431" s="9"/>
      <c r="E1431" s="26" t="s">
        <v>11</v>
      </c>
      <c r="F1431" s="28" t="str">
        <f>IF(H1431=-0.33,IF(H1429=H$1,H1429,""),"")</f>
        <v/>
      </c>
      <c r="G1431" s="26"/>
      <c r="H1431" s="29">
        <f>IF(H1430=1,IF(H1429=H$2,1,-0.33),0)</f>
        <v>0</v>
      </c>
    </row>
    <row r="1432" spans="2:8" x14ac:dyDescent="0.25">
      <c r="B1432" s="8" t="s">
        <v>12</v>
      </c>
      <c r="C1432" s="24" t="s">
        <v>32</v>
      </c>
      <c r="D1432" s="9"/>
      <c r="E1432" s="26" t="s">
        <v>12</v>
      </c>
      <c r="F1432" s="25"/>
      <c r="G1432" s="26"/>
      <c r="H1432" s="29"/>
    </row>
    <row r="1433" spans="2:8" x14ac:dyDescent="0.25">
      <c r="B1433" s="11"/>
      <c r="C1433" s="12"/>
      <c r="D1433" s="9"/>
      <c r="E1433" s="26" t="s">
        <v>13</v>
      </c>
      <c r="F1433" s="30"/>
      <c r="G1433" s="26"/>
      <c r="H1433" s="29"/>
    </row>
    <row r="1434" spans="2:8" ht="31.5" x14ac:dyDescent="0.25">
      <c r="B1434" s="5">
        <v>2</v>
      </c>
      <c r="C1434" s="21" t="s">
        <v>850</v>
      </c>
      <c r="D1434" s="6"/>
      <c r="E1434" s="23"/>
      <c r="F1434" s="22"/>
      <c r="G1434" s="23"/>
      <c r="H1434" s="23"/>
    </row>
    <row r="1435" spans="2:8" x14ac:dyDescent="0.25">
      <c r="B1435" s="8" t="s">
        <v>9</v>
      </c>
      <c r="C1435" s="24" t="s">
        <v>235</v>
      </c>
      <c r="D1435" s="9"/>
      <c r="E1435" s="26" t="s">
        <v>9</v>
      </c>
      <c r="F1435" s="25"/>
      <c r="G1435" s="26"/>
      <c r="H1435" s="1" t="b">
        <f t="shared" ref="H1435" si="30">IF(D1437="x",H$2,H$1)</f>
        <v>0</v>
      </c>
    </row>
    <row r="1436" spans="2:8" x14ac:dyDescent="0.25">
      <c r="B1436" s="8" t="s">
        <v>10</v>
      </c>
      <c r="C1436" s="24" t="s">
        <v>237</v>
      </c>
      <c r="D1436" s="9"/>
      <c r="E1436" s="26" t="s">
        <v>10</v>
      </c>
      <c r="F1436" s="27" t="str">
        <f>IF(H1437=1,IF(H1435=H$2,H1435,""),"")</f>
        <v/>
      </c>
      <c r="G1436" s="26"/>
      <c r="H1436" s="1" t="str">
        <f>IF(E1609="comprobar",COUNTIF(D1435:D1439,"x"),"")</f>
        <v/>
      </c>
    </row>
    <row r="1437" spans="2:8" x14ac:dyDescent="0.25">
      <c r="B1437" s="8" t="s">
        <v>11</v>
      </c>
      <c r="C1437" s="24" t="s">
        <v>851</v>
      </c>
      <c r="D1437" s="9"/>
      <c r="E1437" s="26" t="s">
        <v>11</v>
      </c>
      <c r="F1437" s="28" t="str">
        <f>IF(H1437=-0.33,IF(H1435=H$1,H1435,""),"")</f>
        <v/>
      </c>
      <c r="G1437" s="26"/>
      <c r="H1437" s="29">
        <f t="shared" ref="H1437" si="31">IF(H1436=1,IF(H1435=H$2,1,-0.33),0)</f>
        <v>0</v>
      </c>
    </row>
    <row r="1438" spans="2:8" x14ac:dyDescent="0.25">
      <c r="B1438" s="8" t="s">
        <v>12</v>
      </c>
      <c r="C1438" s="24" t="s">
        <v>368</v>
      </c>
      <c r="D1438" s="9"/>
      <c r="E1438" s="26" t="s">
        <v>12</v>
      </c>
      <c r="F1438" s="25"/>
      <c r="G1438" s="26"/>
      <c r="H1438" s="29"/>
    </row>
    <row r="1439" spans="2:8" x14ac:dyDescent="0.25">
      <c r="B1439" s="11"/>
      <c r="C1439" s="12"/>
      <c r="D1439" s="9"/>
      <c r="E1439" s="26" t="s">
        <v>13</v>
      </c>
      <c r="F1439" s="30"/>
      <c r="G1439" s="26"/>
      <c r="H1439" s="29"/>
    </row>
    <row r="1440" spans="2:8" x14ac:dyDescent="0.25">
      <c r="B1440" s="5">
        <v>3</v>
      </c>
      <c r="C1440" s="21" t="s">
        <v>852</v>
      </c>
      <c r="D1440" s="6"/>
      <c r="E1440" s="23"/>
      <c r="F1440" s="22"/>
      <c r="G1440" s="23"/>
      <c r="H1440" s="23"/>
    </row>
    <row r="1441" spans="2:8" x14ac:dyDescent="0.25">
      <c r="B1441" s="8" t="s">
        <v>9</v>
      </c>
      <c r="C1441" s="24" t="s">
        <v>825</v>
      </c>
      <c r="D1441" s="9"/>
      <c r="E1441" s="26" t="s">
        <v>9</v>
      </c>
      <c r="F1441" s="25"/>
      <c r="G1441" s="26"/>
      <c r="H1441" s="1" t="b">
        <f>IF(D1442="x",H$2,H$1)</f>
        <v>0</v>
      </c>
    </row>
    <row r="1442" spans="2:8" x14ac:dyDescent="0.25">
      <c r="B1442" s="8" t="s">
        <v>10</v>
      </c>
      <c r="C1442" s="24" t="s">
        <v>853</v>
      </c>
      <c r="D1442" s="9"/>
      <c r="E1442" s="26" t="s">
        <v>10</v>
      </c>
      <c r="F1442" s="27" t="str">
        <f>IF(H1443=1,IF(H1441=H$2,H1441,""),"")</f>
        <v/>
      </c>
      <c r="G1442" s="26"/>
      <c r="H1442" s="1" t="str">
        <f>IF(E1609="comprobar",COUNTIF(D1441:D1445,"x"),"")</f>
        <v/>
      </c>
    </row>
    <row r="1443" spans="2:8" x14ac:dyDescent="0.25">
      <c r="B1443" s="8" t="s">
        <v>11</v>
      </c>
      <c r="C1443" s="24" t="s">
        <v>854</v>
      </c>
      <c r="D1443" s="9"/>
      <c r="E1443" s="26" t="s">
        <v>11</v>
      </c>
      <c r="F1443" s="28" t="str">
        <f>IF(H1443=-0.33,IF(H1441=H$1,H1441,""),"")</f>
        <v/>
      </c>
      <c r="G1443" s="26"/>
      <c r="H1443" s="29">
        <f t="shared" ref="H1443" si="32">IF(H1442=1,IF(H1441=H$2,1,-0.33),0)</f>
        <v>0</v>
      </c>
    </row>
    <row r="1444" spans="2:8" x14ac:dyDescent="0.25">
      <c r="B1444" s="8" t="s">
        <v>12</v>
      </c>
      <c r="C1444" s="24" t="s">
        <v>855</v>
      </c>
      <c r="D1444" s="9"/>
      <c r="E1444" s="26" t="s">
        <v>12</v>
      </c>
      <c r="F1444" s="25"/>
      <c r="G1444" s="26"/>
      <c r="H1444" s="29"/>
    </row>
    <row r="1445" spans="2:8" x14ac:dyDescent="0.25">
      <c r="B1445" s="11"/>
      <c r="C1445" s="12"/>
      <c r="D1445" s="9"/>
      <c r="E1445" s="26" t="s">
        <v>13</v>
      </c>
      <c r="F1445" s="30"/>
      <c r="G1445" s="26"/>
      <c r="H1445" s="29"/>
    </row>
    <row r="1446" spans="2:8" x14ac:dyDescent="0.25">
      <c r="B1446" s="5">
        <v>4</v>
      </c>
      <c r="C1446" s="21" t="s">
        <v>247</v>
      </c>
      <c r="D1446" s="6"/>
      <c r="E1446" s="23"/>
      <c r="F1446" s="22"/>
      <c r="G1446" s="23"/>
      <c r="H1446" s="23"/>
    </row>
    <row r="1447" spans="2:8" x14ac:dyDescent="0.25">
      <c r="B1447" s="8" t="s">
        <v>9</v>
      </c>
      <c r="C1447" s="24" t="s">
        <v>248</v>
      </c>
      <c r="D1447" s="9"/>
      <c r="E1447" s="26" t="s">
        <v>9</v>
      </c>
      <c r="F1447" s="25"/>
      <c r="G1447" s="26"/>
      <c r="H1447" s="1" t="b">
        <f>IF(D1450="x",H$2,H$1)</f>
        <v>0</v>
      </c>
    </row>
    <row r="1448" spans="2:8" x14ac:dyDescent="0.25">
      <c r="B1448" s="8" t="s">
        <v>10</v>
      </c>
      <c r="C1448" s="24" t="s">
        <v>250</v>
      </c>
      <c r="D1448" s="9"/>
      <c r="E1448" s="26" t="s">
        <v>10</v>
      </c>
      <c r="F1448" s="27" t="str">
        <f>IF(H1449=1,IF(H1447=H$2,H1447,""),"")</f>
        <v/>
      </c>
      <c r="G1448" s="26"/>
      <c r="H1448" s="1" t="str">
        <f>IF(E1609="comprobar",COUNTIF(D1447:D1451,"x"),"")</f>
        <v/>
      </c>
    </row>
    <row r="1449" spans="2:8" x14ac:dyDescent="0.25">
      <c r="B1449" s="8" t="s">
        <v>11</v>
      </c>
      <c r="C1449" s="24" t="s">
        <v>249</v>
      </c>
      <c r="D1449" s="9"/>
      <c r="E1449" s="26" t="s">
        <v>11</v>
      </c>
      <c r="F1449" s="28" t="str">
        <f>IF(H1449=-0.33,IF(H1447=H$1,H1447,""),"")</f>
        <v/>
      </c>
      <c r="G1449" s="26"/>
      <c r="H1449" s="29">
        <f t="shared" ref="H1449" si="33">IF(H1448=1,IF(H1447=H$2,1,-0.33),0)</f>
        <v>0</v>
      </c>
    </row>
    <row r="1450" spans="2:8" x14ac:dyDescent="0.25">
      <c r="B1450" s="8" t="s">
        <v>12</v>
      </c>
      <c r="C1450" s="24" t="s">
        <v>32</v>
      </c>
      <c r="D1450" s="9"/>
      <c r="E1450" s="26" t="s">
        <v>12</v>
      </c>
      <c r="F1450" s="25"/>
      <c r="G1450" s="26"/>
      <c r="H1450" s="29"/>
    </row>
    <row r="1451" spans="2:8" x14ac:dyDescent="0.25">
      <c r="B1451" s="11"/>
      <c r="C1451" s="12"/>
      <c r="D1451" s="9"/>
      <c r="E1451" s="26" t="s">
        <v>13</v>
      </c>
      <c r="F1451" s="30"/>
      <c r="G1451" s="26"/>
      <c r="H1451" s="29"/>
    </row>
    <row r="1452" spans="2:8" ht="31.5" x14ac:dyDescent="0.25">
      <c r="B1452" s="5">
        <v>5</v>
      </c>
      <c r="C1452" s="21" t="s">
        <v>856</v>
      </c>
      <c r="D1452" s="6"/>
      <c r="E1452" s="23"/>
      <c r="F1452" s="22"/>
      <c r="G1452" s="23"/>
      <c r="H1452" s="23"/>
    </row>
    <row r="1453" spans="2:8" x14ac:dyDescent="0.25">
      <c r="B1453" s="8" t="s">
        <v>9</v>
      </c>
      <c r="C1453" s="24" t="s">
        <v>857</v>
      </c>
      <c r="D1453" s="9"/>
      <c r="E1453" s="26" t="s">
        <v>9</v>
      </c>
      <c r="F1453" s="25"/>
      <c r="G1453" s="26"/>
      <c r="H1453" s="1" t="b">
        <f>IF(D1454="x",H$2,H$1)</f>
        <v>0</v>
      </c>
    </row>
    <row r="1454" spans="2:8" x14ac:dyDescent="0.25">
      <c r="B1454" s="8" t="s">
        <v>10</v>
      </c>
      <c r="C1454" s="24" t="s">
        <v>258</v>
      </c>
      <c r="D1454" s="9"/>
      <c r="E1454" s="26" t="s">
        <v>10</v>
      </c>
      <c r="F1454" s="27" t="str">
        <f>IF(H1455=1,IF(H1453=H$2,H1453,""),"")</f>
        <v/>
      </c>
      <c r="G1454" s="26"/>
      <c r="H1454" s="1" t="str">
        <f>IF(E1609="comprobar",COUNTIF(D1453:D1457,"x"),"")</f>
        <v/>
      </c>
    </row>
    <row r="1455" spans="2:8" x14ac:dyDescent="0.25">
      <c r="B1455" s="8" t="s">
        <v>11</v>
      </c>
      <c r="C1455" s="24" t="s">
        <v>259</v>
      </c>
      <c r="D1455" s="9"/>
      <c r="E1455" s="26" t="s">
        <v>11</v>
      </c>
      <c r="F1455" s="28" t="str">
        <f>IF(H1455=-0.33,IF(H1453=H$1,H1453,""),"")</f>
        <v/>
      </c>
      <c r="G1455" s="26"/>
      <c r="H1455" s="29">
        <f t="shared" ref="H1455" si="34">IF(H1454=1,IF(H1453=H$2,1,-0.33),0)</f>
        <v>0</v>
      </c>
    </row>
    <row r="1456" spans="2:8" x14ac:dyDescent="0.25">
      <c r="B1456" s="8" t="s">
        <v>12</v>
      </c>
      <c r="C1456" s="24" t="s">
        <v>260</v>
      </c>
      <c r="D1456" s="9"/>
      <c r="E1456" s="26" t="s">
        <v>12</v>
      </c>
      <c r="F1456" s="25"/>
      <c r="G1456" s="26"/>
      <c r="H1456" s="29"/>
    </row>
    <row r="1457" spans="2:8" x14ac:dyDescent="0.25">
      <c r="B1457" s="11"/>
      <c r="C1457" s="12"/>
      <c r="D1457" s="9"/>
      <c r="E1457" s="26" t="s">
        <v>13</v>
      </c>
      <c r="F1457" s="30"/>
      <c r="G1457" s="26"/>
      <c r="H1457" s="29"/>
    </row>
    <row r="1458" spans="2:8" x14ac:dyDescent="0.25">
      <c r="B1458" s="5">
        <v>6</v>
      </c>
      <c r="C1458" s="21" t="s">
        <v>264</v>
      </c>
      <c r="D1458" s="6"/>
      <c r="E1458" s="23"/>
      <c r="F1458" s="22"/>
      <c r="G1458" s="23"/>
      <c r="H1458" s="23"/>
    </row>
    <row r="1459" spans="2:8" x14ac:dyDescent="0.25">
      <c r="B1459" s="8" t="s">
        <v>9</v>
      </c>
      <c r="C1459" s="24" t="s">
        <v>268</v>
      </c>
      <c r="D1459" s="9"/>
      <c r="E1459" s="26" t="s">
        <v>9</v>
      </c>
      <c r="F1459" s="25"/>
      <c r="G1459" s="26"/>
      <c r="H1459" s="1" t="b">
        <f>IF(D1461="x",H$2,H$1)</f>
        <v>0</v>
      </c>
    </row>
    <row r="1460" spans="2:8" x14ac:dyDescent="0.25">
      <c r="B1460" s="8" t="s">
        <v>10</v>
      </c>
      <c r="C1460" s="24" t="s">
        <v>265</v>
      </c>
      <c r="D1460" s="9"/>
      <c r="E1460" s="26" t="s">
        <v>10</v>
      </c>
      <c r="F1460" s="27" t="str">
        <f>IF(H1461=1,IF(H1459=H$2,H1459,""),"")</f>
        <v/>
      </c>
      <c r="G1460" s="26"/>
      <c r="H1460" s="1" t="str">
        <f>IF(E1609="comprobar",COUNTIF(D1459:D1463,"x"),"")</f>
        <v/>
      </c>
    </row>
    <row r="1461" spans="2:8" x14ac:dyDescent="0.25">
      <c r="B1461" s="8" t="s">
        <v>11</v>
      </c>
      <c r="C1461" s="24" t="s">
        <v>267</v>
      </c>
      <c r="D1461" s="9"/>
      <c r="E1461" s="26" t="s">
        <v>11</v>
      </c>
      <c r="F1461" s="28" t="str">
        <f>IF(H1461=-0.33,IF(H1459=H$1,H1459,""),"")</f>
        <v/>
      </c>
      <c r="G1461" s="26"/>
      <c r="H1461" s="29">
        <f>IF(H1460=1,IF(H1459=H$2,1,-0.33),0)</f>
        <v>0</v>
      </c>
    </row>
    <row r="1462" spans="2:8" x14ac:dyDescent="0.25">
      <c r="B1462" s="8" t="s">
        <v>12</v>
      </c>
      <c r="C1462" s="24" t="s">
        <v>858</v>
      </c>
      <c r="D1462" s="9"/>
      <c r="E1462" s="26" t="s">
        <v>12</v>
      </c>
      <c r="F1462" s="25"/>
      <c r="G1462" s="26"/>
      <c r="H1462" s="26"/>
    </row>
    <row r="1463" spans="2:8" x14ac:dyDescent="0.25">
      <c r="B1463" s="11"/>
      <c r="C1463" s="12"/>
      <c r="D1463" s="9"/>
      <c r="E1463" s="26" t="s">
        <v>13</v>
      </c>
      <c r="F1463" s="30"/>
      <c r="G1463" s="26"/>
      <c r="H1463" s="26"/>
    </row>
    <row r="1464" spans="2:8" x14ac:dyDescent="0.25">
      <c r="B1464" s="5">
        <v>7</v>
      </c>
      <c r="C1464" s="21" t="s">
        <v>859</v>
      </c>
      <c r="D1464" s="6"/>
      <c r="E1464" s="23"/>
      <c r="F1464" s="22"/>
      <c r="G1464" s="23"/>
      <c r="H1464" s="23"/>
    </row>
    <row r="1465" spans="2:8" x14ac:dyDescent="0.25">
      <c r="B1465" s="8" t="s">
        <v>9</v>
      </c>
      <c r="C1465" s="24" t="s">
        <v>254</v>
      </c>
      <c r="D1465" s="9"/>
      <c r="E1465" s="26" t="s">
        <v>9</v>
      </c>
      <c r="F1465" s="25"/>
      <c r="G1465" s="26"/>
      <c r="H1465" s="1" t="b">
        <f>IF(D1466="x",H$2,H$1)</f>
        <v>0</v>
      </c>
    </row>
    <row r="1466" spans="2:8" x14ac:dyDescent="0.25">
      <c r="B1466" s="8" t="s">
        <v>10</v>
      </c>
      <c r="C1466" s="24" t="s">
        <v>860</v>
      </c>
      <c r="D1466" s="9"/>
      <c r="E1466" s="26" t="s">
        <v>10</v>
      </c>
      <c r="F1466" s="27" t="str">
        <f>IF(H1467=1,IF(H1465=H$2,H1465,""),"")</f>
        <v/>
      </c>
      <c r="G1466" s="26"/>
      <c r="H1466" s="1" t="str">
        <f>IF(E1609="comprobar",COUNTIF(D1465:D1469,"x"),"")</f>
        <v/>
      </c>
    </row>
    <row r="1467" spans="2:8" x14ac:dyDescent="0.25">
      <c r="B1467" s="8" t="s">
        <v>11</v>
      </c>
      <c r="C1467" s="24" t="s">
        <v>861</v>
      </c>
      <c r="D1467" s="9"/>
      <c r="E1467" s="26" t="s">
        <v>11</v>
      </c>
      <c r="F1467" s="28" t="str">
        <f>IF(H1467=-0.33,IF(H1465=H$1,H1465,""),"")</f>
        <v/>
      </c>
      <c r="G1467" s="26"/>
      <c r="H1467" s="29">
        <f>IF(H1466=1,IF(H1465=H$2,1,-0.33),0)</f>
        <v>0</v>
      </c>
    </row>
    <row r="1468" spans="2:8" x14ac:dyDescent="0.25">
      <c r="B1468" s="8" t="s">
        <v>12</v>
      </c>
      <c r="C1468" s="24" t="s">
        <v>252</v>
      </c>
      <c r="D1468" s="9"/>
      <c r="E1468" s="26" t="s">
        <v>12</v>
      </c>
      <c r="F1468" s="25"/>
      <c r="G1468" s="26"/>
      <c r="H1468" s="29"/>
    </row>
    <row r="1469" spans="2:8" x14ac:dyDescent="0.25">
      <c r="B1469" s="11"/>
      <c r="C1469" s="12"/>
      <c r="D1469" s="9"/>
      <c r="E1469" s="26" t="s">
        <v>13</v>
      </c>
      <c r="F1469" s="30"/>
      <c r="G1469" s="26"/>
      <c r="H1469" s="29"/>
    </row>
    <row r="1470" spans="2:8" ht="31.5" x14ac:dyDescent="0.25">
      <c r="B1470" s="5">
        <v>8</v>
      </c>
      <c r="C1470" s="21" t="s">
        <v>862</v>
      </c>
      <c r="D1470" s="6"/>
      <c r="E1470" s="23"/>
      <c r="F1470" s="22"/>
      <c r="G1470" s="23"/>
      <c r="H1470" s="23"/>
    </row>
    <row r="1471" spans="2:8" x14ac:dyDescent="0.25">
      <c r="B1471" s="8" t="s">
        <v>9</v>
      </c>
      <c r="C1471" s="24" t="s">
        <v>853</v>
      </c>
      <c r="D1471" s="9"/>
      <c r="E1471" s="26" t="s">
        <v>9</v>
      </c>
      <c r="F1471" s="25"/>
      <c r="G1471" s="26"/>
      <c r="H1471" s="1" t="b">
        <f>IF(D1474="x",H$2,H$1)</f>
        <v>0</v>
      </c>
    </row>
    <row r="1472" spans="2:8" x14ac:dyDescent="0.25">
      <c r="B1472" s="8" t="s">
        <v>10</v>
      </c>
      <c r="C1472" s="24" t="s">
        <v>863</v>
      </c>
      <c r="D1472" s="9"/>
      <c r="E1472" s="26" t="s">
        <v>10</v>
      </c>
      <c r="F1472" s="27" t="str">
        <f>IF(H1473=1,IF(H1471=H$2,H1471,""),"")</f>
        <v/>
      </c>
      <c r="G1472" s="26"/>
      <c r="H1472" s="1" t="str">
        <f>IF(E1609="comprobar",COUNTIF(D1471:D1475,"x"),"")</f>
        <v/>
      </c>
    </row>
    <row r="1473" spans="2:8" x14ac:dyDescent="0.25">
      <c r="B1473" s="8" t="s">
        <v>11</v>
      </c>
      <c r="C1473" s="24" t="s">
        <v>227</v>
      </c>
      <c r="D1473" s="9"/>
      <c r="E1473" s="26" t="s">
        <v>11</v>
      </c>
      <c r="F1473" s="28" t="str">
        <f>IF(H1473=-0.33,IF(H1471=H$1,H1471,""),"")</f>
        <v/>
      </c>
      <c r="G1473" s="26"/>
      <c r="H1473" s="29">
        <f>IF(H1472=1,IF(H1471=H$2,1,-0.33),0)</f>
        <v>0</v>
      </c>
    </row>
    <row r="1474" spans="2:8" x14ac:dyDescent="0.25">
      <c r="B1474" s="8" t="s">
        <v>12</v>
      </c>
      <c r="C1474" s="24" t="s">
        <v>864</v>
      </c>
      <c r="D1474" s="9"/>
      <c r="E1474" s="26" t="s">
        <v>12</v>
      </c>
      <c r="F1474" s="25"/>
      <c r="G1474" s="26"/>
      <c r="H1474" s="29"/>
    </row>
    <row r="1475" spans="2:8" x14ac:dyDescent="0.25">
      <c r="B1475" s="11"/>
      <c r="C1475" s="12"/>
      <c r="D1475" s="9"/>
      <c r="E1475" s="26" t="s">
        <v>13</v>
      </c>
      <c r="F1475" s="30"/>
      <c r="G1475" s="26"/>
      <c r="H1475" s="29"/>
    </row>
    <row r="1476" spans="2:8" x14ac:dyDescent="0.25">
      <c r="B1476" s="5">
        <v>9</v>
      </c>
      <c r="C1476" s="21" t="s">
        <v>865</v>
      </c>
      <c r="D1476" s="6"/>
      <c r="E1476" s="23"/>
      <c r="F1476" s="22"/>
      <c r="G1476" s="23"/>
      <c r="H1476" s="23"/>
    </row>
    <row r="1477" spans="2:8" x14ac:dyDescent="0.25">
      <c r="B1477" s="8" t="s">
        <v>9</v>
      </c>
      <c r="C1477" s="24" t="s">
        <v>866</v>
      </c>
      <c r="D1477" s="9"/>
      <c r="E1477" s="26" t="s">
        <v>9</v>
      </c>
      <c r="F1477" s="25"/>
      <c r="G1477" s="26"/>
      <c r="H1477" s="1" t="b">
        <f>IF(D1480="x",H$2,H$1)</f>
        <v>0</v>
      </c>
    </row>
    <row r="1478" spans="2:8" x14ac:dyDescent="0.25">
      <c r="B1478" s="8" t="s">
        <v>10</v>
      </c>
      <c r="C1478" s="24" t="s">
        <v>867</v>
      </c>
      <c r="D1478" s="9"/>
      <c r="E1478" s="26" t="s">
        <v>10</v>
      </c>
      <c r="F1478" s="27" t="str">
        <f>IF(H1479=1,IF(H1477=H$2,H1477,""),"")</f>
        <v/>
      </c>
      <c r="G1478" s="26"/>
      <c r="H1478" s="1" t="str">
        <f>IF(E1609="comprobar",COUNTIF(D1477:D1481,"x"),"")</f>
        <v/>
      </c>
    </row>
    <row r="1479" spans="2:8" x14ac:dyDescent="0.25">
      <c r="B1479" s="8" t="s">
        <v>11</v>
      </c>
      <c r="C1479" s="24" t="s">
        <v>868</v>
      </c>
      <c r="D1479" s="9"/>
      <c r="E1479" s="26" t="s">
        <v>11</v>
      </c>
      <c r="F1479" s="28" t="str">
        <f>IF(H1479=-0.33,IF(H1477=H$1,H1477,""),"")</f>
        <v/>
      </c>
      <c r="G1479" s="26"/>
      <c r="H1479" s="29">
        <f>IF(H1478=1,IF(H1477=H$2,1,-0.33),0)</f>
        <v>0</v>
      </c>
    </row>
    <row r="1480" spans="2:8" x14ac:dyDescent="0.25">
      <c r="B1480" s="8" t="s">
        <v>12</v>
      </c>
      <c r="C1480" s="24" t="s">
        <v>368</v>
      </c>
      <c r="D1480" s="9"/>
      <c r="E1480" s="26" t="s">
        <v>12</v>
      </c>
      <c r="F1480" s="25"/>
      <c r="G1480" s="26"/>
      <c r="H1480" s="1"/>
    </row>
    <row r="1481" spans="2:8" x14ac:dyDescent="0.25">
      <c r="B1481" s="11"/>
      <c r="C1481" s="12"/>
      <c r="D1481" s="9"/>
      <c r="E1481" s="26" t="s">
        <v>13</v>
      </c>
      <c r="F1481" s="30"/>
      <c r="G1481" s="26"/>
      <c r="H1481" s="15"/>
    </row>
    <row r="1482" spans="2:8" x14ac:dyDescent="0.25">
      <c r="B1482" s="5">
        <v>10</v>
      </c>
      <c r="C1482" s="21" t="s">
        <v>869</v>
      </c>
      <c r="D1482" s="6"/>
      <c r="E1482" s="23"/>
      <c r="F1482" s="22"/>
      <c r="G1482" s="31"/>
      <c r="H1482" s="31"/>
    </row>
    <row r="1483" spans="2:8" x14ac:dyDescent="0.25">
      <c r="B1483" s="8" t="s">
        <v>9</v>
      </c>
      <c r="C1483" s="24" t="s">
        <v>870</v>
      </c>
      <c r="D1483" s="9"/>
      <c r="E1483" s="26" t="s">
        <v>9</v>
      </c>
      <c r="F1483" s="25"/>
      <c r="G1483" s="32"/>
      <c r="H1483" s="1" t="b">
        <f>IF(D1486="x",H$2,H$1)</f>
        <v>0</v>
      </c>
    </row>
    <row r="1484" spans="2:8" x14ac:dyDescent="0.25">
      <c r="B1484" s="8" t="s">
        <v>10</v>
      </c>
      <c r="C1484" s="24" t="s">
        <v>871</v>
      </c>
      <c r="D1484" s="9"/>
      <c r="E1484" s="26" t="s">
        <v>10</v>
      </c>
      <c r="F1484" s="27" t="str">
        <f>IF(H1485=1,IF(H1483=H$2,H1483,""),"")</f>
        <v/>
      </c>
      <c r="G1484" s="32"/>
      <c r="H1484" s="1" t="str">
        <f>IF(E1609="comprobar",COUNTIF(D1483:D1487,"x"),"")</f>
        <v/>
      </c>
    </row>
    <row r="1485" spans="2:8" x14ac:dyDescent="0.25">
      <c r="B1485" s="8" t="s">
        <v>11</v>
      </c>
      <c r="C1485" s="24" t="s">
        <v>872</v>
      </c>
      <c r="D1485" s="9"/>
      <c r="E1485" s="26" t="s">
        <v>11</v>
      </c>
      <c r="F1485" s="28" t="str">
        <f>IF(H1485=-0.33,IF(H1483=H$1,H1483,""),"")</f>
        <v/>
      </c>
      <c r="G1485" s="32"/>
      <c r="H1485" s="29">
        <f>IF(H1484=1,IF(H1483=H$2,1,-0.33),0)</f>
        <v>0</v>
      </c>
    </row>
    <row r="1486" spans="2:8" x14ac:dyDescent="0.25">
      <c r="B1486" s="8" t="s">
        <v>12</v>
      </c>
      <c r="C1486" s="24" t="s">
        <v>32</v>
      </c>
      <c r="D1486" s="9"/>
      <c r="E1486" s="26" t="s">
        <v>12</v>
      </c>
      <c r="F1486" s="25"/>
      <c r="G1486" s="32"/>
      <c r="H1486" s="29"/>
    </row>
    <row r="1487" spans="2:8" x14ac:dyDescent="0.25">
      <c r="B1487" s="11"/>
      <c r="C1487" s="12"/>
      <c r="D1487" s="9"/>
      <c r="E1487" s="26" t="s">
        <v>13</v>
      </c>
      <c r="F1487" s="30"/>
      <c r="G1487" s="32"/>
      <c r="H1487" s="29"/>
    </row>
    <row r="1488" spans="2:8" x14ac:dyDescent="0.25">
      <c r="B1488" s="5">
        <v>11</v>
      </c>
      <c r="C1488" s="21" t="s">
        <v>279</v>
      </c>
      <c r="D1488" s="6"/>
      <c r="E1488" s="23"/>
      <c r="F1488" s="22"/>
      <c r="G1488" s="31"/>
      <c r="H1488" s="31"/>
    </row>
    <row r="1489" spans="2:8" x14ac:dyDescent="0.25">
      <c r="B1489" s="8" t="s">
        <v>9</v>
      </c>
      <c r="C1489" s="24" t="s">
        <v>284</v>
      </c>
      <c r="D1489" s="9"/>
      <c r="E1489" s="26" t="s">
        <v>9</v>
      </c>
      <c r="F1489" s="25"/>
      <c r="G1489" s="32"/>
      <c r="H1489" s="1" t="b">
        <f>IF(D1492="x",H$2,H$1)</f>
        <v>0</v>
      </c>
    </row>
    <row r="1490" spans="2:8" x14ac:dyDescent="0.25">
      <c r="B1490" s="8" t="s">
        <v>10</v>
      </c>
      <c r="C1490" s="24" t="s">
        <v>285</v>
      </c>
      <c r="D1490" s="9"/>
      <c r="E1490" s="26" t="s">
        <v>10</v>
      </c>
      <c r="F1490" s="27" t="str">
        <f>IF(H1491=1,IF(H1489=H$2,H1489,""),"")</f>
        <v/>
      </c>
      <c r="G1490" s="32"/>
      <c r="H1490" s="1" t="str">
        <f>IF(E1609="comprobar",COUNTIF(D1488:D1492,"x"),"")</f>
        <v/>
      </c>
    </row>
    <row r="1491" spans="2:8" x14ac:dyDescent="0.25">
      <c r="B1491" s="8" t="s">
        <v>11</v>
      </c>
      <c r="C1491" s="24" t="s">
        <v>283</v>
      </c>
      <c r="D1491" s="9"/>
      <c r="E1491" s="26" t="s">
        <v>11</v>
      </c>
      <c r="F1491" s="28" t="str">
        <f>IF(H1491=-0.33,IF(H1489=H$1,H1489,""),"")</f>
        <v/>
      </c>
      <c r="G1491" s="32"/>
      <c r="H1491" s="29">
        <f>IF(H1490=1,IF(H1489=H$2,1,-0.33),0)</f>
        <v>0</v>
      </c>
    </row>
    <row r="1492" spans="2:8" x14ac:dyDescent="0.25">
      <c r="B1492" s="8" t="s">
        <v>12</v>
      </c>
      <c r="C1492" s="24" t="s">
        <v>32</v>
      </c>
      <c r="D1492" s="9"/>
      <c r="E1492" s="26" t="s">
        <v>12</v>
      </c>
      <c r="F1492" s="25"/>
      <c r="G1492" s="32"/>
      <c r="H1492" s="29"/>
    </row>
    <row r="1493" spans="2:8" x14ac:dyDescent="0.25">
      <c r="B1493" s="11"/>
      <c r="C1493" s="12"/>
      <c r="D1493" s="9"/>
      <c r="E1493" s="26"/>
      <c r="F1493" s="25"/>
      <c r="G1493" s="32"/>
      <c r="H1493" s="29"/>
    </row>
    <row r="1494" spans="2:8" x14ac:dyDescent="0.25">
      <c r="B1494" s="5">
        <v>12</v>
      </c>
      <c r="C1494" s="21" t="s">
        <v>873</v>
      </c>
      <c r="D1494" s="6"/>
      <c r="E1494" s="23"/>
      <c r="F1494" s="22"/>
      <c r="G1494" s="23"/>
      <c r="H1494" s="23"/>
    </row>
    <row r="1495" spans="2:8" x14ac:dyDescent="0.25">
      <c r="B1495" s="8" t="s">
        <v>9</v>
      </c>
      <c r="C1495" s="24" t="s">
        <v>874</v>
      </c>
      <c r="D1495" s="9"/>
      <c r="E1495" s="26" t="s">
        <v>9</v>
      </c>
      <c r="F1495" s="25"/>
      <c r="G1495" s="26"/>
      <c r="H1495" s="1" t="b">
        <f>IF(D1497="x",H$2,H$1)</f>
        <v>0</v>
      </c>
    </row>
    <row r="1496" spans="2:8" x14ac:dyDescent="0.25">
      <c r="B1496" s="8" t="s">
        <v>10</v>
      </c>
      <c r="C1496" s="24" t="s">
        <v>875</v>
      </c>
      <c r="D1496" s="9"/>
      <c r="E1496" s="26" t="s">
        <v>10</v>
      </c>
      <c r="F1496" s="27" t="str">
        <f>IF(H1497=1,IF(H1495=H$2,H1495,""),"")</f>
        <v/>
      </c>
      <c r="G1496" s="26"/>
      <c r="H1496" s="1" t="str">
        <f>IF(E1609="comprobar",COUNTIF(D1494:D1498,"x"),"")</f>
        <v/>
      </c>
    </row>
    <row r="1497" spans="2:8" x14ac:dyDescent="0.25">
      <c r="B1497" s="8" t="s">
        <v>11</v>
      </c>
      <c r="C1497" s="24" t="s">
        <v>876</v>
      </c>
      <c r="D1497" s="9"/>
      <c r="E1497" s="26" t="s">
        <v>11</v>
      </c>
      <c r="F1497" s="28" t="str">
        <f>IF(H1497=-0.33,IF(H1495=H$1,H1495,""),"")</f>
        <v/>
      </c>
      <c r="G1497" s="26"/>
      <c r="H1497" s="29">
        <f>IF(H1496=1,IF(H1495=H$2,1,-0.33),0)</f>
        <v>0</v>
      </c>
    </row>
    <row r="1498" spans="2:8" x14ac:dyDescent="0.25">
      <c r="B1498" s="8" t="s">
        <v>12</v>
      </c>
      <c r="C1498" s="24" t="s">
        <v>32</v>
      </c>
      <c r="D1498" s="9"/>
      <c r="E1498" s="26" t="s">
        <v>12</v>
      </c>
      <c r="F1498" s="25"/>
      <c r="G1498" s="26"/>
      <c r="H1498" s="29"/>
    </row>
    <row r="1499" spans="2:8" x14ac:dyDescent="0.25">
      <c r="B1499" s="11"/>
      <c r="C1499" s="12"/>
      <c r="D1499" s="9"/>
      <c r="E1499" s="26" t="s">
        <v>13</v>
      </c>
      <c r="F1499" s="30"/>
      <c r="G1499" s="26"/>
      <c r="H1499" s="29"/>
    </row>
    <row r="1500" spans="2:8" x14ac:dyDescent="0.25">
      <c r="B1500" s="5">
        <v>13</v>
      </c>
      <c r="C1500" s="21" t="s">
        <v>877</v>
      </c>
      <c r="D1500" s="6"/>
      <c r="E1500" s="23"/>
      <c r="F1500" s="22"/>
      <c r="G1500" s="23"/>
      <c r="H1500" s="23"/>
    </row>
    <row r="1501" spans="2:8" x14ac:dyDescent="0.25">
      <c r="B1501" s="8" t="s">
        <v>9</v>
      </c>
      <c r="C1501" s="24" t="s">
        <v>878</v>
      </c>
      <c r="D1501" s="9"/>
      <c r="E1501" s="26" t="s">
        <v>9</v>
      </c>
      <c r="F1501" s="25"/>
      <c r="G1501" s="26"/>
      <c r="H1501" s="1" t="b">
        <f>IF(D1502="x",H$2,H$1)</f>
        <v>0</v>
      </c>
    </row>
    <row r="1502" spans="2:8" x14ac:dyDescent="0.25">
      <c r="B1502" s="8" t="s">
        <v>10</v>
      </c>
      <c r="C1502" s="24" t="s">
        <v>879</v>
      </c>
      <c r="D1502" s="9"/>
      <c r="E1502" s="26" t="s">
        <v>10</v>
      </c>
      <c r="F1502" s="27" t="str">
        <f>IF(H1503=1,IF(H1501=H$2,H1501,""),"")</f>
        <v/>
      </c>
      <c r="G1502" s="26"/>
      <c r="H1502" s="1" t="str">
        <f>IF(E1609="comprobar",COUNTIF(D1500:D1504,"x"),"")</f>
        <v/>
      </c>
    </row>
    <row r="1503" spans="2:8" x14ac:dyDescent="0.25">
      <c r="B1503" s="8" t="s">
        <v>11</v>
      </c>
      <c r="C1503" s="24" t="s">
        <v>880</v>
      </c>
      <c r="D1503" s="9"/>
      <c r="E1503" s="26" t="s">
        <v>11</v>
      </c>
      <c r="F1503" s="28" t="str">
        <f>IF(H1503=-0.33,IF(H1501=H$1,H1501,""),"")</f>
        <v/>
      </c>
      <c r="G1503" s="26"/>
      <c r="H1503" s="29">
        <f t="shared" ref="H1503" si="35">IF(H1502=1,IF(H1501=H$2,1,-0.33),0)</f>
        <v>0</v>
      </c>
    </row>
    <row r="1504" spans="2:8" x14ac:dyDescent="0.25">
      <c r="B1504" s="8" t="s">
        <v>12</v>
      </c>
      <c r="C1504" s="24" t="s">
        <v>881</v>
      </c>
      <c r="D1504" s="9"/>
      <c r="E1504" s="26" t="s">
        <v>12</v>
      </c>
      <c r="F1504" s="25"/>
      <c r="G1504" s="26"/>
      <c r="H1504" s="26"/>
    </row>
    <row r="1505" spans="2:8" x14ac:dyDescent="0.25">
      <c r="B1505" s="11"/>
      <c r="C1505" s="12"/>
      <c r="D1505" s="9"/>
      <c r="E1505" s="26" t="s">
        <v>13</v>
      </c>
      <c r="F1505" s="30"/>
      <c r="G1505" s="26"/>
      <c r="H1505" s="26"/>
    </row>
    <row r="1506" spans="2:8" x14ac:dyDescent="0.25">
      <c r="B1506" s="5">
        <v>14</v>
      </c>
      <c r="C1506" s="21" t="s">
        <v>882</v>
      </c>
      <c r="D1506" s="6"/>
      <c r="E1506" s="23"/>
      <c r="F1506" s="22"/>
      <c r="G1506" s="23"/>
      <c r="H1506" s="23"/>
    </row>
    <row r="1507" spans="2:8" ht="31.5" x14ac:dyDescent="0.25">
      <c r="B1507" s="8" t="s">
        <v>9</v>
      </c>
      <c r="C1507" s="24" t="s">
        <v>883</v>
      </c>
      <c r="D1507" s="9"/>
      <c r="E1507" s="26" t="s">
        <v>9</v>
      </c>
      <c r="F1507" s="25"/>
      <c r="G1507" s="26"/>
      <c r="H1507" s="1" t="b">
        <f>IF(D1507="x",H$2,H$1)</f>
        <v>0</v>
      </c>
    </row>
    <row r="1508" spans="2:8" ht="31.5" x14ac:dyDescent="0.25">
      <c r="B1508" s="8" t="s">
        <v>10</v>
      </c>
      <c r="C1508" s="24" t="s">
        <v>884</v>
      </c>
      <c r="D1508" s="9"/>
      <c r="E1508" s="26" t="s">
        <v>10</v>
      </c>
      <c r="F1508" s="27" t="str">
        <f>IF(H1509=1,IF(H1507=H$2,H1507,""),"")</f>
        <v/>
      </c>
      <c r="G1508" s="26"/>
      <c r="H1508" s="1" t="str">
        <f>IF(E1609="comprobar",COUNTIF(D1506:D1510,"x"),"")</f>
        <v/>
      </c>
    </row>
    <row r="1509" spans="2:8" ht="31.5" x14ac:dyDescent="0.25">
      <c r="B1509" s="8" t="s">
        <v>11</v>
      </c>
      <c r="C1509" s="24" t="s">
        <v>885</v>
      </c>
      <c r="D1509" s="9"/>
      <c r="E1509" s="26" t="s">
        <v>11</v>
      </c>
      <c r="F1509" s="28" t="str">
        <f>IF(H1509=-0.33,IF(H1507=H$1,H1507,""),"")</f>
        <v/>
      </c>
      <c r="G1509" s="26"/>
      <c r="H1509" s="29">
        <f>IF(H1508=1,IF(H1507=H$2,1,-0.33),0)</f>
        <v>0</v>
      </c>
    </row>
    <row r="1510" spans="2:8" x14ac:dyDescent="0.25">
      <c r="B1510" s="8" t="s">
        <v>12</v>
      </c>
      <c r="C1510" s="24" t="s">
        <v>32</v>
      </c>
      <c r="D1510" s="9"/>
      <c r="E1510" s="26" t="s">
        <v>12</v>
      </c>
      <c r="F1510" s="25"/>
      <c r="G1510" s="26"/>
      <c r="H1510" s="26"/>
    </row>
    <row r="1511" spans="2:8" x14ac:dyDescent="0.25">
      <c r="B1511" s="11"/>
      <c r="C1511" s="12"/>
      <c r="D1511" s="9"/>
      <c r="E1511" s="26" t="s">
        <v>13</v>
      </c>
      <c r="F1511" s="30"/>
      <c r="G1511" s="26"/>
      <c r="H1511" s="26"/>
    </row>
    <row r="1512" spans="2:8" x14ac:dyDescent="0.25">
      <c r="B1512" s="5">
        <v>15</v>
      </c>
      <c r="C1512" s="21" t="s">
        <v>886</v>
      </c>
      <c r="D1512" s="6"/>
      <c r="E1512" s="23"/>
      <c r="F1512" s="22"/>
      <c r="G1512" s="23"/>
      <c r="H1512" s="23"/>
    </row>
    <row r="1513" spans="2:8" x14ac:dyDescent="0.25">
      <c r="B1513" s="8" t="s">
        <v>9</v>
      </c>
      <c r="C1513" s="24" t="s">
        <v>887</v>
      </c>
      <c r="D1513" s="9"/>
      <c r="E1513" s="26" t="s">
        <v>9</v>
      </c>
      <c r="F1513" s="25"/>
      <c r="G1513" s="26"/>
      <c r="H1513" s="1" t="b">
        <f>IF(D1515="x",H$2,H$1)</f>
        <v>0</v>
      </c>
    </row>
    <row r="1514" spans="2:8" ht="31.5" x14ac:dyDescent="0.25">
      <c r="B1514" s="8" t="s">
        <v>10</v>
      </c>
      <c r="C1514" s="24" t="s">
        <v>888</v>
      </c>
      <c r="D1514" s="9"/>
      <c r="E1514" s="26" t="s">
        <v>10</v>
      </c>
      <c r="F1514" s="27" t="str">
        <f>IF(H1515=1,IF(H1513=H$2,H1513,""),"")</f>
        <v/>
      </c>
      <c r="G1514" s="26"/>
      <c r="H1514" s="1" t="str">
        <f>IF(E1609="comprobar",COUNTIF(D1512:D1516,"x"),"")</f>
        <v/>
      </c>
    </row>
    <row r="1515" spans="2:8" ht="31.5" x14ac:dyDescent="0.25">
      <c r="B1515" s="8" t="s">
        <v>11</v>
      </c>
      <c r="C1515" s="24" t="s">
        <v>889</v>
      </c>
      <c r="D1515" s="9"/>
      <c r="E1515" s="26" t="s">
        <v>11</v>
      </c>
      <c r="F1515" s="28" t="str">
        <f>IF(H1515=-0.33,IF(H1513=H$1,H1513,""),"")</f>
        <v/>
      </c>
      <c r="G1515" s="26"/>
      <c r="H1515" s="29">
        <f>IF(H1514=1,IF(H1513=H$2,1,-0.33),0)</f>
        <v>0</v>
      </c>
    </row>
    <row r="1516" spans="2:8" x14ac:dyDescent="0.25">
      <c r="B1516" s="8" t="s">
        <v>12</v>
      </c>
      <c r="C1516" s="24" t="s">
        <v>32</v>
      </c>
      <c r="D1516" s="9"/>
      <c r="E1516" s="26" t="s">
        <v>12</v>
      </c>
      <c r="F1516" s="25"/>
      <c r="G1516" s="26"/>
      <c r="H1516" s="29"/>
    </row>
    <row r="1517" spans="2:8" x14ac:dyDescent="0.25">
      <c r="B1517" s="11"/>
      <c r="C1517" s="12"/>
      <c r="D1517" s="9"/>
      <c r="E1517" s="26" t="s">
        <v>13</v>
      </c>
      <c r="F1517" s="30"/>
      <c r="G1517" s="26"/>
      <c r="H1517" s="29"/>
    </row>
    <row r="1518" spans="2:8" x14ac:dyDescent="0.25">
      <c r="B1518" s="5">
        <v>16</v>
      </c>
      <c r="C1518" s="21" t="s">
        <v>357</v>
      </c>
      <c r="D1518" s="6"/>
      <c r="E1518" s="23"/>
      <c r="F1518" s="22"/>
      <c r="G1518" s="23"/>
      <c r="H1518" s="23"/>
    </row>
    <row r="1519" spans="2:8" ht="31.5" x14ac:dyDescent="0.25">
      <c r="B1519" s="8" t="s">
        <v>9</v>
      </c>
      <c r="C1519" s="24" t="s">
        <v>358</v>
      </c>
      <c r="D1519" s="9"/>
      <c r="E1519" s="26" t="s">
        <v>9</v>
      </c>
      <c r="F1519" s="25"/>
      <c r="G1519" s="26"/>
      <c r="H1519" s="1" t="b">
        <f>IF(D1522="x",H$2,H$1)</f>
        <v>0</v>
      </c>
    </row>
    <row r="1520" spans="2:8" ht="31.5" x14ac:dyDescent="0.25">
      <c r="B1520" s="8" t="s">
        <v>10</v>
      </c>
      <c r="C1520" s="24" t="s">
        <v>359</v>
      </c>
      <c r="D1520" s="9"/>
      <c r="E1520" s="26" t="s">
        <v>10</v>
      </c>
      <c r="F1520" s="27" t="str">
        <f>IF(H1521=1,IF(H1519=H$2,H1519,""),"")</f>
        <v/>
      </c>
      <c r="G1520" s="26"/>
      <c r="H1520" s="1" t="str">
        <f>IF(E1609="comprobar",COUNTIF(D1518:D1522,"x"),"")</f>
        <v/>
      </c>
    </row>
    <row r="1521" spans="2:8" ht="31.5" x14ac:dyDescent="0.25">
      <c r="B1521" s="8" t="s">
        <v>11</v>
      </c>
      <c r="C1521" s="24" t="s">
        <v>360</v>
      </c>
      <c r="D1521" s="9"/>
      <c r="E1521" s="26" t="s">
        <v>11</v>
      </c>
      <c r="F1521" s="28" t="str">
        <f>IF(H1521=-0.33,IF(H1519=H$1,H1519,""),"")</f>
        <v/>
      </c>
      <c r="G1521" s="26"/>
      <c r="H1521" s="29">
        <f>IF(H1520=1,IF(H1519=H$2,1,-0.33),0)</f>
        <v>0</v>
      </c>
    </row>
    <row r="1522" spans="2:8" x14ac:dyDescent="0.25">
      <c r="B1522" s="8" t="s">
        <v>12</v>
      </c>
      <c r="C1522" s="24" t="s">
        <v>32</v>
      </c>
      <c r="D1522" s="9"/>
      <c r="E1522" s="26" t="s">
        <v>12</v>
      </c>
      <c r="F1522" s="25"/>
      <c r="G1522" s="26"/>
      <c r="H1522" s="29"/>
    </row>
    <row r="1523" spans="2:8" x14ac:dyDescent="0.25">
      <c r="B1523" s="11"/>
      <c r="C1523" s="12"/>
      <c r="D1523" s="9"/>
      <c r="E1523" s="26" t="s">
        <v>13</v>
      </c>
      <c r="F1523" s="30"/>
      <c r="G1523" s="26"/>
      <c r="H1523" s="29"/>
    </row>
    <row r="1524" spans="2:8" x14ac:dyDescent="0.25">
      <c r="B1524" s="5">
        <v>17</v>
      </c>
      <c r="C1524" s="21" t="s">
        <v>890</v>
      </c>
      <c r="D1524" s="6"/>
      <c r="E1524" s="23"/>
      <c r="F1524" s="22"/>
      <c r="G1524" s="23"/>
      <c r="H1524" s="23"/>
    </row>
    <row r="1525" spans="2:8" ht="47.25" x14ac:dyDescent="0.25">
      <c r="B1525" s="8" t="s">
        <v>9</v>
      </c>
      <c r="C1525" s="24" t="s">
        <v>891</v>
      </c>
      <c r="D1525" s="9"/>
      <c r="E1525" s="26" t="s">
        <v>9</v>
      </c>
      <c r="F1525" s="25"/>
      <c r="G1525" s="26"/>
      <c r="H1525" s="1" t="b">
        <f>IF(D1528="x",H$2,H$1)</f>
        <v>0</v>
      </c>
    </row>
    <row r="1526" spans="2:8" ht="31.5" x14ac:dyDescent="0.25">
      <c r="B1526" s="8" t="s">
        <v>10</v>
      </c>
      <c r="C1526" s="24" t="s">
        <v>892</v>
      </c>
      <c r="D1526" s="9"/>
      <c r="E1526" s="26" t="s">
        <v>10</v>
      </c>
      <c r="F1526" s="27" t="str">
        <f>IF(H1527=1,IF(H1525=H$2,H1525,""),"")</f>
        <v/>
      </c>
      <c r="G1526" s="26"/>
      <c r="H1526" s="1" t="str">
        <f>IF(E1609="comprobar",COUNTIF(D1524:D1528,"x"),"")</f>
        <v/>
      </c>
    </row>
    <row r="1527" spans="2:8" ht="47.25" x14ac:dyDescent="0.25">
      <c r="B1527" s="8" t="s">
        <v>11</v>
      </c>
      <c r="C1527" s="24" t="s">
        <v>893</v>
      </c>
      <c r="D1527" s="9"/>
      <c r="E1527" s="26" t="s">
        <v>11</v>
      </c>
      <c r="F1527" s="28" t="str">
        <f>IF(H1527=-0.33,IF(H1525=H$1,H1525,""),"")</f>
        <v/>
      </c>
      <c r="G1527" s="26"/>
      <c r="H1527" s="29">
        <f>IF(H1526=1,IF(H1525=H$2,1,-0.33),0)</f>
        <v>0</v>
      </c>
    </row>
    <row r="1528" spans="2:8" x14ac:dyDescent="0.25">
      <c r="B1528" s="8" t="s">
        <v>12</v>
      </c>
      <c r="C1528" s="24" t="s">
        <v>32</v>
      </c>
      <c r="D1528" s="9"/>
      <c r="E1528" s="26" t="s">
        <v>12</v>
      </c>
      <c r="F1528" s="25"/>
      <c r="G1528" s="26"/>
      <c r="H1528" s="26"/>
    </row>
    <row r="1529" spans="2:8" x14ac:dyDescent="0.25">
      <c r="B1529" s="11"/>
      <c r="C1529" s="12"/>
      <c r="D1529" s="9"/>
      <c r="E1529" s="26" t="s">
        <v>13</v>
      </c>
      <c r="F1529" s="30"/>
      <c r="G1529" s="26"/>
      <c r="H1529" s="26"/>
    </row>
    <row r="1530" spans="2:8" x14ac:dyDescent="0.25">
      <c r="B1530" s="5">
        <v>18</v>
      </c>
      <c r="C1530" s="21" t="s">
        <v>349</v>
      </c>
      <c r="D1530" s="6"/>
      <c r="E1530" s="23"/>
      <c r="F1530" s="22"/>
      <c r="G1530" s="23"/>
      <c r="H1530" s="23"/>
    </row>
    <row r="1531" spans="2:8" ht="31.5" x14ac:dyDescent="0.25">
      <c r="B1531" s="8" t="s">
        <v>9</v>
      </c>
      <c r="C1531" s="24" t="s">
        <v>350</v>
      </c>
      <c r="D1531" s="9"/>
      <c r="E1531" s="26" t="s">
        <v>9</v>
      </c>
      <c r="F1531" s="25"/>
      <c r="G1531" s="26"/>
      <c r="H1531" s="1" t="b">
        <f>IF(D1531="x",H$2,H$1)</f>
        <v>0</v>
      </c>
    </row>
    <row r="1532" spans="2:8" x14ac:dyDescent="0.25">
      <c r="B1532" s="8" t="s">
        <v>10</v>
      </c>
      <c r="C1532" s="24" t="s">
        <v>351</v>
      </c>
      <c r="D1532" s="9"/>
      <c r="E1532" s="26" t="s">
        <v>10</v>
      </c>
      <c r="F1532" s="27" t="str">
        <f>IF(H1533=1,IF(H1531=H$2,H1531,""),"")</f>
        <v/>
      </c>
      <c r="G1532" s="26"/>
      <c r="H1532" s="1" t="str">
        <f>IF(E1609="comprobar",COUNTIF(D1530:D1534,"x"),"")</f>
        <v/>
      </c>
    </row>
    <row r="1533" spans="2:8" ht="31.5" x14ac:dyDescent="0.25">
      <c r="B1533" s="8" t="s">
        <v>11</v>
      </c>
      <c r="C1533" s="24" t="s">
        <v>352</v>
      </c>
      <c r="D1533" s="9"/>
      <c r="E1533" s="26" t="s">
        <v>11</v>
      </c>
      <c r="F1533" s="28" t="str">
        <f>IF(H1533=-0.33,IF(H1531=H$1,H1531,""),"")</f>
        <v/>
      </c>
      <c r="G1533" s="26"/>
      <c r="H1533" s="29">
        <f>IF(H1532=1,IF(H1531=H$2,1,-0.33),0)</f>
        <v>0</v>
      </c>
    </row>
    <row r="1534" spans="2:8" x14ac:dyDescent="0.25">
      <c r="B1534" s="8" t="s">
        <v>12</v>
      </c>
      <c r="C1534" s="24" t="s">
        <v>32</v>
      </c>
      <c r="D1534" s="9"/>
      <c r="E1534" s="26" t="s">
        <v>12</v>
      </c>
      <c r="F1534" s="25"/>
      <c r="G1534" s="26"/>
      <c r="H1534" s="29"/>
    </row>
    <row r="1535" spans="2:8" x14ac:dyDescent="0.25">
      <c r="B1535" s="11"/>
      <c r="C1535" s="12"/>
      <c r="D1535" s="9"/>
      <c r="E1535" s="26" t="s">
        <v>13</v>
      </c>
      <c r="F1535" s="30"/>
      <c r="G1535" s="26"/>
      <c r="H1535" s="29"/>
    </row>
    <row r="1536" spans="2:8" x14ac:dyDescent="0.25">
      <c r="B1536" s="5">
        <v>19</v>
      </c>
      <c r="C1536" s="21" t="s">
        <v>279</v>
      </c>
      <c r="D1536" s="6"/>
      <c r="E1536" s="23"/>
      <c r="F1536" s="22"/>
      <c r="G1536" s="23"/>
      <c r="H1536" s="23"/>
    </row>
    <row r="1537" spans="2:8" x14ac:dyDescent="0.25">
      <c r="B1537" s="8" t="s">
        <v>9</v>
      </c>
      <c r="C1537" s="24" t="s">
        <v>894</v>
      </c>
      <c r="D1537" s="9"/>
      <c r="E1537" s="26" t="s">
        <v>9</v>
      </c>
      <c r="F1537" s="25"/>
      <c r="G1537" s="26"/>
      <c r="H1537" s="1" t="b">
        <f>IF(D1539="x",H$2,H$1)</f>
        <v>0</v>
      </c>
    </row>
    <row r="1538" spans="2:8" ht="31.5" x14ac:dyDescent="0.25">
      <c r="B1538" s="8" t="s">
        <v>10</v>
      </c>
      <c r="C1538" s="24" t="s">
        <v>895</v>
      </c>
      <c r="D1538" s="9"/>
      <c r="E1538" s="26" t="s">
        <v>10</v>
      </c>
      <c r="F1538" s="27" t="str">
        <f>IF(H1539=1,IF(H1537=H$2,H1537,""),"")</f>
        <v/>
      </c>
      <c r="G1538" s="26"/>
      <c r="H1538" s="1" t="str">
        <f>IF(E1609="comprobar",COUNTIF(D1536:D1540,"x"),"")</f>
        <v/>
      </c>
    </row>
    <row r="1539" spans="2:8" x14ac:dyDescent="0.25">
      <c r="B1539" s="8" t="s">
        <v>11</v>
      </c>
      <c r="C1539" s="24" t="s">
        <v>896</v>
      </c>
      <c r="D1539" s="9"/>
      <c r="E1539" s="26" t="s">
        <v>11</v>
      </c>
      <c r="F1539" s="28" t="str">
        <f>IF(H1539=-0.33,IF(H1537=H$1,H1537,""),"")</f>
        <v/>
      </c>
      <c r="G1539" s="26"/>
      <c r="H1539" s="29">
        <f>IF(H1538=1,IF(H1537=H$2,1,-0.33),0)</f>
        <v>0</v>
      </c>
    </row>
    <row r="1540" spans="2:8" x14ac:dyDescent="0.25">
      <c r="B1540" s="8" t="s">
        <v>12</v>
      </c>
      <c r="C1540" s="24" t="s">
        <v>368</v>
      </c>
      <c r="D1540" s="9"/>
      <c r="E1540" s="26" t="s">
        <v>12</v>
      </c>
      <c r="F1540" s="25"/>
      <c r="G1540" s="26"/>
      <c r="H1540" s="29"/>
    </row>
    <row r="1541" spans="2:8" x14ac:dyDescent="0.25">
      <c r="B1541" s="11"/>
      <c r="C1541" s="12"/>
      <c r="D1541" s="9"/>
      <c r="E1541" s="26" t="s">
        <v>13</v>
      </c>
      <c r="F1541" s="30"/>
      <c r="G1541" s="26"/>
      <c r="H1541" s="29"/>
    </row>
    <row r="1542" spans="2:8" x14ac:dyDescent="0.25">
      <c r="B1542" s="5">
        <v>20</v>
      </c>
      <c r="C1542" s="21" t="s">
        <v>897</v>
      </c>
      <c r="D1542" s="6"/>
      <c r="E1542" s="23"/>
      <c r="F1542" s="22"/>
      <c r="G1542" s="23"/>
      <c r="H1542" s="23"/>
    </row>
    <row r="1543" spans="2:8" ht="31.5" x14ac:dyDescent="0.25">
      <c r="B1543" s="8" t="s">
        <v>9</v>
      </c>
      <c r="C1543" s="24" t="s">
        <v>374</v>
      </c>
      <c r="D1543" s="9"/>
      <c r="E1543" s="26" t="s">
        <v>9</v>
      </c>
      <c r="F1543" s="25"/>
      <c r="G1543" s="26"/>
      <c r="H1543" s="1" t="b">
        <f>IF(D1544="x",H$2,H$1)</f>
        <v>0</v>
      </c>
    </row>
    <row r="1544" spans="2:8" ht="31.5" x14ac:dyDescent="0.25">
      <c r="B1544" s="8" t="s">
        <v>10</v>
      </c>
      <c r="C1544" s="24" t="s">
        <v>375</v>
      </c>
      <c r="D1544" s="9"/>
      <c r="E1544" s="26" t="s">
        <v>10</v>
      </c>
      <c r="F1544" s="27" t="str">
        <f>IF(H1545=1,IF(H1543=H$2,H1543,""),"")</f>
        <v/>
      </c>
      <c r="G1544" s="26"/>
      <c r="H1544" s="1" t="str">
        <f>IF(E1609="comprobar",COUNTIF(D1542:D1546,"x"),"")</f>
        <v/>
      </c>
    </row>
    <row r="1545" spans="2:8" x14ac:dyDescent="0.25">
      <c r="B1545" s="8" t="s">
        <v>11</v>
      </c>
      <c r="C1545" s="24" t="s">
        <v>351</v>
      </c>
      <c r="D1545" s="9"/>
      <c r="E1545" s="26" t="s">
        <v>11</v>
      </c>
      <c r="F1545" s="28" t="str">
        <f>IF(H1545=-0.33,IF(H1543=H$1,H1543,""),"")</f>
        <v/>
      </c>
      <c r="G1545" s="26"/>
      <c r="H1545" s="29">
        <f t="shared" ref="H1545" si="36">IF(H1544=1,IF(H1543=H$2,1,-0.33),0)</f>
        <v>0</v>
      </c>
    </row>
    <row r="1546" spans="2:8" x14ac:dyDescent="0.25">
      <c r="B1546" s="8" t="s">
        <v>12</v>
      </c>
      <c r="C1546" s="24" t="s">
        <v>32</v>
      </c>
      <c r="D1546" s="9"/>
      <c r="E1546" s="26" t="s">
        <v>12</v>
      </c>
      <c r="F1546" s="25"/>
      <c r="G1546" s="26"/>
      <c r="H1546" s="26"/>
    </row>
    <row r="1547" spans="2:8" x14ac:dyDescent="0.25">
      <c r="B1547" s="11"/>
      <c r="C1547" s="12"/>
      <c r="D1547" s="9"/>
      <c r="E1547" s="26" t="s">
        <v>13</v>
      </c>
      <c r="F1547" s="30"/>
      <c r="G1547" s="26"/>
      <c r="H1547" s="26"/>
    </row>
    <row r="1548" spans="2:8" x14ac:dyDescent="0.25">
      <c r="B1548" s="5">
        <v>21</v>
      </c>
      <c r="C1548" s="21" t="s">
        <v>380</v>
      </c>
      <c r="D1548" s="6"/>
      <c r="E1548" s="23"/>
      <c r="F1548" s="22"/>
      <c r="G1548" s="23"/>
      <c r="H1548" s="23"/>
    </row>
    <row r="1549" spans="2:8" x14ac:dyDescent="0.25">
      <c r="B1549" s="8" t="s">
        <v>9</v>
      </c>
      <c r="C1549" s="24" t="s">
        <v>385</v>
      </c>
      <c r="D1549" s="9"/>
      <c r="E1549" s="26" t="s">
        <v>9</v>
      </c>
      <c r="F1549" s="25"/>
      <c r="G1549" s="26"/>
      <c r="H1549" s="1" t="b">
        <f>IF(D1549="x",H$2,H$1)</f>
        <v>0</v>
      </c>
    </row>
    <row r="1550" spans="2:8" x14ac:dyDescent="0.25">
      <c r="B1550" s="8" t="s">
        <v>10</v>
      </c>
      <c r="C1550" s="24" t="s">
        <v>382</v>
      </c>
      <c r="D1550" s="9"/>
      <c r="E1550" s="26" t="s">
        <v>10</v>
      </c>
      <c r="F1550" s="27" t="str">
        <f>IF(H1551=1,IF(H1549=H$2,H1549,""),"")</f>
        <v/>
      </c>
      <c r="G1550" s="26"/>
      <c r="H1550" s="1" t="str">
        <f>IF(E1609="comprobar",COUNTIF(D1548:D1552,"x"),"")</f>
        <v/>
      </c>
    </row>
    <row r="1551" spans="2:8" x14ac:dyDescent="0.25">
      <c r="B1551" s="8" t="s">
        <v>11</v>
      </c>
      <c r="C1551" s="24" t="s">
        <v>383</v>
      </c>
      <c r="D1551" s="9"/>
      <c r="E1551" s="26" t="s">
        <v>11</v>
      </c>
      <c r="F1551" s="28" t="str">
        <f>IF(H1551=-0.33,IF(H1549=H$1,H1549,""),"")</f>
        <v/>
      </c>
      <c r="G1551" s="26"/>
      <c r="H1551" s="29">
        <f>IF(H1550=1,IF(H1549=H$2,1,-0.33),0)</f>
        <v>0</v>
      </c>
    </row>
    <row r="1552" spans="2:8" x14ac:dyDescent="0.25">
      <c r="B1552" s="8" t="s">
        <v>12</v>
      </c>
      <c r="C1552" s="24" t="s">
        <v>384</v>
      </c>
      <c r="D1552" s="9"/>
      <c r="E1552" s="26" t="s">
        <v>12</v>
      </c>
      <c r="F1552" s="25"/>
      <c r="G1552" s="26"/>
      <c r="H1552" s="26"/>
    </row>
    <row r="1553" spans="2:8" x14ac:dyDescent="0.25">
      <c r="B1553" s="11"/>
      <c r="C1553" s="12"/>
      <c r="D1553" s="9"/>
      <c r="E1553" s="26" t="s">
        <v>13</v>
      </c>
      <c r="F1553" s="30"/>
      <c r="G1553" s="26"/>
      <c r="H1553" s="26"/>
    </row>
    <row r="1554" spans="2:8" x14ac:dyDescent="0.25">
      <c r="B1554" s="5">
        <v>22</v>
      </c>
      <c r="C1554" s="21" t="s">
        <v>898</v>
      </c>
      <c r="D1554" s="6"/>
      <c r="E1554" s="23"/>
      <c r="F1554" s="22"/>
      <c r="G1554" s="23"/>
      <c r="H1554" s="23"/>
    </row>
    <row r="1555" spans="2:8" x14ac:dyDescent="0.25">
      <c r="B1555" s="8" t="s">
        <v>9</v>
      </c>
      <c r="C1555" s="24" t="s">
        <v>899</v>
      </c>
      <c r="D1555" s="9"/>
      <c r="E1555" s="26" t="s">
        <v>9</v>
      </c>
      <c r="F1555" s="25"/>
      <c r="G1555" s="26"/>
      <c r="H1555" s="1" t="b">
        <f>IF(D1557="x",H$2,H$1)</f>
        <v>0</v>
      </c>
    </row>
    <row r="1556" spans="2:8" ht="31.5" x14ac:dyDescent="0.25">
      <c r="B1556" s="8" t="s">
        <v>10</v>
      </c>
      <c r="C1556" s="24" t="s">
        <v>900</v>
      </c>
      <c r="D1556" s="9"/>
      <c r="E1556" s="26" t="s">
        <v>10</v>
      </c>
      <c r="F1556" s="27" t="str">
        <f>IF(H1557=1,IF(H1555=H$2,H1555,""),"")</f>
        <v/>
      </c>
      <c r="G1556" s="26"/>
      <c r="H1556" s="1" t="str">
        <f>IF(E1609="comprobar",COUNTIF(D1554:D1558,"x"),"")</f>
        <v/>
      </c>
    </row>
    <row r="1557" spans="2:8" ht="31.5" x14ac:dyDescent="0.25">
      <c r="B1557" s="8" t="s">
        <v>11</v>
      </c>
      <c r="C1557" s="24" t="s">
        <v>901</v>
      </c>
      <c r="D1557" s="9"/>
      <c r="E1557" s="26" t="s">
        <v>11</v>
      </c>
      <c r="F1557" s="28" t="str">
        <f>IF(H1557=-0.33,IF(H1555=H$1,H1555,""),"")</f>
        <v/>
      </c>
      <c r="G1557" s="26"/>
      <c r="H1557" s="29">
        <f>IF(H1556=1,IF(H1555=H$2,1,-0.33),0)</f>
        <v>0</v>
      </c>
    </row>
    <row r="1558" spans="2:8" x14ac:dyDescent="0.25">
      <c r="B1558" s="8" t="s">
        <v>12</v>
      </c>
      <c r="C1558" s="24" t="s">
        <v>32</v>
      </c>
      <c r="D1558" s="9"/>
      <c r="E1558" s="26" t="s">
        <v>12</v>
      </c>
      <c r="F1558" s="25"/>
      <c r="G1558" s="26"/>
      <c r="H1558" s="29"/>
    </row>
    <row r="1559" spans="2:8" x14ac:dyDescent="0.25">
      <c r="B1559" s="11"/>
      <c r="C1559" s="12"/>
      <c r="D1559" s="9"/>
      <c r="E1559" s="26" t="s">
        <v>13</v>
      </c>
      <c r="F1559" s="30"/>
      <c r="G1559" s="26"/>
      <c r="H1559" s="29"/>
    </row>
    <row r="1560" spans="2:8" x14ac:dyDescent="0.25">
      <c r="B1560" s="5">
        <v>23</v>
      </c>
      <c r="C1560" s="21" t="s">
        <v>902</v>
      </c>
      <c r="D1560" s="6"/>
      <c r="E1560" s="23"/>
      <c r="F1560" s="22"/>
      <c r="G1560" s="23"/>
      <c r="H1560" s="23"/>
    </row>
    <row r="1561" spans="2:8" x14ac:dyDescent="0.25">
      <c r="B1561" s="8" t="s">
        <v>9</v>
      </c>
      <c r="C1561" s="24" t="s">
        <v>400</v>
      </c>
      <c r="D1561" s="9"/>
      <c r="E1561" s="26" t="s">
        <v>9</v>
      </c>
      <c r="F1561" s="25"/>
      <c r="G1561" s="26"/>
      <c r="H1561" s="1" t="b">
        <f>IF(D1564="x",H$2,H$1)</f>
        <v>0</v>
      </c>
    </row>
    <row r="1562" spans="2:8" x14ac:dyDescent="0.25">
      <c r="B1562" s="8" t="s">
        <v>10</v>
      </c>
      <c r="C1562" s="24" t="s">
        <v>439</v>
      </c>
      <c r="D1562" s="9"/>
      <c r="E1562" s="26" t="s">
        <v>10</v>
      </c>
      <c r="F1562" s="27" t="str">
        <f>IF(H1563=1,IF(H1561=H$2,H1561,""),"")</f>
        <v/>
      </c>
      <c r="G1562" s="26"/>
      <c r="H1562" s="1" t="str">
        <f>IF(E1609="comprobar",COUNTIF(D1560:D1564,"x"),"")</f>
        <v/>
      </c>
    </row>
    <row r="1563" spans="2:8" x14ac:dyDescent="0.25">
      <c r="B1563" s="8" t="s">
        <v>11</v>
      </c>
      <c r="C1563" s="24" t="s">
        <v>440</v>
      </c>
      <c r="D1563" s="9"/>
      <c r="E1563" s="26" t="s">
        <v>11</v>
      </c>
      <c r="F1563" s="28" t="str">
        <f>IF(H1563=-0.33,IF(H1561=H$1,H1561,""),"")</f>
        <v/>
      </c>
      <c r="G1563" s="26"/>
      <c r="H1563" s="29">
        <f>IF(H1562=1,IF(H1561=H$2,1,-0.33),0)</f>
        <v>0</v>
      </c>
    </row>
    <row r="1564" spans="2:8" x14ac:dyDescent="0.25">
      <c r="B1564" s="8" t="s">
        <v>12</v>
      </c>
      <c r="C1564" s="24" t="s">
        <v>903</v>
      </c>
      <c r="D1564" s="9"/>
      <c r="E1564" s="26" t="s">
        <v>12</v>
      </c>
      <c r="F1564" s="25"/>
      <c r="G1564" s="26"/>
      <c r="H1564" s="29"/>
    </row>
    <row r="1565" spans="2:8" x14ac:dyDescent="0.25">
      <c r="B1565" s="11"/>
      <c r="C1565" s="12"/>
      <c r="D1565" s="9"/>
      <c r="E1565" s="26" t="s">
        <v>13</v>
      </c>
      <c r="F1565" s="30"/>
      <c r="G1565" s="26"/>
      <c r="H1565" s="29"/>
    </row>
    <row r="1566" spans="2:8" x14ac:dyDescent="0.25">
      <c r="B1566" s="5">
        <v>24</v>
      </c>
      <c r="C1566" s="21" t="s">
        <v>904</v>
      </c>
      <c r="D1566" s="6"/>
      <c r="E1566" s="23"/>
      <c r="F1566" s="22"/>
      <c r="G1566" s="23"/>
      <c r="H1566" s="23"/>
    </row>
    <row r="1567" spans="2:8" x14ac:dyDescent="0.25">
      <c r="B1567" s="8" t="s">
        <v>9</v>
      </c>
      <c r="C1567" s="24" t="s">
        <v>905</v>
      </c>
      <c r="D1567" s="9"/>
      <c r="E1567" s="26" t="s">
        <v>9</v>
      </c>
      <c r="F1567" s="25"/>
      <c r="G1567" s="26"/>
      <c r="H1567" s="1" t="b">
        <f>IF(D1570="x",H$2,H$1)</f>
        <v>0</v>
      </c>
    </row>
    <row r="1568" spans="2:8" x14ac:dyDescent="0.25">
      <c r="B1568" s="8" t="s">
        <v>10</v>
      </c>
      <c r="C1568" s="24" t="s">
        <v>906</v>
      </c>
      <c r="D1568" s="9"/>
      <c r="E1568" s="26" t="s">
        <v>10</v>
      </c>
      <c r="F1568" s="27" t="str">
        <f>IF(H1569=1,IF(H1567=H$2,H1567,""),"")</f>
        <v/>
      </c>
      <c r="G1568" s="26"/>
      <c r="H1568" s="1" t="str">
        <f>IF(E1609="comprobar",COUNTIF(D1566:D1570,"x"),"")</f>
        <v/>
      </c>
    </row>
    <row r="1569" spans="2:8" x14ac:dyDescent="0.25">
      <c r="B1569" s="8" t="s">
        <v>11</v>
      </c>
      <c r="C1569" s="24" t="s">
        <v>907</v>
      </c>
      <c r="D1569" s="9"/>
      <c r="E1569" s="26" t="s">
        <v>11</v>
      </c>
      <c r="F1569" s="28" t="str">
        <f>IF(H1569=-0.33,IF(H1567=H$1,H1567,""),"")</f>
        <v/>
      </c>
      <c r="G1569" s="26"/>
      <c r="H1569" s="29">
        <f>IF(H1568=1,IF(H1567=H$2,1,-0.33),0)</f>
        <v>0</v>
      </c>
    </row>
    <row r="1570" spans="2:8" x14ac:dyDescent="0.25">
      <c r="B1570" s="8" t="s">
        <v>12</v>
      </c>
      <c r="C1570" s="24" t="s">
        <v>38</v>
      </c>
      <c r="D1570" s="9"/>
      <c r="E1570" s="26" t="s">
        <v>12</v>
      </c>
      <c r="F1570" s="25"/>
      <c r="G1570" s="26"/>
      <c r="H1570" s="1"/>
    </row>
    <row r="1571" spans="2:8" x14ac:dyDescent="0.25">
      <c r="B1571" s="11"/>
      <c r="C1571" s="12"/>
      <c r="D1571" s="9"/>
      <c r="E1571" s="26" t="s">
        <v>13</v>
      </c>
      <c r="F1571" s="30"/>
      <c r="G1571" s="26"/>
      <c r="H1571" s="15"/>
    </row>
    <row r="1572" spans="2:8" x14ac:dyDescent="0.25">
      <c r="B1572" s="5">
        <v>25</v>
      </c>
      <c r="C1572" s="21" t="s">
        <v>423</v>
      </c>
      <c r="D1572" s="6"/>
      <c r="E1572" s="23"/>
      <c r="F1572" s="22"/>
      <c r="G1572" s="31"/>
      <c r="H1572" s="31"/>
    </row>
    <row r="1573" spans="2:8" x14ac:dyDescent="0.25">
      <c r="B1573" s="8" t="s">
        <v>9</v>
      </c>
      <c r="C1573" s="24" t="s">
        <v>424</v>
      </c>
      <c r="D1573" s="9"/>
      <c r="E1573" s="26" t="s">
        <v>9</v>
      </c>
      <c r="F1573" s="25"/>
      <c r="G1573" s="32"/>
      <c r="H1573" s="1" t="b">
        <f>IF(D1573="x",H$2,H$1)</f>
        <v>0</v>
      </c>
    </row>
    <row r="1574" spans="2:8" x14ac:dyDescent="0.25">
      <c r="B1574" s="8" t="s">
        <v>10</v>
      </c>
      <c r="C1574" s="24" t="s">
        <v>425</v>
      </c>
      <c r="D1574" s="9"/>
      <c r="E1574" s="26" t="s">
        <v>10</v>
      </c>
      <c r="F1574" s="27" t="str">
        <f>IF(H1575=1,IF(H1573=H$2,H1573,""),"")</f>
        <v/>
      </c>
      <c r="G1574" s="32"/>
      <c r="H1574" s="1" t="str">
        <f>IF(E1609="comprobar",COUNTIF(D1572:D1576,"x"),"")</f>
        <v/>
      </c>
    </row>
    <row r="1575" spans="2:8" x14ac:dyDescent="0.25">
      <c r="B1575" s="8" t="s">
        <v>11</v>
      </c>
      <c r="C1575" s="24" t="s">
        <v>426</v>
      </c>
      <c r="D1575" s="9"/>
      <c r="E1575" s="26" t="s">
        <v>11</v>
      </c>
      <c r="F1575" s="28" t="str">
        <f>IF(H1575=-0.33,IF(H1573=H$1,H1573,""),"")</f>
        <v/>
      </c>
      <c r="G1575" s="32"/>
      <c r="H1575" s="29">
        <f>IF(H1574=1,IF(H1573=H$2,1,-0.33),0)</f>
        <v>0</v>
      </c>
    </row>
    <row r="1576" spans="2:8" x14ac:dyDescent="0.25">
      <c r="B1576" s="8" t="s">
        <v>12</v>
      </c>
      <c r="C1576" s="24" t="s">
        <v>427</v>
      </c>
      <c r="D1576" s="9"/>
      <c r="E1576" s="26" t="s">
        <v>12</v>
      </c>
      <c r="F1576" s="25"/>
      <c r="G1576" s="32"/>
      <c r="H1576" s="29"/>
    </row>
    <row r="1577" spans="2:8" x14ac:dyDescent="0.25">
      <c r="B1577" s="11"/>
      <c r="C1577" s="12"/>
      <c r="D1577" s="9"/>
      <c r="E1577" s="26" t="s">
        <v>13</v>
      </c>
      <c r="F1577" s="30"/>
      <c r="G1577" s="32"/>
      <c r="H1577" s="29"/>
    </row>
    <row r="1578" spans="2:8" x14ac:dyDescent="0.25">
      <c r="B1578" s="5">
        <v>26</v>
      </c>
      <c r="C1578" s="21" t="s">
        <v>908</v>
      </c>
      <c r="D1578" s="6"/>
      <c r="E1578" s="23"/>
      <c r="F1578" s="22"/>
      <c r="G1578" s="31"/>
      <c r="H1578" s="31"/>
    </row>
    <row r="1579" spans="2:8" x14ac:dyDescent="0.25">
      <c r="B1579" s="8" t="s">
        <v>9</v>
      </c>
      <c r="C1579" s="24" t="s">
        <v>451</v>
      </c>
      <c r="D1579" s="9"/>
      <c r="E1579" s="26" t="s">
        <v>9</v>
      </c>
      <c r="F1579" s="25"/>
      <c r="G1579" s="32"/>
      <c r="H1579" s="1" t="b">
        <f>IF(D1579="x",H$2,H$1)</f>
        <v>0</v>
      </c>
    </row>
    <row r="1580" spans="2:8" x14ac:dyDescent="0.25">
      <c r="B1580" s="8" t="s">
        <v>10</v>
      </c>
      <c r="C1580" s="24" t="s">
        <v>453</v>
      </c>
      <c r="D1580" s="9"/>
      <c r="E1580" s="26" t="s">
        <v>10</v>
      </c>
      <c r="F1580" s="27" t="str">
        <f>IF(H1581=1,IF(H1579=H$2,H1579,""),"")</f>
        <v/>
      </c>
      <c r="G1580" s="32"/>
      <c r="H1580" s="1" t="str">
        <f>IF(E1609="comprobar",COUNTIF(D1578:D1582,"x"),"")</f>
        <v/>
      </c>
    </row>
    <row r="1581" spans="2:8" x14ac:dyDescent="0.25">
      <c r="B1581" s="8" t="s">
        <v>11</v>
      </c>
      <c r="C1581" s="24" t="s">
        <v>909</v>
      </c>
      <c r="D1581" s="9"/>
      <c r="E1581" s="26" t="s">
        <v>11</v>
      </c>
      <c r="F1581" s="28" t="str">
        <f>IF(H1581=-0.33,IF(H1579=H$1,H1579,""),"")</f>
        <v/>
      </c>
      <c r="G1581" s="32"/>
      <c r="H1581" s="29">
        <f>IF(H1580=1,IF(H1579=H$2,1,-0.33),0)</f>
        <v>0</v>
      </c>
    </row>
    <row r="1582" spans="2:8" x14ac:dyDescent="0.25">
      <c r="B1582" s="8" t="s">
        <v>12</v>
      </c>
      <c r="C1582" s="24" t="s">
        <v>452</v>
      </c>
      <c r="D1582" s="9"/>
      <c r="E1582" s="26" t="s">
        <v>12</v>
      </c>
      <c r="F1582" s="25"/>
      <c r="G1582" s="32"/>
      <c r="H1582" s="29"/>
    </row>
    <row r="1583" spans="2:8" x14ac:dyDescent="0.25">
      <c r="B1583" s="11"/>
      <c r="C1583" s="12"/>
      <c r="D1583" s="9"/>
      <c r="E1583" s="26"/>
      <c r="F1583" s="25"/>
      <c r="G1583" s="32"/>
      <c r="H1583" s="29"/>
    </row>
    <row r="1584" spans="2:8" x14ac:dyDescent="0.25">
      <c r="B1584" s="5">
        <v>27</v>
      </c>
      <c r="C1584" s="21" t="s">
        <v>910</v>
      </c>
      <c r="D1584" s="6"/>
      <c r="E1584" s="23"/>
      <c r="F1584" s="22"/>
      <c r="G1584" s="23"/>
      <c r="H1584" s="23"/>
    </row>
    <row r="1585" spans="2:8" x14ac:dyDescent="0.25">
      <c r="B1585" s="8" t="s">
        <v>9</v>
      </c>
      <c r="C1585" s="24" t="s">
        <v>458</v>
      </c>
      <c r="D1585" s="9"/>
      <c r="E1585" s="26" t="s">
        <v>9</v>
      </c>
      <c r="F1585" s="25"/>
      <c r="G1585" s="26"/>
      <c r="H1585" s="1" t="b">
        <f>IF(D1586="x",H$2,H$1)</f>
        <v>0</v>
      </c>
    </row>
    <row r="1586" spans="2:8" x14ac:dyDescent="0.25">
      <c r="B1586" s="8" t="s">
        <v>10</v>
      </c>
      <c r="C1586" s="24" t="s">
        <v>457</v>
      </c>
      <c r="D1586" s="9"/>
      <c r="E1586" s="26" t="s">
        <v>10</v>
      </c>
      <c r="F1586" s="27" t="str">
        <f>IF(H1587=1,IF(H1585=H$2,H1585,""),"")</f>
        <v/>
      </c>
      <c r="G1586" s="26"/>
      <c r="H1586" s="1" t="str">
        <f>IF(E1609="comprobar",COUNTIF(D1584:D1588,"x"),"")</f>
        <v/>
      </c>
    </row>
    <row r="1587" spans="2:8" x14ac:dyDescent="0.25">
      <c r="B1587" s="8" t="s">
        <v>11</v>
      </c>
      <c r="C1587" s="24" t="s">
        <v>911</v>
      </c>
      <c r="D1587" s="9"/>
      <c r="E1587" s="26" t="s">
        <v>11</v>
      </c>
      <c r="F1587" s="28" t="str">
        <f>IF(H1587=-0.33,IF(H1585=H$1,H1585,""),"")</f>
        <v/>
      </c>
      <c r="G1587" s="26"/>
      <c r="H1587" s="29">
        <f>IF(H1586=1,IF(H1585=H$2,1,-0.33),0)</f>
        <v>0</v>
      </c>
    </row>
    <row r="1588" spans="2:8" x14ac:dyDescent="0.25">
      <c r="B1588" s="8" t="s">
        <v>12</v>
      </c>
      <c r="C1588" s="24" t="s">
        <v>456</v>
      </c>
      <c r="D1588" s="9"/>
      <c r="E1588" s="26" t="s">
        <v>12</v>
      </c>
      <c r="F1588" s="25"/>
      <c r="G1588" s="26"/>
      <c r="H1588" s="29"/>
    </row>
    <row r="1589" spans="2:8" x14ac:dyDescent="0.25">
      <c r="B1589" s="11"/>
      <c r="C1589" s="12"/>
      <c r="D1589" s="9"/>
      <c r="E1589" s="26" t="s">
        <v>13</v>
      </c>
      <c r="F1589" s="30"/>
      <c r="G1589" s="26"/>
      <c r="H1589" s="29"/>
    </row>
    <row r="1590" spans="2:8" ht="31.5" x14ac:dyDescent="0.25">
      <c r="B1590" s="5">
        <v>28</v>
      </c>
      <c r="C1590" s="21" t="s">
        <v>912</v>
      </c>
      <c r="D1590" s="6"/>
      <c r="E1590" s="23"/>
      <c r="F1590" s="22"/>
      <c r="G1590" s="23"/>
      <c r="H1590" s="23"/>
    </row>
    <row r="1591" spans="2:8" x14ac:dyDescent="0.25">
      <c r="B1591" s="8" t="s">
        <v>9</v>
      </c>
      <c r="C1591" s="24" t="s">
        <v>913</v>
      </c>
      <c r="D1591" s="9"/>
      <c r="E1591" s="26" t="s">
        <v>9</v>
      </c>
      <c r="F1591" s="25"/>
      <c r="G1591" s="26"/>
      <c r="H1591" s="1" t="b">
        <f>IF(D1593="x",H$2,H$1)</f>
        <v>0</v>
      </c>
    </row>
    <row r="1592" spans="2:8" x14ac:dyDescent="0.25">
      <c r="B1592" s="8" t="s">
        <v>10</v>
      </c>
      <c r="C1592" s="24" t="s">
        <v>914</v>
      </c>
      <c r="D1592" s="9"/>
      <c r="E1592" s="26" t="s">
        <v>10</v>
      </c>
      <c r="F1592" s="27" t="str">
        <f>IF(H1593=1,IF(H1591=H$2,H1591,""),"")</f>
        <v/>
      </c>
      <c r="G1592" s="26"/>
      <c r="H1592" s="1" t="str">
        <f>IF(E1609="comprobar",COUNTIF(D1590:D1594,"x"),"")</f>
        <v/>
      </c>
    </row>
    <row r="1593" spans="2:8" x14ac:dyDescent="0.25">
      <c r="B1593" s="8" t="s">
        <v>11</v>
      </c>
      <c r="C1593" s="24" t="s">
        <v>915</v>
      </c>
      <c r="D1593" s="9"/>
      <c r="E1593" s="26" t="s">
        <v>11</v>
      </c>
      <c r="F1593" s="28" t="str">
        <f>IF(H1593=-0.33,IF(H1591=H$1,H1591,""),"")</f>
        <v/>
      </c>
      <c r="G1593" s="26"/>
      <c r="H1593" s="29">
        <f t="shared" ref="H1593" si="37">IF(H1592=1,IF(H1591=H$2,1,-0.33),0)</f>
        <v>0</v>
      </c>
    </row>
    <row r="1594" spans="2:8" x14ac:dyDescent="0.25">
      <c r="B1594" s="8" t="s">
        <v>12</v>
      </c>
      <c r="C1594" s="24" t="s">
        <v>916</v>
      </c>
      <c r="D1594" s="9"/>
      <c r="E1594" s="26" t="s">
        <v>12</v>
      </c>
      <c r="F1594" s="25"/>
      <c r="G1594" s="26"/>
      <c r="H1594" s="26"/>
    </row>
    <row r="1595" spans="2:8" x14ac:dyDescent="0.25">
      <c r="B1595" s="11"/>
      <c r="C1595" s="12"/>
      <c r="D1595" s="9"/>
      <c r="E1595" s="26" t="s">
        <v>13</v>
      </c>
      <c r="F1595" s="30"/>
      <c r="G1595" s="26"/>
      <c r="H1595" s="26"/>
    </row>
    <row r="1596" spans="2:8" x14ac:dyDescent="0.25">
      <c r="B1596" s="5">
        <v>29</v>
      </c>
      <c r="C1596" s="21" t="s">
        <v>917</v>
      </c>
      <c r="D1596" s="6"/>
      <c r="E1596" s="23"/>
      <c r="F1596" s="22"/>
      <c r="G1596" s="23"/>
      <c r="H1596" s="23"/>
    </row>
    <row r="1597" spans="2:8" x14ac:dyDescent="0.25">
      <c r="B1597" s="8" t="s">
        <v>9</v>
      </c>
      <c r="C1597" s="24" t="s">
        <v>918</v>
      </c>
      <c r="D1597" s="9"/>
      <c r="E1597" s="26" t="s">
        <v>9</v>
      </c>
      <c r="F1597" s="25"/>
      <c r="G1597" s="26"/>
      <c r="H1597" s="1" t="b">
        <f>IF(D1600="x",H$2,H$1)</f>
        <v>0</v>
      </c>
    </row>
    <row r="1598" spans="2:8" x14ac:dyDescent="0.25">
      <c r="B1598" s="8" t="s">
        <v>10</v>
      </c>
      <c r="C1598" s="24" t="s">
        <v>919</v>
      </c>
      <c r="D1598" s="9"/>
      <c r="E1598" s="26" t="s">
        <v>10</v>
      </c>
      <c r="F1598" s="27" t="str">
        <f>IF(H1599=1,IF(H1597=H$2,H1597,""),"")</f>
        <v/>
      </c>
      <c r="G1598" s="26"/>
      <c r="H1598" s="1" t="str">
        <f>IF(E1609="comprobar",COUNTIF(D1596:D1600,"x"),"")</f>
        <v/>
      </c>
    </row>
    <row r="1599" spans="2:8" x14ac:dyDescent="0.25">
      <c r="B1599" s="8" t="s">
        <v>11</v>
      </c>
      <c r="C1599" s="24" t="s">
        <v>920</v>
      </c>
      <c r="D1599" s="9"/>
      <c r="E1599" s="26" t="s">
        <v>11</v>
      </c>
      <c r="F1599" s="28" t="str">
        <f>IF(H1599=-0.33,IF(H1597=H$1,H1597,""),"")</f>
        <v/>
      </c>
      <c r="G1599" s="26"/>
      <c r="H1599" s="29">
        <f>IF(H1598=1,IF(H1597=H$2,1,-0.33),0)</f>
        <v>0</v>
      </c>
    </row>
    <row r="1600" spans="2:8" x14ac:dyDescent="0.25">
      <c r="B1600" s="8" t="s">
        <v>12</v>
      </c>
      <c r="C1600" s="24" t="s">
        <v>921</v>
      </c>
      <c r="D1600" s="9"/>
      <c r="E1600" s="26" t="s">
        <v>12</v>
      </c>
      <c r="F1600" s="25"/>
      <c r="G1600" s="26"/>
      <c r="H1600" s="26"/>
    </row>
    <row r="1601" spans="2:12" x14ac:dyDescent="0.25">
      <c r="B1601" s="11"/>
      <c r="C1601" s="12"/>
      <c r="D1601" s="9"/>
      <c r="E1601" s="26" t="s">
        <v>13</v>
      </c>
      <c r="F1601" s="30"/>
      <c r="G1601" s="26"/>
      <c r="H1601" s="26"/>
    </row>
    <row r="1602" spans="2:12" ht="31.5" x14ac:dyDescent="0.25">
      <c r="B1602" s="5">
        <v>30</v>
      </c>
      <c r="C1602" s="21" t="s">
        <v>922</v>
      </c>
      <c r="D1602" s="6"/>
      <c r="E1602" s="23"/>
      <c r="F1602" s="22"/>
      <c r="G1602" s="23"/>
      <c r="H1602" s="23"/>
    </row>
    <row r="1603" spans="2:12" x14ac:dyDescent="0.25">
      <c r="B1603" s="8" t="s">
        <v>9</v>
      </c>
      <c r="C1603" s="24" t="s">
        <v>923</v>
      </c>
      <c r="D1603" s="9"/>
      <c r="E1603" s="26" t="s">
        <v>9</v>
      </c>
      <c r="F1603" s="25"/>
      <c r="G1603" s="26"/>
      <c r="H1603" s="1" t="b">
        <f>IF(D1604="x",H$2,H$1)</f>
        <v>0</v>
      </c>
    </row>
    <row r="1604" spans="2:12" x14ac:dyDescent="0.25">
      <c r="B1604" s="8" t="s">
        <v>10</v>
      </c>
      <c r="C1604" s="24" t="s">
        <v>909</v>
      </c>
      <c r="D1604" s="9"/>
      <c r="E1604" s="26" t="s">
        <v>10</v>
      </c>
      <c r="F1604" s="27" t="str">
        <f>IF(H1605=1,IF(H1603=H$2,H1603,""),"")</f>
        <v/>
      </c>
      <c r="G1604" s="26"/>
      <c r="H1604" s="1" t="str">
        <f>IF(E1609="comprobar",COUNTIF(D1602:D1606,"x"),"")</f>
        <v/>
      </c>
    </row>
    <row r="1605" spans="2:12" x14ac:dyDescent="0.25">
      <c r="B1605" s="8" t="s">
        <v>11</v>
      </c>
      <c r="C1605" s="24" t="s">
        <v>453</v>
      </c>
      <c r="D1605" s="9"/>
      <c r="E1605" s="26" t="s">
        <v>11</v>
      </c>
      <c r="F1605" s="28" t="str">
        <f>IF(H1605=-0.33,IF(H1603=H$1,H1603,""),"")</f>
        <v/>
      </c>
      <c r="G1605" s="26"/>
      <c r="H1605" s="29">
        <f>IF(H1604=1,IF(H1603=H$2,1,-0.33),0)</f>
        <v>0</v>
      </c>
    </row>
    <row r="1606" spans="2:12" x14ac:dyDescent="0.25">
      <c r="B1606" s="8" t="s">
        <v>12</v>
      </c>
      <c r="C1606" s="24" t="s">
        <v>924</v>
      </c>
      <c r="D1606" s="9"/>
      <c r="E1606" s="26" t="s">
        <v>12</v>
      </c>
      <c r="F1606" s="25"/>
      <c r="G1606" s="26"/>
      <c r="H1606" s="29"/>
    </row>
    <row r="1607" spans="2:12" x14ac:dyDescent="0.25">
      <c r="B1607" s="11"/>
      <c r="C1607" s="12"/>
      <c r="D1607" s="9"/>
      <c r="E1607" s="26" t="s">
        <v>13</v>
      </c>
      <c r="F1607" s="30"/>
      <c r="G1607" s="26"/>
      <c r="H1607" s="29"/>
    </row>
    <row r="1608" spans="2:12" x14ac:dyDescent="0.25">
      <c r="B1608" s="46"/>
      <c r="C1608" s="46"/>
      <c r="D1608" s="34"/>
      <c r="E1608" s="26"/>
      <c r="F1608" s="30"/>
      <c r="G1608" s="26"/>
      <c r="H1608" s="29"/>
    </row>
    <row r="1609" spans="2:12" x14ac:dyDescent="0.25">
      <c r="B1609" s="33"/>
      <c r="C1609" s="4"/>
      <c r="D1609" s="34"/>
      <c r="E1609" s="35"/>
      <c r="F1609" s="30"/>
      <c r="G1609" s="26"/>
      <c r="H1609" s="26"/>
    </row>
    <row r="1610" spans="2:12" x14ac:dyDescent="0.25">
      <c r="B1610" s="33"/>
      <c r="C1610" s="4"/>
      <c r="D1610" s="34"/>
      <c r="E1610" s="36"/>
      <c r="F1610" s="37" t="s">
        <v>8</v>
      </c>
      <c r="G1610" s="26" t="s">
        <v>6</v>
      </c>
      <c r="H1610" s="26" t="s">
        <v>7</v>
      </c>
    </row>
    <row r="1611" spans="2:12" ht="19.5" x14ac:dyDescent="0.25">
      <c r="B1611" s="33"/>
      <c r="C1611" s="38"/>
      <c r="D1611" s="51"/>
      <c r="E1611" s="51"/>
      <c r="F1611" s="39" t="str">
        <f>IF(E1609="comprobar",H1485+H1479+H1473+H1467+H1461+H1455+H1449+H1443+H1437+H1431+H1491+H1497+H1503+H1509+H1515+H1521+H1527+H1533+H1539+H1545+H1551+H1557+H1563+H1569+H1575+H1581+H1587+H1593+H1599+H1605,"")</f>
        <v/>
      </c>
      <c r="G1611" s="26">
        <f>10/2</f>
        <v>5</v>
      </c>
      <c r="H1611" s="26"/>
    </row>
    <row r="1612" spans="2:12" ht="16.5" thickBot="1" x14ac:dyDescent="0.3">
      <c r="B1612" s="40"/>
      <c r="C1612" s="41"/>
      <c r="D1612" s="42"/>
      <c r="E1612" s="43"/>
      <c r="F1612" s="44" t="str">
        <f>IF(F1611&gt;G1611,G1610,H1610)</f>
        <v>APROBADO</v>
      </c>
      <c r="G1612" s="26"/>
      <c r="H1612" s="26"/>
    </row>
    <row r="1613" spans="2:12" ht="28.5" x14ac:dyDescent="0.45">
      <c r="B1613" s="19" t="s">
        <v>81</v>
      </c>
      <c r="C1613" s="49" t="s">
        <v>717</v>
      </c>
      <c r="D1613" s="49"/>
      <c r="E1613" s="49"/>
      <c r="F1613" s="50"/>
      <c r="G1613" s="20"/>
      <c r="H1613" s="20"/>
    </row>
    <row r="1614" spans="2:12" ht="31.5" x14ac:dyDescent="0.25">
      <c r="B1614" s="5">
        <v>1</v>
      </c>
      <c r="C1614" s="21" t="s">
        <v>479</v>
      </c>
      <c r="D1614" s="6"/>
      <c r="E1614" s="23"/>
      <c r="F1614" s="22"/>
      <c r="G1614" s="23"/>
      <c r="H1614" s="23"/>
      <c r="L1614" s="48"/>
    </row>
    <row r="1615" spans="2:12" x14ac:dyDescent="0.25">
      <c r="B1615" s="8" t="s">
        <v>9</v>
      </c>
      <c r="C1615" s="24" t="s">
        <v>480</v>
      </c>
      <c r="D1615" s="9"/>
      <c r="E1615" s="26" t="s">
        <v>9</v>
      </c>
      <c r="F1615" s="25"/>
      <c r="G1615" s="26"/>
      <c r="H1615" s="1" t="b">
        <f>IF(D1615="x",H$2,H$1)</f>
        <v>0</v>
      </c>
      <c r="L1615" s="48"/>
    </row>
    <row r="1616" spans="2:12" x14ac:dyDescent="0.25">
      <c r="B1616" s="8" t="s">
        <v>10</v>
      </c>
      <c r="C1616" s="24" t="s">
        <v>481</v>
      </c>
      <c r="D1616" s="9"/>
      <c r="E1616" s="26" t="s">
        <v>10</v>
      </c>
      <c r="F1616" s="27" t="str">
        <f>IF(H1617=1,IF(H1615=H$2,H1615,""),"")</f>
        <v/>
      </c>
      <c r="G1616" s="26"/>
      <c r="H1616" s="1" t="str">
        <f>IF(E1795="comprobar",COUNTIF(D1615:D1619,"x"),"")</f>
        <v/>
      </c>
      <c r="L1616" s="48"/>
    </row>
    <row r="1617" spans="2:12" x14ac:dyDescent="0.25">
      <c r="B1617" s="8" t="s">
        <v>11</v>
      </c>
      <c r="C1617" s="24" t="s">
        <v>482</v>
      </c>
      <c r="D1617" s="9"/>
      <c r="E1617" s="26" t="s">
        <v>11</v>
      </c>
      <c r="F1617" s="28" t="str">
        <f>IF(H1617=-0.33,IF(H1615=H$1,H1615,""),"")</f>
        <v/>
      </c>
      <c r="G1617" s="26"/>
      <c r="H1617" s="29">
        <f>IF(H1616=1,IF(H1615=H$2,1,-0.33),0)</f>
        <v>0</v>
      </c>
      <c r="L1617" s="48"/>
    </row>
    <row r="1618" spans="2:12" x14ac:dyDescent="0.25">
      <c r="B1618" s="8" t="s">
        <v>12</v>
      </c>
      <c r="C1618" s="24" t="s">
        <v>483</v>
      </c>
      <c r="D1618" s="9"/>
      <c r="E1618" s="26" t="s">
        <v>12</v>
      </c>
      <c r="F1618" s="25"/>
      <c r="G1618" s="26"/>
      <c r="H1618" s="29"/>
      <c r="L1618" s="48"/>
    </row>
    <row r="1619" spans="2:12" x14ac:dyDescent="0.25">
      <c r="B1619" s="11"/>
      <c r="C1619" s="12"/>
      <c r="D1619" s="9"/>
      <c r="E1619" s="26" t="s">
        <v>13</v>
      </c>
      <c r="F1619" s="30"/>
      <c r="G1619" s="26"/>
      <c r="H1619" s="29"/>
      <c r="L1619" s="48"/>
    </row>
    <row r="1620" spans="2:12" ht="31.5" x14ac:dyDescent="0.25">
      <c r="B1620" s="5">
        <v>2</v>
      </c>
      <c r="C1620" s="21" t="s">
        <v>491</v>
      </c>
      <c r="D1620" s="6"/>
      <c r="E1620" s="23"/>
      <c r="F1620" s="22"/>
      <c r="G1620" s="23"/>
      <c r="H1620" s="23"/>
      <c r="L1620" s="48"/>
    </row>
    <row r="1621" spans="2:12" x14ac:dyDescent="0.25">
      <c r="B1621" s="8" t="s">
        <v>9</v>
      </c>
      <c r="C1621" s="24" t="s">
        <v>492</v>
      </c>
      <c r="D1621" s="9"/>
      <c r="E1621" s="26" t="s">
        <v>9</v>
      </c>
      <c r="F1621" s="25"/>
      <c r="G1621" s="26"/>
      <c r="H1621" s="1" t="b">
        <f>IF(D1623="x",H$2,H$1)</f>
        <v>0</v>
      </c>
      <c r="L1621" s="48"/>
    </row>
    <row r="1622" spans="2:12" x14ac:dyDescent="0.25">
      <c r="B1622" s="8" t="s">
        <v>10</v>
      </c>
      <c r="C1622" s="24" t="s">
        <v>493</v>
      </c>
      <c r="D1622" s="9"/>
      <c r="E1622" s="26" t="s">
        <v>10</v>
      </c>
      <c r="F1622" s="27" t="str">
        <f>IF(H1623=1,IF(H1621=H$2,H1621,""),"")</f>
        <v/>
      </c>
      <c r="G1622" s="26"/>
      <c r="H1622" s="1" t="str">
        <f>IF(E1795="comprobar",COUNTIF(D1621:D1625,"x"),"")</f>
        <v/>
      </c>
      <c r="L1622" s="48"/>
    </row>
    <row r="1623" spans="2:12" x14ac:dyDescent="0.25">
      <c r="B1623" s="8" t="s">
        <v>11</v>
      </c>
      <c r="C1623" s="24" t="s">
        <v>494</v>
      </c>
      <c r="D1623" s="9"/>
      <c r="E1623" s="26" t="s">
        <v>11</v>
      </c>
      <c r="F1623" s="28" t="str">
        <f>IF(H1623=-0.33,IF(H1621=H$1,H1621,""),"")</f>
        <v/>
      </c>
      <c r="G1623" s="26"/>
      <c r="H1623" s="29">
        <f>IF(H1622=1,IF(H1621=H$2,1,-0.33),0)</f>
        <v>0</v>
      </c>
      <c r="L1623" s="48"/>
    </row>
    <row r="1624" spans="2:12" x14ac:dyDescent="0.25">
      <c r="B1624" s="8" t="s">
        <v>12</v>
      </c>
      <c r="C1624" s="24" t="s">
        <v>368</v>
      </c>
      <c r="D1624" s="9"/>
      <c r="E1624" s="26" t="s">
        <v>12</v>
      </c>
      <c r="F1624" s="25"/>
      <c r="G1624" s="26"/>
      <c r="H1624" s="26"/>
      <c r="L1624" s="48"/>
    </row>
    <row r="1625" spans="2:12" x14ac:dyDescent="0.25">
      <c r="B1625" s="11"/>
      <c r="C1625" s="12"/>
      <c r="D1625" s="9"/>
      <c r="E1625" s="26" t="s">
        <v>13</v>
      </c>
      <c r="F1625" s="30"/>
      <c r="G1625" s="26"/>
      <c r="H1625" s="26"/>
      <c r="L1625" s="48"/>
    </row>
    <row r="1626" spans="2:12" ht="31.5" x14ac:dyDescent="0.25">
      <c r="B1626" s="5">
        <v>3</v>
      </c>
      <c r="C1626" s="21" t="s">
        <v>925</v>
      </c>
      <c r="D1626" s="6"/>
      <c r="E1626" s="23"/>
      <c r="F1626" s="22"/>
      <c r="G1626" s="23"/>
      <c r="H1626" s="23"/>
      <c r="L1626" s="48"/>
    </row>
    <row r="1627" spans="2:12" x14ac:dyDescent="0.25">
      <c r="B1627" s="8" t="s">
        <v>9</v>
      </c>
      <c r="C1627" s="24" t="s">
        <v>473</v>
      </c>
      <c r="D1627" s="9"/>
      <c r="E1627" s="26" t="s">
        <v>9</v>
      </c>
      <c r="F1627" s="25"/>
      <c r="G1627" s="26"/>
      <c r="H1627" s="1" t="b">
        <f>IF(D1629="x",H$2,H$1)</f>
        <v>0</v>
      </c>
      <c r="L1627" s="48"/>
    </row>
    <row r="1628" spans="2:12" x14ac:dyDescent="0.25">
      <c r="B1628" s="8" t="s">
        <v>10</v>
      </c>
      <c r="C1628" s="24" t="s">
        <v>472</v>
      </c>
      <c r="D1628" s="9"/>
      <c r="E1628" s="26" t="s">
        <v>10</v>
      </c>
      <c r="F1628" s="27" t="str">
        <f>IF(H1629=1,IF(H1627=H$2,H1627,""),"")</f>
        <v/>
      </c>
      <c r="G1628" s="26"/>
      <c r="H1628" s="1" t="str">
        <f>IF(E1795="comprobar",COUNTIF(D1627:D1631,"x"),"")</f>
        <v/>
      </c>
      <c r="L1628" s="48"/>
    </row>
    <row r="1629" spans="2:12" x14ac:dyDescent="0.25">
      <c r="B1629" s="8" t="s">
        <v>11</v>
      </c>
      <c r="C1629" s="24" t="s">
        <v>485</v>
      </c>
      <c r="D1629" s="9"/>
      <c r="E1629" s="26" t="s">
        <v>11</v>
      </c>
      <c r="F1629" s="28" t="str">
        <f>IF(H1629=-0.33,IF(H1627=H$1,H1627,""),"")</f>
        <v/>
      </c>
      <c r="G1629" s="26"/>
      <c r="H1629" s="29">
        <f>IF(H1628=1,IF(H1627=H$2,1,-0.33),0)</f>
        <v>0</v>
      </c>
      <c r="L1629" s="48"/>
    </row>
    <row r="1630" spans="2:12" x14ac:dyDescent="0.25">
      <c r="B1630" s="8" t="s">
        <v>12</v>
      </c>
      <c r="C1630" s="24" t="s">
        <v>471</v>
      </c>
      <c r="D1630" s="9"/>
      <c r="E1630" s="26" t="s">
        <v>12</v>
      </c>
      <c r="F1630" s="25"/>
      <c r="G1630" s="26"/>
      <c r="H1630" s="29"/>
      <c r="L1630" s="48"/>
    </row>
    <row r="1631" spans="2:12" x14ac:dyDescent="0.25">
      <c r="B1631" s="11"/>
      <c r="C1631" s="12"/>
      <c r="D1631" s="9"/>
      <c r="E1631" s="26" t="s">
        <v>13</v>
      </c>
      <c r="F1631" s="30"/>
      <c r="G1631" s="26"/>
      <c r="H1631" s="29"/>
      <c r="L1631" s="48"/>
    </row>
    <row r="1632" spans="2:12" x14ac:dyDescent="0.25">
      <c r="B1632" s="5">
        <v>4</v>
      </c>
      <c r="C1632" s="21" t="s">
        <v>926</v>
      </c>
      <c r="D1632" s="6"/>
      <c r="E1632" s="23"/>
      <c r="F1632" s="22"/>
      <c r="G1632" s="23"/>
      <c r="H1632" s="23"/>
      <c r="L1632" s="48"/>
    </row>
    <row r="1633" spans="2:12" x14ac:dyDescent="0.25">
      <c r="B1633" s="8" t="s">
        <v>9</v>
      </c>
      <c r="C1633" s="24" t="s">
        <v>927</v>
      </c>
      <c r="D1633" s="9"/>
      <c r="E1633" s="26" t="s">
        <v>9</v>
      </c>
      <c r="F1633" s="25"/>
      <c r="G1633" s="26"/>
      <c r="H1633" s="1" t="b">
        <f>IF(D1633="x",H$2,H$1)</f>
        <v>0</v>
      </c>
      <c r="L1633" s="48"/>
    </row>
    <row r="1634" spans="2:12" x14ac:dyDescent="0.25">
      <c r="B1634" s="8" t="s">
        <v>10</v>
      </c>
      <c r="C1634" s="24" t="s">
        <v>928</v>
      </c>
      <c r="D1634" s="9"/>
      <c r="E1634" s="26" t="s">
        <v>10</v>
      </c>
      <c r="F1634" s="27" t="str">
        <f>IF(H1635=1,IF(H1633=H$2,H1633,""),"")</f>
        <v/>
      </c>
      <c r="G1634" s="26"/>
      <c r="H1634" s="1" t="str">
        <f>IF(E1795="comprobar",COUNTIF(D1633:D1637,"x"),"")</f>
        <v/>
      </c>
      <c r="L1634" s="48"/>
    </row>
    <row r="1635" spans="2:12" x14ac:dyDescent="0.25">
      <c r="B1635" s="8" t="s">
        <v>11</v>
      </c>
      <c r="C1635" s="24" t="s">
        <v>929</v>
      </c>
      <c r="D1635" s="9"/>
      <c r="E1635" s="26" t="s">
        <v>11</v>
      </c>
      <c r="F1635" s="28" t="str">
        <f>IF(H1635=-0.33,IF(H1633=H$1,H1633,""),"")</f>
        <v/>
      </c>
      <c r="G1635" s="26"/>
      <c r="H1635" s="29">
        <f>IF(H1634=1,IF(H1633=H$2,1,-0.33),0)</f>
        <v>0</v>
      </c>
      <c r="L1635" s="48"/>
    </row>
    <row r="1636" spans="2:12" x14ac:dyDescent="0.25">
      <c r="B1636" s="8" t="s">
        <v>12</v>
      </c>
      <c r="C1636" s="24" t="s">
        <v>930</v>
      </c>
      <c r="D1636" s="9"/>
      <c r="E1636" s="26" t="s">
        <v>12</v>
      </c>
      <c r="F1636" s="25"/>
      <c r="G1636" s="26"/>
      <c r="H1636" s="29"/>
      <c r="L1636" s="48"/>
    </row>
    <row r="1637" spans="2:12" x14ac:dyDescent="0.25">
      <c r="B1637" s="11"/>
      <c r="C1637" s="12"/>
      <c r="D1637" s="9"/>
      <c r="E1637" s="26" t="s">
        <v>13</v>
      </c>
      <c r="F1637" s="30"/>
      <c r="G1637" s="26"/>
      <c r="H1637" s="29"/>
      <c r="L1637" s="48"/>
    </row>
    <row r="1638" spans="2:12" ht="31.5" x14ac:dyDescent="0.25">
      <c r="B1638" s="5">
        <v>5</v>
      </c>
      <c r="C1638" s="21" t="s">
        <v>931</v>
      </c>
      <c r="D1638" s="6"/>
      <c r="E1638" s="23"/>
      <c r="F1638" s="22"/>
      <c r="G1638" s="23"/>
      <c r="H1638" s="23"/>
      <c r="L1638" s="48"/>
    </row>
    <row r="1639" spans="2:12" x14ac:dyDescent="0.25">
      <c r="B1639" s="8" t="s">
        <v>9</v>
      </c>
      <c r="C1639" s="24" t="s">
        <v>522</v>
      </c>
      <c r="D1639" s="9"/>
      <c r="E1639" s="26" t="s">
        <v>9</v>
      </c>
      <c r="F1639" s="25"/>
      <c r="G1639" s="26"/>
      <c r="H1639" s="1" t="b">
        <f>IF(D1640="x",H$2,H$1)</f>
        <v>0</v>
      </c>
      <c r="L1639" s="48"/>
    </row>
    <row r="1640" spans="2:12" x14ac:dyDescent="0.25">
      <c r="B1640" s="8" t="s">
        <v>10</v>
      </c>
      <c r="C1640" s="24" t="s">
        <v>932</v>
      </c>
      <c r="D1640" s="9"/>
      <c r="E1640" s="26" t="s">
        <v>10</v>
      </c>
      <c r="F1640" s="27" t="str">
        <f>IF(H1641=1,IF(H1639=H$2,H1639,""),"")</f>
        <v/>
      </c>
      <c r="G1640" s="26"/>
      <c r="H1640" s="1" t="str">
        <f>IF(E1795="comprobar",COUNTIF(D1639:D1643,"x"),"")</f>
        <v/>
      </c>
      <c r="L1640" s="48"/>
    </row>
    <row r="1641" spans="2:12" x14ac:dyDescent="0.25">
      <c r="B1641" s="8" t="s">
        <v>11</v>
      </c>
      <c r="C1641" s="24" t="s">
        <v>933</v>
      </c>
      <c r="D1641" s="9"/>
      <c r="E1641" s="26" t="s">
        <v>11</v>
      </c>
      <c r="F1641" s="28" t="str">
        <f>IF(H1641=-0.33,IF(H1639=H$1,H1639,""),"")</f>
        <v/>
      </c>
      <c r="G1641" s="26"/>
      <c r="H1641" s="29">
        <f t="shared" ref="H1641" si="38">IF(H1640=1,IF(H1639=H$2,1,-0.33),0)</f>
        <v>0</v>
      </c>
      <c r="L1641" s="48"/>
    </row>
    <row r="1642" spans="2:12" x14ac:dyDescent="0.25">
      <c r="B1642" s="8" t="s">
        <v>12</v>
      </c>
      <c r="C1642" s="24" t="s">
        <v>934</v>
      </c>
      <c r="D1642" s="9"/>
      <c r="E1642" s="26" t="s">
        <v>12</v>
      </c>
      <c r="F1642" s="25"/>
      <c r="G1642" s="26"/>
      <c r="H1642" s="26"/>
      <c r="L1642" s="48"/>
    </row>
    <row r="1643" spans="2:12" x14ac:dyDescent="0.25">
      <c r="B1643" s="11"/>
      <c r="C1643" s="12"/>
      <c r="D1643" s="9"/>
      <c r="E1643" s="26" t="s">
        <v>13</v>
      </c>
      <c r="F1643" s="30"/>
      <c r="G1643" s="26"/>
      <c r="H1643" s="26"/>
      <c r="L1643" s="48"/>
    </row>
    <row r="1644" spans="2:12" ht="31.5" x14ac:dyDescent="0.25">
      <c r="B1644" s="5">
        <v>6</v>
      </c>
      <c r="C1644" s="21" t="s">
        <v>484</v>
      </c>
      <c r="D1644" s="6"/>
      <c r="E1644" s="23"/>
      <c r="F1644" s="22"/>
      <c r="G1644" s="23"/>
      <c r="H1644" s="23"/>
      <c r="L1644" s="48"/>
    </row>
    <row r="1645" spans="2:12" x14ac:dyDescent="0.25">
      <c r="B1645" s="8" t="s">
        <v>9</v>
      </c>
      <c r="C1645" s="24" t="s">
        <v>473</v>
      </c>
      <c r="D1645" s="9"/>
      <c r="E1645" s="26" t="s">
        <v>9</v>
      </c>
      <c r="F1645" s="25"/>
      <c r="G1645" s="26"/>
      <c r="H1645" s="1" t="b">
        <f>IF(D1647="x",H$2,H$1)</f>
        <v>0</v>
      </c>
      <c r="L1645" s="48"/>
    </row>
    <row r="1646" spans="2:12" x14ac:dyDescent="0.25">
      <c r="B1646" s="8" t="s">
        <v>10</v>
      </c>
      <c r="C1646" s="24" t="s">
        <v>485</v>
      </c>
      <c r="D1646" s="9"/>
      <c r="E1646" s="26" t="s">
        <v>10</v>
      </c>
      <c r="F1646" s="27" t="str">
        <f>IF(H1647=1,IF(H1645=H$2,H1645,""),"")</f>
        <v/>
      </c>
      <c r="G1646" s="26"/>
      <c r="H1646" s="1" t="str">
        <f>IF(E1795="comprobar",COUNTIF(D1645:D1649,"x"),"")</f>
        <v/>
      </c>
      <c r="L1646" s="48"/>
    </row>
    <row r="1647" spans="2:12" x14ac:dyDescent="0.25">
      <c r="B1647" s="8" t="s">
        <v>11</v>
      </c>
      <c r="C1647" s="24" t="s">
        <v>486</v>
      </c>
      <c r="D1647" s="9"/>
      <c r="E1647" s="26" t="s">
        <v>11</v>
      </c>
      <c r="F1647" s="28" t="str">
        <f>IF(H1647=-0.33,IF(H1645=H$1,H1645,""),"")</f>
        <v/>
      </c>
      <c r="G1647" s="26"/>
      <c r="H1647" s="29">
        <f>IF(H1646=1,IF(H1645=H$2,1,-0.33),0)</f>
        <v>0</v>
      </c>
      <c r="L1647" s="48"/>
    </row>
    <row r="1648" spans="2:12" x14ac:dyDescent="0.25">
      <c r="B1648" s="8" t="s">
        <v>12</v>
      </c>
      <c r="C1648" s="24" t="s">
        <v>471</v>
      </c>
      <c r="D1648" s="9"/>
      <c r="E1648" s="26" t="s">
        <v>12</v>
      </c>
      <c r="F1648" s="25"/>
      <c r="G1648" s="26"/>
      <c r="H1648" s="26"/>
      <c r="L1648" s="48"/>
    </row>
    <row r="1649" spans="2:12" x14ac:dyDescent="0.25">
      <c r="B1649" s="11"/>
      <c r="C1649" s="12"/>
      <c r="D1649" s="9"/>
      <c r="E1649" s="26" t="s">
        <v>13</v>
      </c>
      <c r="F1649" s="30"/>
      <c r="G1649" s="26"/>
      <c r="H1649" s="26"/>
      <c r="L1649" s="48"/>
    </row>
    <row r="1650" spans="2:12" x14ac:dyDescent="0.25">
      <c r="B1650" s="5">
        <v>7</v>
      </c>
      <c r="C1650" s="21" t="s">
        <v>487</v>
      </c>
      <c r="D1650" s="6"/>
      <c r="E1650" s="23"/>
      <c r="F1650" s="22"/>
      <c r="G1650" s="23"/>
      <c r="H1650" s="23"/>
      <c r="L1650" s="48"/>
    </row>
    <row r="1651" spans="2:12" x14ac:dyDescent="0.25">
      <c r="B1651" s="8" t="s">
        <v>9</v>
      </c>
      <c r="C1651" s="24" t="s">
        <v>488</v>
      </c>
      <c r="D1651" s="9"/>
      <c r="E1651" s="26" t="s">
        <v>9</v>
      </c>
      <c r="F1651" s="25"/>
      <c r="G1651" s="26"/>
      <c r="H1651" s="1" t="b">
        <f>IF(D1654="x",H$2,H$1)</f>
        <v>0</v>
      </c>
      <c r="L1651" s="48"/>
    </row>
    <row r="1652" spans="2:12" x14ac:dyDescent="0.25">
      <c r="B1652" s="8" t="s">
        <v>10</v>
      </c>
      <c r="C1652" s="24" t="s">
        <v>489</v>
      </c>
      <c r="D1652" s="9"/>
      <c r="E1652" s="26" t="s">
        <v>10</v>
      </c>
      <c r="F1652" s="27" t="str">
        <f>IF(H1653=1,IF(H1651=H$2,H1651,""),"")</f>
        <v/>
      </c>
      <c r="G1652" s="26"/>
      <c r="H1652" s="1" t="str">
        <f>IF(E1795="comprobar",COUNTIF(D1651:D1655,"x"),"")</f>
        <v/>
      </c>
      <c r="L1652" s="48"/>
    </row>
    <row r="1653" spans="2:12" x14ac:dyDescent="0.25">
      <c r="B1653" s="8" t="s">
        <v>11</v>
      </c>
      <c r="C1653" s="24" t="s">
        <v>490</v>
      </c>
      <c r="D1653" s="9"/>
      <c r="E1653" s="26" t="s">
        <v>11</v>
      </c>
      <c r="F1653" s="28" t="str">
        <f>IF(H1653=-0.33,IF(H1651=H$1,H1651,""),"")</f>
        <v/>
      </c>
      <c r="G1653" s="26"/>
      <c r="H1653" s="29">
        <f>IF(H1652=1,IF(H1651=H$2,1,-0.33),0)</f>
        <v>0</v>
      </c>
      <c r="L1653" s="48"/>
    </row>
    <row r="1654" spans="2:12" x14ac:dyDescent="0.25">
      <c r="B1654" s="8" t="s">
        <v>12</v>
      </c>
      <c r="C1654" s="24" t="s">
        <v>38</v>
      </c>
      <c r="D1654" s="9"/>
      <c r="E1654" s="26" t="s">
        <v>12</v>
      </c>
      <c r="F1654" s="25"/>
      <c r="G1654" s="26"/>
      <c r="H1654" s="29"/>
      <c r="L1654" s="48"/>
    </row>
    <row r="1655" spans="2:12" x14ac:dyDescent="0.25">
      <c r="B1655" s="11"/>
      <c r="C1655" s="12"/>
      <c r="D1655" s="9"/>
      <c r="E1655" s="26" t="s">
        <v>13</v>
      </c>
      <c r="F1655" s="30"/>
      <c r="G1655" s="26"/>
      <c r="H1655" s="29"/>
      <c r="L1655" s="48"/>
    </row>
    <row r="1656" spans="2:12" x14ac:dyDescent="0.25">
      <c r="B1656" s="5">
        <v>8</v>
      </c>
      <c r="C1656" s="21" t="s">
        <v>474</v>
      </c>
      <c r="D1656" s="6"/>
      <c r="E1656" s="23"/>
      <c r="F1656" s="22"/>
      <c r="G1656" s="23"/>
      <c r="H1656" s="23"/>
      <c r="L1656" s="48"/>
    </row>
    <row r="1657" spans="2:12" x14ac:dyDescent="0.25">
      <c r="B1657" s="8" t="s">
        <v>9</v>
      </c>
      <c r="C1657" s="24" t="s">
        <v>475</v>
      </c>
      <c r="D1657" s="9"/>
      <c r="E1657" s="26" t="s">
        <v>9</v>
      </c>
      <c r="F1657" s="25"/>
      <c r="G1657" s="26"/>
      <c r="H1657" s="1" t="b">
        <f>IF(D1660="x",H$2,H$1)</f>
        <v>0</v>
      </c>
      <c r="L1657" s="48"/>
    </row>
    <row r="1658" spans="2:12" x14ac:dyDescent="0.25">
      <c r="B1658" s="8" t="s">
        <v>10</v>
      </c>
      <c r="C1658" s="24" t="s">
        <v>476</v>
      </c>
      <c r="D1658" s="9"/>
      <c r="E1658" s="26" t="s">
        <v>10</v>
      </c>
      <c r="F1658" s="27" t="str">
        <f>IF(H1659=1,IF(H1657=H$2,H1657,""),"")</f>
        <v/>
      </c>
      <c r="G1658" s="26"/>
      <c r="H1658" s="1" t="str">
        <f>IF(E1795="comprobar",COUNTIF(D1657:D1661,"x"),"")</f>
        <v/>
      </c>
      <c r="L1658" s="48"/>
    </row>
    <row r="1659" spans="2:12" x14ac:dyDescent="0.25">
      <c r="B1659" s="8" t="s">
        <v>11</v>
      </c>
      <c r="C1659" s="24" t="s">
        <v>477</v>
      </c>
      <c r="D1659" s="9"/>
      <c r="E1659" s="26" t="s">
        <v>11</v>
      </c>
      <c r="F1659" s="28" t="str">
        <f>IF(H1659=-0.33,IF(H1657=H$1,H1657,""),"")</f>
        <v/>
      </c>
      <c r="G1659" s="26"/>
      <c r="H1659" s="29">
        <f>IF(H1658=1,IF(H1657=H$2,1,-0.33),0)</f>
        <v>0</v>
      </c>
      <c r="L1659" s="48"/>
    </row>
    <row r="1660" spans="2:12" x14ac:dyDescent="0.25">
      <c r="B1660" s="8" t="s">
        <v>12</v>
      </c>
      <c r="C1660" s="24" t="s">
        <v>478</v>
      </c>
      <c r="D1660" s="9"/>
      <c r="E1660" s="26" t="s">
        <v>12</v>
      </c>
      <c r="F1660" s="25"/>
      <c r="G1660" s="26"/>
      <c r="H1660" s="29"/>
      <c r="L1660" s="48"/>
    </row>
    <row r="1661" spans="2:12" x14ac:dyDescent="0.25">
      <c r="B1661" s="11"/>
      <c r="C1661" s="12"/>
      <c r="D1661" s="9"/>
      <c r="E1661" s="26" t="s">
        <v>13</v>
      </c>
      <c r="F1661" s="30"/>
      <c r="G1661" s="26"/>
      <c r="H1661" s="29"/>
      <c r="L1661" s="48"/>
    </row>
    <row r="1662" spans="2:12" ht="31.5" x14ac:dyDescent="0.25">
      <c r="B1662" s="5">
        <v>9</v>
      </c>
      <c r="C1662" s="21" t="s">
        <v>935</v>
      </c>
      <c r="D1662" s="6"/>
      <c r="E1662" s="23"/>
      <c r="F1662" s="22"/>
      <c r="G1662" s="23"/>
      <c r="H1662" s="23"/>
      <c r="L1662" s="48"/>
    </row>
    <row r="1663" spans="2:12" x14ac:dyDescent="0.25">
      <c r="B1663" s="8" t="s">
        <v>9</v>
      </c>
      <c r="C1663" s="24" t="s">
        <v>936</v>
      </c>
      <c r="D1663" s="9"/>
      <c r="E1663" s="26" t="s">
        <v>9</v>
      </c>
      <c r="F1663" s="25"/>
      <c r="G1663" s="26"/>
      <c r="H1663" s="1" t="b">
        <f>IF(D1664="x",H$2,H$1)</f>
        <v>0</v>
      </c>
      <c r="L1663" s="48"/>
    </row>
    <row r="1664" spans="2:12" x14ac:dyDescent="0.25">
      <c r="B1664" s="8" t="s">
        <v>10</v>
      </c>
      <c r="C1664" s="24" t="s">
        <v>937</v>
      </c>
      <c r="D1664" s="9"/>
      <c r="E1664" s="26" t="s">
        <v>10</v>
      </c>
      <c r="F1664" s="27" t="str">
        <f>IF(H1665=1,IF(H1663=H$2,H1663,""),"")</f>
        <v/>
      </c>
      <c r="G1664" s="26"/>
      <c r="H1664" s="1" t="str">
        <f>IF(E1795="comprobar",COUNTIF(D1663:D1667,"x"),"")</f>
        <v/>
      </c>
      <c r="L1664" s="48"/>
    </row>
    <row r="1665" spans="2:12" x14ac:dyDescent="0.25">
      <c r="B1665" s="8" t="s">
        <v>11</v>
      </c>
      <c r="C1665" s="24" t="s">
        <v>938</v>
      </c>
      <c r="D1665" s="9"/>
      <c r="E1665" s="26" t="s">
        <v>11</v>
      </c>
      <c r="F1665" s="28" t="str">
        <f>IF(H1665=-0.33,IF(H1663=H$1,H1663,""),"")</f>
        <v/>
      </c>
      <c r="G1665" s="26"/>
      <c r="H1665" s="29">
        <f>IF(H1664=1,IF(H1663=H$2,1,-0.33),0)</f>
        <v>0</v>
      </c>
      <c r="L1665" s="48"/>
    </row>
    <row r="1666" spans="2:12" x14ac:dyDescent="0.25">
      <c r="B1666" s="8" t="s">
        <v>12</v>
      </c>
      <c r="C1666" s="24" t="s">
        <v>939</v>
      </c>
      <c r="D1666" s="9"/>
      <c r="E1666" s="26" t="s">
        <v>12</v>
      </c>
      <c r="F1666" s="25"/>
      <c r="G1666" s="26"/>
      <c r="H1666" s="1"/>
      <c r="L1666" s="48"/>
    </row>
    <row r="1667" spans="2:12" x14ac:dyDescent="0.25">
      <c r="B1667" s="11"/>
      <c r="C1667" s="12"/>
      <c r="D1667" s="9"/>
      <c r="E1667" s="26" t="s">
        <v>13</v>
      </c>
      <c r="F1667" s="30"/>
      <c r="G1667" s="26"/>
      <c r="H1667" s="15"/>
      <c r="L1667" s="48"/>
    </row>
    <row r="1668" spans="2:12" x14ac:dyDescent="0.25">
      <c r="B1668" s="5">
        <v>10</v>
      </c>
      <c r="C1668" s="21" t="s">
        <v>940</v>
      </c>
      <c r="D1668" s="6"/>
      <c r="E1668" s="23"/>
      <c r="F1668" s="22"/>
      <c r="G1668" s="31"/>
      <c r="H1668" s="31"/>
      <c r="L1668" s="48"/>
    </row>
    <row r="1669" spans="2:12" x14ac:dyDescent="0.25">
      <c r="B1669" s="8" t="s">
        <v>9</v>
      </c>
      <c r="C1669" s="24" t="s">
        <v>941</v>
      </c>
      <c r="D1669" s="9"/>
      <c r="E1669" s="26" t="s">
        <v>9</v>
      </c>
      <c r="F1669" s="25"/>
      <c r="G1669" s="32"/>
      <c r="H1669" s="1" t="b">
        <f>IF(D1671="x",H$2,H$1)</f>
        <v>0</v>
      </c>
      <c r="L1669" s="48"/>
    </row>
    <row r="1670" spans="2:12" x14ac:dyDescent="0.25">
      <c r="B1670" s="8" t="s">
        <v>10</v>
      </c>
      <c r="C1670" s="24" t="s">
        <v>942</v>
      </c>
      <c r="D1670" s="9"/>
      <c r="E1670" s="26" t="s">
        <v>10</v>
      </c>
      <c r="F1670" s="27" t="str">
        <f>IF(H1671=1,IF(H1669=H$2,H1669,""),"")</f>
        <v/>
      </c>
      <c r="G1670" s="32"/>
      <c r="H1670" s="1" t="str">
        <f>IF(E1795="comprobar",COUNTIF(D1669:D1673,"x"),"")</f>
        <v/>
      </c>
      <c r="L1670" s="48"/>
    </row>
    <row r="1671" spans="2:12" x14ac:dyDescent="0.25">
      <c r="B1671" s="8" t="s">
        <v>11</v>
      </c>
      <c r="C1671" s="24" t="s">
        <v>498</v>
      </c>
      <c r="D1671" s="9"/>
      <c r="E1671" s="26" t="s">
        <v>11</v>
      </c>
      <c r="F1671" s="28" t="str">
        <f>IF(H1671=-0.33,IF(H1669=H$1,H1669,""),"")</f>
        <v/>
      </c>
      <c r="G1671" s="32"/>
      <c r="H1671" s="29">
        <f>IF(H1670=1,IF(H1669=H$2,1,-0.33),0)</f>
        <v>0</v>
      </c>
      <c r="L1671" s="48"/>
    </row>
    <row r="1672" spans="2:12" x14ac:dyDescent="0.25">
      <c r="B1672" s="8" t="s">
        <v>12</v>
      </c>
      <c r="C1672" s="24" t="s">
        <v>449</v>
      </c>
      <c r="D1672" s="9"/>
      <c r="E1672" s="26" t="s">
        <v>12</v>
      </c>
      <c r="F1672" s="25"/>
      <c r="G1672" s="32"/>
      <c r="H1672" s="29"/>
      <c r="L1672" s="48"/>
    </row>
    <row r="1673" spans="2:12" x14ac:dyDescent="0.25">
      <c r="B1673" s="11"/>
      <c r="C1673" s="12"/>
      <c r="D1673" s="9"/>
      <c r="E1673" s="26" t="s">
        <v>13</v>
      </c>
      <c r="F1673" s="30"/>
      <c r="G1673" s="32"/>
      <c r="H1673" s="29"/>
      <c r="L1673" s="48"/>
    </row>
    <row r="1674" spans="2:12" x14ac:dyDescent="0.25">
      <c r="B1674" s="5">
        <v>11</v>
      </c>
      <c r="C1674" s="21" t="s">
        <v>943</v>
      </c>
      <c r="D1674" s="6"/>
      <c r="E1674" s="23"/>
      <c r="F1674" s="22"/>
      <c r="G1674" s="31"/>
      <c r="H1674" s="31"/>
      <c r="L1674" s="48"/>
    </row>
    <row r="1675" spans="2:12" ht="31.5" x14ac:dyDescent="0.25">
      <c r="B1675" s="8" t="s">
        <v>9</v>
      </c>
      <c r="C1675" s="24" t="s">
        <v>944</v>
      </c>
      <c r="D1675" s="9"/>
      <c r="E1675" s="26" t="s">
        <v>9</v>
      </c>
      <c r="F1675" s="25"/>
      <c r="G1675" s="32"/>
      <c r="H1675" s="1" t="b">
        <f>IF(D1678="x",H$2,H$1)</f>
        <v>0</v>
      </c>
      <c r="L1675" s="48"/>
    </row>
    <row r="1676" spans="2:12" x14ac:dyDescent="0.25">
      <c r="B1676" s="8" t="s">
        <v>10</v>
      </c>
      <c r="C1676" s="24" t="s">
        <v>945</v>
      </c>
      <c r="D1676" s="9"/>
      <c r="E1676" s="26" t="s">
        <v>10</v>
      </c>
      <c r="F1676" s="27" t="str">
        <f>IF(H1677=1,IF(H1675=H$2,H1675,""),"")</f>
        <v/>
      </c>
      <c r="G1676" s="32"/>
      <c r="H1676" s="1" t="str">
        <f>IF(E1795="comprobar",COUNTIF(D1675:D1679,"x"),"")</f>
        <v/>
      </c>
      <c r="L1676" s="48"/>
    </row>
    <row r="1677" spans="2:12" x14ac:dyDescent="0.25">
      <c r="B1677" s="8" t="s">
        <v>11</v>
      </c>
      <c r="C1677" s="24" t="s">
        <v>946</v>
      </c>
      <c r="D1677" s="9"/>
      <c r="E1677" s="26" t="s">
        <v>11</v>
      </c>
      <c r="F1677" s="28" t="str">
        <f>IF(H1677=-0.33,IF(H1675=H$1,H1675,""),"")</f>
        <v/>
      </c>
      <c r="G1677" s="32"/>
      <c r="H1677" s="29">
        <f>IF(H1676=1,IF(H1675=H$2,1,-0.33),0)</f>
        <v>0</v>
      </c>
      <c r="L1677" s="48"/>
    </row>
    <row r="1678" spans="2:12" x14ac:dyDescent="0.25">
      <c r="B1678" s="8" t="s">
        <v>12</v>
      </c>
      <c r="C1678" s="24" t="s">
        <v>32</v>
      </c>
      <c r="D1678" s="9"/>
      <c r="E1678" s="26" t="s">
        <v>12</v>
      </c>
      <c r="F1678" s="25"/>
      <c r="G1678" s="32"/>
      <c r="H1678" s="29"/>
      <c r="L1678" s="48"/>
    </row>
    <row r="1679" spans="2:12" x14ac:dyDescent="0.25">
      <c r="B1679" s="11"/>
      <c r="C1679" s="12"/>
      <c r="D1679" s="9"/>
      <c r="E1679" s="26"/>
      <c r="F1679" s="25"/>
      <c r="G1679" s="32"/>
      <c r="H1679" s="29"/>
      <c r="L1679" s="48"/>
    </row>
    <row r="1680" spans="2:12" x14ac:dyDescent="0.25">
      <c r="B1680" s="5">
        <v>12</v>
      </c>
      <c r="C1680" s="21" t="s">
        <v>947</v>
      </c>
      <c r="D1680" s="6"/>
      <c r="E1680" s="23"/>
      <c r="F1680" s="22"/>
      <c r="G1680" s="23"/>
      <c r="H1680" s="23"/>
      <c r="L1680" s="48"/>
    </row>
    <row r="1681" spans="2:12" ht="31.5" x14ac:dyDescent="0.25">
      <c r="B1681" s="8" t="s">
        <v>9</v>
      </c>
      <c r="C1681" s="24" t="s">
        <v>948</v>
      </c>
      <c r="D1681" s="9"/>
      <c r="E1681" s="26" t="s">
        <v>9</v>
      </c>
      <c r="F1681" s="25"/>
      <c r="G1681" s="26"/>
      <c r="H1681" s="1" t="b">
        <f>IF(D1684="x",H$2,H$1)</f>
        <v>0</v>
      </c>
      <c r="L1681" s="48"/>
    </row>
    <row r="1682" spans="2:12" x14ac:dyDescent="0.25">
      <c r="B1682" s="8" t="s">
        <v>10</v>
      </c>
      <c r="C1682" s="24" t="s">
        <v>949</v>
      </c>
      <c r="D1682" s="9"/>
      <c r="E1682" s="26" t="s">
        <v>10</v>
      </c>
      <c r="F1682" s="27" t="str">
        <f>IF(H1683=1,IF(H1681=H$2,H1681,""),"")</f>
        <v/>
      </c>
      <c r="G1682" s="26"/>
      <c r="H1682" s="1" t="str">
        <f>IF(E1795="comprobar",COUNTIF(D1681:D1685,"x"),"")</f>
        <v/>
      </c>
      <c r="L1682" s="48"/>
    </row>
    <row r="1683" spans="2:12" ht="31.5" x14ac:dyDescent="0.25">
      <c r="B1683" s="8" t="s">
        <v>11</v>
      </c>
      <c r="C1683" s="24" t="s">
        <v>950</v>
      </c>
      <c r="D1683" s="9"/>
      <c r="E1683" s="26" t="s">
        <v>11</v>
      </c>
      <c r="F1683" s="28" t="str">
        <f>IF(H1683=-0.33,IF(H1681=H$1,H1681,""),"")</f>
        <v/>
      </c>
      <c r="G1683" s="26"/>
      <c r="H1683" s="29">
        <f>IF(H1682=1,IF(H1681=H$2,1,-0.33),0)</f>
        <v>0</v>
      </c>
      <c r="L1683" s="48"/>
    </row>
    <row r="1684" spans="2:12" x14ac:dyDescent="0.25">
      <c r="B1684" s="8" t="s">
        <v>12</v>
      </c>
      <c r="C1684" s="24" t="s">
        <v>32</v>
      </c>
      <c r="D1684" s="9"/>
      <c r="E1684" s="26" t="s">
        <v>12</v>
      </c>
      <c r="F1684" s="25"/>
      <c r="G1684" s="26"/>
      <c r="H1684" s="29"/>
      <c r="L1684" s="48"/>
    </row>
    <row r="1685" spans="2:12" x14ac:dyDescent="0.25">
      <c r="B1685" s="11"/>
      <c r="C1685" s="12"/>
      <c r="D1685" s="9"/>
      <c r="E1685" s="26" t="s">
        <v>13</v>
      </c>
      <c r="F1685" s="30"/>
      <c r="G1685" s="26"/>
      <c r="H1685" s="29"/>
      <c r="L1685" s="48"/>
    </row>
    <row r="1686" spans="2:12" x14ac:dyDescent="0.25">
      <c r="B1686" s="5">
        <v>13</v>
      </c>
      <c r="C1686" s="21" t="s">
        <v>951</v>
      </c>
      <c r="D1686" s="6"/>
      <c r="E1686" s="23"/>
      <c r="F1686" s="22"/>
      <c r="G1686" s="23"/>
      <c r="H1686" s="23"/>
      <c r="L1686" s="48"/>
    </row>
    <row r="1687" spans="2:12" x14ac:dyDescent="0.25">
      <c r="B1687" s="8" t="s">
        <v>9</v>
      </c>
      <c r="C1687" s="24" t="s">
        <v>952</v>
      </c>
      <c r="D1687" s="9"/>
      <c r="E1687" s="26" t="s">
        <v>9</v>
      </c>
      <c r="F1687" s="25"/>
      <c r="G1687" s="26"/>
      <c r="H1687" s="1" t="b">
        <f>IF(D1687="x",H$2,H$1)</f>
        <v>0</v>
      </c>
      <c r="L1687" s="48"/>
    </row>
    <row r="1688" spans="2:12" x14ac:dyDescent="0.25">
      <c r="B1688" s="8" t="s">
        <v>10</v>
      </c>
      <c r="C1688" s="24" t="s">
        <v>953</v>
      </c>
      <c r="D1688" s="9"/>
      <c r="E1688" s="26" t="s">
        <v>10</v>
      </c>
      <c r="F1688" s="27" t="str">
        <f>IF(H1689=1,IF(H1687=H$2,H1687,""),"")</f>
        <v/>
      </c>
      <c r="G1688" s="26"/>
      <c r="H1688" s="1" t="str">
        <f>IF(E1795="comprobar",COUNTIF(D1687:D1691,"x"),"")</f>
        <v/>
      </c>
      <c r="L1688" s="48"/>
    </row>
    <row r="1689" spans="2:12" x14ac:dyDescent="0.25">
      <c r="B1689" s="8" t="s">
        <v>11</v>
      </c>
      <c r="C1689" s="24" t="s">
        <v>954</v>
      </c>
      <c r="D1689" s="9"/>
      <c r="E1689" s="26" t="s">
        <v>11</v>
      </c>
      <c r="F1689" s="28" t="str">
        <f>IF(H1689=-0.33,IF(H1687=H$1,H1687,""),"")</f>
        <v/>
      </c>
      <c r="G1689" s="26"/>
      <c r="H1689" s="29">
        <f t="shared" ref="H1689" si="39">IF(H1688=1,IF(H1687=H$2,1,-0.33),0)</f>
        <v>0</v>
      </c>
      <c r="L1689" s="48"/>
    </row>
    <row r="1690" spans="2:12" x14ac:dyDescent="0.25">
      <c r="B1690" s="8" t="s">
        <v>12</v>
      </c>
      <c r="C1690" s="24" t="s">
        <v>32</v>
      </c>
      <c r="D1690" s="9"/>
      <c r="E1690" s="26" t="s">
        <v>12</v>
      </c>
      <c r="F1690" s="25"/>
      <c r="G1690" s="26"/>
      <c r="H1690" s="26"/>
      <c r="L1690" s="48"/>
    </row>
    <row r="1691" spans="2:12" x14ac:dyDescent="0.25">
      <c r="B1691" s="11"/>
      <c r="C1691" s="12"/>
      <c r="D1691" s="9"/>
      <c r="E1691" s="26" t="s">
        <v>13</v>
      </c>
      <c r="F1691" s="30"/>
      <c r="G1691" s="26"/>
      <c r="H1691" s="26"/>
      <c r="L1691" s="48"/>
    </row>
    <row r="1692" spans="2:12" x14ac:dyDescent="0.25">
      <c r="B1692" s="5">
        <v>14</v>
      </c>
      <c r="C1692" s="21" t="s">
        <v>552</v>
      </c>
      <c r="D1692" s="6"/>
      <c r="E1692" s="23"/>
      <c r="F1692" s="22"/>
      <c r="G1692" s="23"/>
      <c r="H1692" s="23"/>
      <c r="L1692" s="48"/>
    </row>
    <row r="1693" spans="2:12" ht="31.5" x14ac:dyDescent="0.25">
      <c r="B1693" s="8" t="s">
        <v>9</v>
      </c>
      <c r="C1693" s="24" t="s">
        <v>553</v>
      </c>
      <c r="D1693" s="9"/>
      <c r="E1693" s="26" t="s">
        <v>9</v>
      </c>
      <c r="F1693" s="25"/>
      <c r="G1693" s="26"/>
      <c r="H1693" s="1" t="b">
        <f>IF(D1694="x",H$2,H$1)</f>
        <v>0</v>
      </c>
      <c r="L1693" s="48"/>
    </row>
    <row r="1694" spans="2:12" ht="31.5" x14ac:dyDescent="0.25">
      <c r="B1694" s="8" t="s">
        <v>10</v>
      </c>
      <c r="C1694" s="24" t="s">
        <v>554</v>
      </c>
      <c r="D1694" s="9"/>
      <c r="E1694" s="26" t="s">
        <v>10</v>
      </c>
      <c r="F1694" s="27" t="str">
        <f>IF(H1695=1,IF(H1693=H$2,H1693,""),"")</f>
        <v/>
      </c>
      <c r="G1694" s="26"/>
      <c r="H1694" s="1" t="str">
        <f>IF(E1795="comprobar",COUNTIF(D1693:D1697,"x"),"")</f>
        <v/>
      </c>
      <c r="L1694" s="48"/>
    </row>
    <row r="1695" spans="2:12" ht="31.5" x14ac:dyDescent="0.25">
      <c r="B1695" s="8" t="s">
        <v>11</v>
      </c>
      <c r="C1695" s="24" t="s">
        <v>555</v>
      </c>
      <c r="D1695" s="9"/>
      <c r="E1695" s="26" t="s">
        <v>11</v>
      </c>
      <c r="F1695" s="28" t="str">
        <f>IF(H1695=-0.33,IF(H1693=H$1,H1693,""),"")</f>
        <v/>
      </c>
      <c r="G1695" s="26"/>
      <c r="H1695" s="29">
        <f>IF(H1694=1,IF(H1693=H$2,1,-0.33),0)</f>
        <v>0</v>
      </c>
      <c r="L1695" s="48"/>
    </row>
    <row r="1696" spans="2:12" x14ac:dyDescent="0.25">
      <c r="B1696" s="8" t="s">
        <v>12</v>
      </c>
      <c r="C1696" s="24" t="s">
        <v>32</v>
      </c>
      <c r="D1696" s="9"/>
      <c r="E1696" s="26" t="s">
        <v>12</v>
      </c>
      <c r="F1696" s="25"/>
      <c r="G1696" s="26"/>
      <c r="H1696" s="26"/>
      <c r="L1696" s="48"/>
    </row>
    <row r="1697" spans="2:12" x14ac:dyDescent="0.25">
      <c r="B1697" s="11"/>
      <c r="C1697" s="12"/>
      <c r="D1697" s="9"/>
      <c r="E1697" s="26" t="s">
        <v>13</v>
      </c>
      <c r="F1697" s="30"/>
      <c r="G1697" s="26"/>
      <c r="H1697" s="26"/>
      <c r="L1697" s="48"/>
    </row>
    <row r="1698" spans="2:12" ht="31.5" x14ac:dyDescent="0.25">
      <c r="B1698" s="5">
        <v>15</v>
      </c>
      <c r="C1698" s="21" t="s">
        <v>556</v>
      </c>
      <c r="D1698" s="6"/>
      <c r="E1698" s="23"/>
      <c r="F1698" s="22"/>
      <c r="G1698" s="23"/>
      <c r="H1698" s="23"/>
      <c r="L1698" s="48"/>
    </row>
    <row r="1699" spans="2:12" ht="31.5" x14ac:dyDescent="0.25">
      <c r="B1699" s="8" t="s">
        <v>9</v>
      </c>
      <c r="C1699" s="24" t="s">
        <v>557</v>
      </c>
      <c r="D1699" s="9"/>
      <c r="E1699" s="26" t="s">
        <v>9</v>
      </c>
      <c r="F1699" s="25"/>
      <c r="G1699" s="26"/>
      <c r="H1699" s="1" t="b">
        <f>IF(D1702="x",H$2,H$1)</f>
        <v>0</v>
      </c>
      <c r="L1699" s="48"/>
    </row>
    <row r="1700" spans="2:12" x14ac:dyDescent="0.25">
      <c r="B1700" s="8" t="s">
        <v>10</v>
      </c>
      <c r="C1700" s="24" t="s">
        <v>558</v>
      </c>
      <c r="D1700" s="9"/>
      <c r="E1700" s="26" t="s">
        <v>10</v>
      </c>
      <c r="F1700" s="27" t="str">
        <f>IF(H1701=1,IF(H1699=H$2,H1699,""),"")</f>
        <v/>
      </c>
      <c r="G1700" s="26"/>
      <c r="H1700" s="1" t="str">
        <f>IF(E1795="comprobar",COUNTIF(D1699:D1703,"x"),"")</f>
        <v/>
      </c>
      <c r="L1700" s="48"/>
    </row>
    <row r="1701" spans="2:12" ht="31.5" x14ac:dyDescent="0.25">
      <c r="B1701" s="8" t="s">
        <v>11</v>
      </c>
      <c r="C1701" s="24" t="s">
        <v>559</v>
      </c>
      <c r="D1701" s="9"/>
      <c r="E1701" s="26" t="s">
        <v>11</v>
      </c>
      <c r="F1701" s="28" t="str">
        <f>IF(H1701=-0.33,IF(H1699=H$1,H1699,""),"")</f>
        <v/>
      </c>
      <c r="G1701" s="26"/>
      <c r="H1701" s="29">
        <f>IF(H1700=1,IF(H1699=H$2,1,-0.33),0)</f>
        <v>0</v>
      </c>
      <c r="L1701" s="48"/>
    </row>
    <row r="1702" spans="2:12" x14ac:dyDescent="0.25">
      <c r="B1702" s="8" t="s">
        <v>12</v>
      </c>
      <c r="C1702" s="24" t="s">
        <v>32</v>
      </c>
      <c r="D1702" s="9"/>
      <c r="E1702" s="26" t="s">
        <v>12</v>
      </c>
      <c r="F1702" s="25"/>
      <c r="G1702" s="26"/>
      <c r="H1702" s="29"/>
      <c r="L1702" s="48"/>
    </row>
    <row r="1703" spans="2:12" x14ac:dyDescent="0.25">
      <c r="B1703" s="11"/>
      <c r="C1703" s="12"/>
      <c r="D1703" s="9"/>
      <c r="E1703" s="26" t="s">
        <v>13</v>
      </c>
      <c r="F1703" s="30"/>
      <c r="G1703" s="26"/>
      <c r="H1703" s="29"/>
      <c r="L1703" s="48"/>
    </row>
    <row r="1704" spans="2:12" x14ac:dyDescent="0.25">
      <c r="B1704" s="5">
        <v>16</v>
      </c>
      <c r="C1704" s="21" t="s">
        <v>955</v>
      </c>
      <c r="D1704" s="6"/>
      <c r="E1704" s="23"/>
      <c r="F1704" s="22"/>
      <c r="G1704" s="23"/>
      <c r="H1704" s="23"/>
      <c r="L1704" s="48"/>
    </row>
    <row r="1705" spans="2:12" ht="31.5" x14ac:dyDescent="0.25">
      <c r="B1705" s="8" t="s">
        <v>9</v>
      </c>
      <c r="C1705" s="24" t="s">
        <v>956</v>
      </c>
      <c r="D1705" s="9"/>
      <c r="E1705" s="26" t="s">
        <v>9</v>
      </c>
      <c r="F1705" s="25"/>
      <c r="G1705" s="26"/>
      <c r="H1705" s="1" t="b">
        <f>IF(D1708="x",H$2,H$1)</f>
        <v>0</v>
      </c>
      <c r="L1705" s="48"/>
    </row>
    <row r="1706" spans="2:12" ht="31.5" x14ac:dyDescent="0.25">
      <c r="B1706" s="8" t="s">
        <v>10</v>
      </c>
      <c r="C1706" s="24" t="s">
        <v>957</v>
      </c>
      <c r="D1706" s="9"/>
      <c r="E1706" s="26" t="s">
        <v>10</v>
      </c>
      <c r="F1706" s="27" t="str">
        <f>IF(H1707=1,IF(H1705=H$2,H1705,""),"")</f>
        <v/>
      </c>
      <c r="G1706" s="26"/>
      <c r="H1706" s="1" t="str">
        <f>IF(E1795="comprobar",COUNTIF(D1705:D1709,"x"),"")</f>
        <v/>
      </c>
      <c r="L1706" s="48"/>
    </row>
    <row r="1707" spans="2:12" x14ac:dyDescent="0.25">
      <c r="B1707" s="8" t="s">
        <v>11</v>
      </c>
      <c r="C1707" s="24" t="s">
        <v>958</v>
      </c>
      <c r="D1707" s="9"/>
      <c r="E1707" s="26" t="s">
        <v>11</v>
      </c>
      <c r="F1707" s="28" t="str">
        <f>IF(H1707=-0.33,IF(H1705=H$1,H1705,""),"")</f>
        <v/>
      </c>
      <c r="G1707" s="26"/>
      <c r="H1707" s="29">
        <f>IF(H1706=1,IF(H1705=H$2,1,-0.33),0)</f>
        <v>0</v>
      </c>
      <c r="L1707" s="48"/>
    </row>
    <row r="1708" spans="2:12" x14ac:dyDescent="0.25">
      <c r="B1708" s="8" t="s">
        <v>12</v>
      </c>
      <c r="C1708" s="24" t="s">
        <v>32</v>
      </c>
      <c r="D1708" s="9"/>
      <c r="E1708" s="26" t="s">
        <v>12</v>
      </c>
      <c r="F1708" s="25"/>
      <c r="G1708" s="26"/>
      <c r="H1708" s="29"/>
      <c r="L1708" s="48"/>
    </row>
    <row r="1709" spans="2:12" x14ac:dyDescent="0.25">
      <c r="B1709" s="11"/>
      <c r="C1709" s="12"/>
      <c r="D1709" s="9"/>
      <c r="E1709" s="26" t="s">
        <v>13</v>
      </c>
      <c r="F1709" s="30"/>
      <c r="G1709" s="26"/>
      <c r="H1709" s="29"/>
      <c r="L1709" s="48"/>
    </row>
    <row r="1710" spans="2:12" x14ac:dyDescent="0.25">
      <c r="B1710" s="5">
        <v>17</v>
      </c>
      <c r="C1710" s="21" t="s">
        <v>959</v>
      </c>
      <c r="D1710" s="6"/>
      <c r="E1710" s="23"/>
      <c r="F1710" s="22"/>
      <c r="G1710" s="23"/>
      <c r="H1710" s="23"/>
      <c r="L1710" s="48"/>
    </row>
    <row r="1711" spans="2:12" x14ac:dyDescent="0.25">
      <c r="B1711" s="8" t="s">
        <v>9</v>
      </c>
      <c r="C1711" s="24" t="s">
        <v>960</v>
      </c>
      <c r="D1711" s="9"/>
      <c r="E1711" s="26" t="s">
        <v>9</v>
      </c>
      <c r="F1711" s="25"/>
      <c r="G1711" s="26"/>
      <c r="H1711" s="1" t="b">
        <f>IF(D1712="x",H$2,H$1)</f>
        <v>0</v>
      </c>
      <c r="L1711" s="48"/>
    </row>
    <row r="1712" spans="2:12" x14ac:dyDescent="0.25">
      <c r="B1712" s="8" t="s">
        <v>10</v>
      </c>
      <c r="C1712" s="24" t="s">
        <v>961</v>
      </c>
      <c r="D1712" s="9"/>
      <c r="E1712" s="26" t="s">
        <v>10</v>
      </c>
      <c r="F1712" s="27" t="str">
        <f>IF(H1713=1,IF(H1711=H$2,H1711,""),"")</f>
        <v/>
      </c>
      <c r="G1712" s="26"/>
      <c r="H1712" s="1" t="str">
        <f>IF(E1795="comprobar",COUNTIF(D1711:D1715,"x"),"")</f>
        <v/>
      </c>
      <c r="L1712" s="48"/>
    </row>
    <row r="1713" spans="2:12" x14ac:dyDescent="0.25">
      <c r="B1713" s="8" t="s">
        <v>11</v>
      </c>
      <c r="C1713" s="24" t="s">
        <v>962</v>
      </c>
      <c r="D1713" s="9"/>
      <c r="E1713" s="26" t="s">
        <v>11</v>
      </c>
      <c r="F1713" s="28" t="str">
        <f>IF(H1713=-0.33,IF(H1711=H$1,H1711,""),"")</f>
        <v/>
      </c>
      <c r="G1713" s="26"/>
      <c r="H1713" s="29">
        <f>IF(H1712=1,IF(H1711=H$2,1,-0.33),0)</f>
        <v>0</v>
      </c>
      <c r="L1713" s="48"/>
    </row>
    <row r="1714" spans="2:12" x14ac:dyDescent="0.25">
      <c r="B1714" s="8" t="s">
        <v>12</v>
      </c>
      <c r="C1714" s="24" t="s">
        <v>963</v>
      </c>
      <c r="D1714" s="9"/>
      <c r="E1714" s="26" t="s">
        <v>12</v>
      </c>
      <c r="F1714" s="25"/>
      <c r="G1714" s="26"/>
      <c r="H1714" s="26"/>
      <c r="L1714" s="48"/>
    </row>
    <row r="1715" spans="2:12" x14ac:dyDescent="0.25">
      <c r="B1715" s="11"/>
      <c r="C1715" s="12"/>
      <c r="D1715" s="9"/>
      <c r="E1715" s="26" t="s">
        <v>13</v>
      </c>
      <c r="F1715" s="30"/>
      <c r="G1715" s="26"/>
      <c r="H1715" s="26"/>
      <c r="L1715" s="48"/>
    </row>
    <row r="1716" spans="2:12" x14ac:dyDescent="0.25">
      <c r="B1716" s="5">
        <v>18</v>
      </c>
      <c r="C1716" s="21" t="s">
        <v>548</v>
      </c>
      <c r="D1716" s="6"/>
      <c r="E1716" s="23"/>
      <c r="F1716" s="22"/>
      <c r="G1716" s="23"/>
      <c r="H1716" s="23"/>
      <c r="L1716" s="48"/>
    </row>
    <row r="1717" spans="2:12" x14ac:dyDescent="0.25">
      <c r="B1717" s="8" t="s">
        <v>9</v>
      </c>
      <c r="C1717" s="24" t="s">
        <v>549</v>
      </c>
      <c r="D1717" s="9"/>
      <c r="E1717" s="26" t="s">
        <v>9</v>
      </c>
      <c r="F1717" s="25"/>
      <c r="G1717" s="26"/>
      <c r="H1717" s="1" t="b">
        <f>IF(D1720="x",H$2,H$1)</f>
        <v>0</v>
      </c>
      <c r="L1717" s="48"/>
    </row>
    <row r="1718" spans="2:12" x14ac:dyDescent="0.25">
      <c r="B1718" s="8" t="s">
        <v>10</v>
      </c>
      <c r="C1718" s="24" t="s">
        <v>550</v>
      </c>
      <c r="D1718" s="9"/>
      <c r="E1718" s="26" t="s">
        <v>10</v>
      </c>
      <c r="F1718" s="27" t="str">
        <f>IF(H1719=1,IF(H1717=H$2,H1717,""),"")</f>
        <v/>
      </c>
      <c r="G1718" s="26"/>
      <c r="H1718" s="1" t="str">
        <f>IF(E1795="comprobar",COUNTIF(D1717:D1721,"x"),"")</f>
        <v/>
      </c>
      <c r="L1718" s="48"/>
    </row>
    <row r="1719" spans="2:12" x14ac:dyDescent="0.25">
      <c r="B1719" s="8" t="s">
        <v>11</v>
      </c>
      <c r="C1719" s="24" t="s">
        <v>551</v>
      </c>
      <c r="D1719" s="9"/>
      <c r="E1719" s="26" t="s">
        <v>11</v>
      </c>
      <c r="F1719" s="28" t="str">
        <f>IF(H1719=-0.33,IF(H1717=H$1,H1717,""),"")</f>
        <v/>
      </c>
      <c r="G1719" s="26"/>
      <c r="H1719" s="29">
        <f>IF(H1718=1,IF(H1717=H$2,1,-0.33),0)</f>
        <v>0</v>
      </c>
      <c r="L1719" s="48"/>
    </row>
    <row r="1720" spans="2:12" x14ac:dyDescent="0.25">
      <c r="B1720" s="8" t="s">
        <v>12</v>
      </c>
      <c r="C1720" s="24" t="s">
        <v>32</v>
      </c>
      <c r="D1720" s="9"/>
      <c r="E1720" s="26" t="s">
        <v>12</v>
      </c>
      <c r="F1720" s="25"/>
      <c r="G1720" s="26"/>
      <c r="H1720" s="29"/>
      <c r="L1720" s="48"/>
    </row>
    <row r="1721" spans="2:12" x14ac:dyDescent="0.25">
      <c r="B1721" s="11"/>
      <c r="C1721" s="12"/>
      <c r="D1721" s="9"/>
      <c r="E1721" s="26" t="s">
        <v>13</v>
      </c>
      <c r="F1721" s="30"/>
      <c r="G1721" s="26"/>
      <c r="H1721" s="29"/>
      <c r="L1721" s="48"/>
    </row>
    <row r="1722" spans="2:12" x14ac:dyDescent="0.25">
      <c r="B1722" s="5">
        <v>19</v>
      </c>
      <c r="C1722" s="21" t="s">
        <v>534</v>
      </c>
      <c r="D1722" s="6"/>
      <c r="E1722" s="23"/>
      <c r="F1722" s="22"/>
      <c r="G1722" s="23"/>
      <c r="H1722" s="23"/>
      <c r="L1722" s="48"/>
    </row>
    <row r="1723" spans="2:12" x14ac:dyDescent="0.25">
      <c r="B1723" s="8" t="s">
        <v>9</v>
      </c>
      <c r="C1723" s="24" t="s">
        <v>535</v>
      </c>
      <c r="D1723" s="9"/>
      <c r="E1723" s="26" t="s">
        <v>9</v>
      </c>
      <c r="F1723" s="25"/>
      <c r="G1723" s="26"/>
      <c r="H1723" s="1" t="b">
        <f>IF(D1724="x",H$2,H$1)</f>
        <v>0</v>
      </c>
      <c r="L1723" s="48"/>
    </row>
    <row r="1724" spans="2:12" x14ac:dyDescent="0.25">
      <c r="B1724" s="8" t="s">
        <v>10</v>
      </c>
      <c r="C1724" s="24" t="s">
        <v>536</v>
      </c>
      <c r="D1724" s="9"/>
      <c r="E1724" s="26" t="s">
        <v>10</v>
      </c>
      <c r="F1724" s="27" t="str">
        <f>IF(H1725=1,IF(H1723=H$2,H1723,""),"")</f>
        <v/>
      </c>
      <c r="G1724" s="26"/>
      <c r="H1724" s="1" t="str">
        <f>IF(E1795="comprobar",COUNTIF(D1723:D1727,"x"),"")</f>
        <v/>
      </c>
      <c r="L1724" s="48"/>
    </row>
    <row r="1725" spans="2:12" x14ac:dyDescent="0.25">
      <c r="B1725" s="8" t="s">
        <v>11</v>
      </c>
      <c r="C1725" s="24" t="s">
        <v>537</v>
      </c>
      <c r="D1725" s="9"/>
      <c r="E1725" s="26" t="s">
        <v>11</v>
      </c>
      <c r="F1725" s="28" t="str">
        <f>IF(H1725=-0.33,IF(H1723=H$1,H1723,""),"")</f>
        <v/>
      </c>
      <c r="G1725" s="26"/>
      <c r="H1725" s="29">
        <f>IF(H1724=1,IF(H1723=H$2,1,-0.33),0)</f>
        <v>0</v>
      </c>
      <c r="L1725" s="48"/>
    </row>
    <row r="1726" spans="2:12" x14ac:dyDescent="0.25">
      <c r="B1726" s="8" t="s">
        <v>12</v>
      </c>
      <c r="C1726" s="24" t="s">
        <v>538</v>
      </c>
      <c r="D1726" s="9"/>
      <c r="E1726" s="26" t="s">
        <v>12</v>
      </c>
      <c r="F1726" s="25"/>
      <c r="G1726" s="26"/>
      <c r="H1726" s="29"/>
      <c r="L1726" s="48"/>
    </row>
    <row r="1727" spans="2:12" x14ac:dyDescent="0.25">
      <c r="B1727" s="11"/>
      <c r="C1727" s="12"/>
      <c r="D1727" s="9"/>
      <c r="E1727" s="26" t="s">
        <v>13</v>
      </c>
      <c r="F1727" s="30"/>
      <c r="G1727" s="26"/>
      <c r="H1727" s="29"/>
      <c r="L1727" s="48"/>
    </row>
    <row r="1728" spans="2:12" x14ac:dyDescent="0.25">
      <c r="B1728" s="5">
        <v>20</v>
      </c>
      <c r="C1728" s="21" t="s">
        <v>578</v>
      </c>
      <c r="D1728" s="6"/>
      <c r="E1728" s="23"/>
      <c r="F1728" s="22"/>
      <c r="G1728" s="23"/>
      <c r="H1728" s="23"/>
      <c r="L1728" s="48"/>
    </row>
    <row r="1729" spans="2:12" x14ac:dyDescent="0.25">
      <c r="B1729" s="8" t="s">
        <v>9</v>
      </c>
      <c r="C1729" s="24" t="s">
        <v>579</v>
      </c>
      <c r="D1729" s="9"/>
      <c r="E1729" s="26" t="s">
        <v>9</v>
      </c>
      <c r="F1729" s="25"/>
      <c r="G1729" s="26"/>
      <c r="H1729" s="1" t="b">
        <f>IF(D1730="x",H$2,H$1)</f>
        <v>0</v>
      </c>
      <c r="L1729" s="48"/>
    </row>
    <row r="1730" spans="2:12" x14ac:dyDescent="0.25">
      <c r="B1730" s="8" t="s">
        <v>10</v>
      </c>
      <c r="C1730" s="24" t="s">
        <v>964</v>
      </c>
      <c r="D1730" s="9"/>
      <c r="E1730" s="26" t="s">
        <v>10</v>
      </c>
      <c r="F1730" s="27" t="str">
        <f>IF(H1731=1,IF(H1729=H$2,H1729,""),"")</f>
        <v/>
      </c>
      <c r="G1730" s="26"/>
      <c r="H1730" s="1" t="str">
        <f>IF(E1795="comprobar",COUNTIF(D1729:D1733,"x"),"")</f>
        <v/>
      </c>
      <c r="L1730" s="48"/>
    </row>
    <row r="1731" spans="2:12" x14ac:dyDescent="0.25">
      <c r="B1731" s="8" t="s">
        <v>11</v>
      </c>
      <c r="C1731" s="24" t="s">
        <v>581</v>
      </c>
      <c r="D1731" s="9"/>
      <c r="E1731" s="26" t="s">
        <v>11</v>
      </c>
      <c r="F1731" s="28" t="str">
        <f>IF(H1731=-0.33,IF(H1729=H$1,H1729,""),"")</f>
        <v/>
      </c>
      <c r="G1731" s="26"/>
      <c r="H1731" s="29">
        <f t="shared" ref="H1731" si="40">IF(H1730=1,IF(H1729=H$2,1,-0.33),0)</f>
        <v>0</v>
      </c>
      <c r="L1731" s="48"/>
    </row>
    <row r="1732" spans="2:12" x14ac:dyDescent="0.25">
      <c r="B1732" s="8" t="s">
        <v>12</v>
      </c>
      <c r="C1732" s="24" t="s">
        <v>582</v>
      </c>
      <c r="D1732" s="9"/>
      <c r="E1732" s="26" t="s">
        <v>12</v>
      </c>
      <c r="F1732" s="25"/>
      <c r="G1732" s="26"/>
      <c r="H1732" s="26"/>
      <c r="L1732" s="48"/>
    </row>
    <row r="1733" spans="2:12" x14ac:dyDescent="0.25">
      <c r="B1733" s="11"/>
      <c r="C1733" s="12"/>
      <c r="D1733" s="9"/>
      <c r="E1733" s="26" t="s">
        <v>13</v>
      </c>
      <c r="F1733" s="30"/>
      <c r="G1733" s="26"/>
      <c r="H1733" s="26"/>
      <c r="L1733" s="48"/>
    </row>
    <row r="1734" spans="2:12" x14ac:dyDescent="0.25">
      <c r="B1734" s="5">
        <v>21</v>
      </c>
      <c r="C1734" s="21" t="s">
        <v>595</v>
      </c>
      <c r="D1734" s="6"/>
      <c r="E1734" s="23"/>
      <c r="F1734" s="22"/>
      <c r="G1734" s="23"/>
      <c r="H1734" s="23"/>
      <c r="L1734" s="48"/>
    </row>
    <row r="1735" spans="2:12" x14ac:dyDescent="0.25">
      <c r="B1735" s="8" t="s">
        <v>9</v>
      </c>
      <c r="C1735" s="24" t="s">
        <v>965</v>
      </c>
      <c r="D1735" s="9"/>
      <c r="E1735" s="26" t="s">
        <v>9</v>
      </c>
      <c r="F1735" s="25"/>
      <c r="G1735" s="26"/>
      <c r="H1735" s="1" t="b">
        <f>IF(D1737="x",H$2,H$1)</f>
        <v>0</v>
      </c>
      <c r="L1735" s="48"/>
    </row>
    <row r="1736" spans="2:12" ht="31.5" x14ac:dyDescent="0.25">
      <c r="B1736" s="8" t="s">
        <v>10</v>
      </c>
      <c r="C1736" s="24" t="s">
        <v>597</v>
      </c>
      <c r="D1736" s="9"/>
      <c r="E1736" s="26" t="s">
        <v>10</v>
      </c>
      <c r="F1736" s="27" t="str">
        <f>IF(H1737=1,IF(H1735=H$2,H1735,""),"")</f>
        <v/>
      </c>
      <c r="G1736" s="26"/>
      <c r="H1736" s="1" t="str">
        <f>IF(E1795="comprobar",COUNTIF(D1735:D1739,"x"),"")</f>
        <v/>
      </c>
      <c r="L1736" s="48"/>
    </row>
    <row r="1737" spans="2:12" x14ac:dyDescent="0.25">
      <c r="B1737" s="8" t="s">
        <v>11</v>
      </c>
      <c r="C1737" s="24" t="s">
        <v>32</v>
      </c>
      <c r="D1737" s="9"/>
      <c r="E1737" s="26" t="s">
        <v>11</v>
      </c>
      <c r="F1737" s="28" t="str">
        <f>IF(H1737=-0.33,IF(H1735=H$1,H1735,""),"")</f>
        <v/>
      </c>
      <c r="G1737" s="26"/>
      <c r="H1737" s="29">
        <f>IF(H1736=1,IF(H1735=H$2,1,-0.33),0)</f>
        <v>0</v>
      </c>
      <c r="L1737" s="48"/>
    </row>
    <row r="1738" spans="2:12" x14ac:dyDescent="0.25">
      <c r="B1738" s="8" t="s">
        <v>12</v>
      </c>
      <c r="C1738" s="24" t="s">
        <v>368</v>
      </c>
      <c r="D1738" s="9"/>
      <c r="E1738" s="26" t="s">
        <v>12</v>
      </c>
      <c r="F1738" s="25"/>
      <c r="G1738" s="26"/>
      <c r="H1738" s="26"/>
      <c r="L1738" s="48"/>
    </row>
    <row r="1739" spans="2:12" x14ac:dyDescent="0.25">
      <c r="B1739" s="11"/>
      <c r="C1739" s="12"/>
      <c r="D1739" s="9"/>
      <c r="E1739" s="26" t="s">
        <v>13</v>
      </c>
      <c r="F1739" s="30"/>
      <c r="G1739" s="26"/>
      <c r="H1739" s="26"/>
      <c r="L1739" s="48"/>
    </row>
    <row r="1740" spans="2:12" x14ac:dyDescent="0.25">
      <c r="B1740" s="5">
        <v>22</v>
      </c>
      <c r="C1740" s="21" t="s">
        <v>599</v>
      </c>
      <c r="D1740" s="6"/>
      <c r="E1740" s="23"/>
      <c r="F1740" s="22"/>
      <c r="G1740" s="23"/>
      <c r="H1740" s="23"/>
      <c r="L1740" s="48"/>
    </row>
    <row r="1741" spans="2:12" ht="31.5" x14ac:dyDescent="0.25">
      <c r="B1741" s="8" t="s">
        <v>9</v>
      </c>
      <c r="C1741" s="24" t="s">
        <v>600</v>
      </c>
      <c r="D1741" s="9"/>
      <c r="E1741" s="26" t="s">
        <v>9</v>
      </c>
      <c r="F1741" s="25"/>
      <c r="G1741" s="26"/>
      <c r="H1741" s="1" t="b">
        <f>IF(D1744="x",H$2,H$1)</f>
        <v>0</v>
      </c>
      <c r="L1741" s="48"/>
    </row>
    <row r="1742" spans="2:12" ht="31.5" x14ac:dyDescent="0.25">
      <c r="B1742" s="8" t="s">
        <v>10</v>
      </c>
      <c r="C1742" s="24" t="s">
        <v>601</v>
      </c>
      <c r="D1742" s="9"/>
      <c r="E1742" s="26" t="s">
        <v>10</v>
      </c>
      <c r="F1742" s="27" t="str">
        <f>IF(H1743=1,IF(H1741=H$2,H1741,""),"")</f>
        <v/>
      </c>
      <c r="G1742" s="26"/>
      <c r="H1742" s="1" t="str">
        <f>IF(E1795="comprobar",COUNTIF(D1741:D1745,"x"),"")</f>
        <v/>
      </c>
      <c r="L1742" s="48"/>
    </row>
    <row r="1743" spans="2:12" x14ac:dyDescent="0.25">
      <c r="B1743" s="8" t="s">
        <v>11</v>
      </c>
      <c r="C1743" s="24" t="s">
        <v>602</v>
      </c>
      <c r="D1743" s="9"/>
      <c r="E1743" s="26" t="s">
        <v>11</v>
      </c>
      <c r="F1743" s="28" t="str">
        <f>IF(H1743=-0.33,IF(H1741=H$1,H1741,""),"")</f>
        <v/>
      </c>
      <c r="G1743" s="26"/>
      <c r="H1743" s="29">
        <f>IF(H1742=1,IF(H1741=H$2,1,-0.33),0)</f>
        <v>0</v>
      </c>
      <c r="L1743" s="48"/>
    </row>
    <row r="1744" spans="2:12" x14ac:dyDescent="0.25">
      <c r="B1744" s="8" t="s">
        <v>12</v>
      </c>
      <c r="C1744" s="24" t="s">
        <v>32</v>
      </c>
      <c r="D1744" s="9"/>
      <c r="E1744" s="26" t="s">
        <v>12</v>
      </c>
      <c r="F1744" s="25"/>
      <c r="G1744" s="26"/>
      <c r="H1744" s="29"/>
      <c r="L1744" s="48"/>
    </row>
    <row r="1745" spans="2:12" x14ac:dyDescent="0.25">
      <c r="B1745" s="11"/>
      <c r="C1745" s="12"/>
      <c r="D1745" s="9"/>
      <c r="E1745" s="26" t="s">
        <v>13</v>
      </c>
      <c r="F1745" s="30"/>
      <c r="G1745" s="26"/>
      <c r="H1745" s="29"/>
      <c r="L1745" s="48"/>
    </row>
    <row r="1746" spans="2:12" x14ac:dyDescent="0.25">
      <c r="B1746" s="5">
        <v>23</v>
      </c>
      <c r="C1746" s="21" t="s">
        <v>966</v>
      </c>
      <c r="D1746" s="6"/>
      <c r="E1746" s="23"/>
      <c r="F1746" s="22"/>
      <c r="G1746" s="23"/>
      <c r="H1746" s="23"/>
      <c r="L1746" s="48"/>
    </row>
    <row r="1747" spans="2:12" x14ac:dyDescent="0.25">
      <c r="B1747" s="8" t="s">
        <v>9</v>
      </c>
      <c r="C1747" s="24" t="s">
        <v>967</v>
      </c>
      <c r="D1747" s="9"/>
      <c r="E1747" s="26" t="s">
        <v>9</v>
      </c>
      <c r="F1747" s="25"/>
      <c r="G1747" s="26"/>
      <c r="H1747" s="1" t="b">
        <f>IF(D1750="x",H$2,H$1)</f>
        <v>0</v>
      </c>
      <c r="L1747" s="48"/>
    </row>
    <row r="1748" spans="2:12" x14ac:dyDescent="0.25">
      <c r="B1748" s="8" t="s">
        <v>10</v>
      </c>
      <c r="C1748" s="24" t="s">
        <v>968</v>
      </c>
      <c r="D1748" s="9"/>
      <c r="E1748" s="26" t="s">
        <v>10</v>
      </c>
      <c r="F1748" s="27" t="str">
        <f>IF(H1749=1,IF(H1747=H$2,H1747,""),"")</f>
        <v/>
      </c>
      <c r="G1748" s="26"/>
      <c r="H1748" s="1" t="str">
        <f>IF(E1795="comprobar",COUNTIF(D1747:D1751,"x"),"")</f>
        <v/>
      </c>
      <c r="L1748" s="48"/>
    </row>
    <row r="1749" spans="2:12" x14ac:dyDescent="0.25">
      <c r="B1749" s="8" t="s">
        <v>11</v>
      </c>
      <c r="C1749" s="24" t="s">
        <v>969</v>
      </c>
      <c r="D1749" s="9"/>
      <c r="E1749" s="26" t="s">
        <v>11</v>
      </c>
      <c r="F1749" s="28" t="str">
        <f>IF(H1749=-0.33,IF(H1747=H$1,H1747,""),"")</f>
        <v/>
      </c>
      <c r="G1749" s="26"/>
      <c r="H1749" s="29">
        <f>IF(H1748=1,IF(H1747=H$2,1,-0.33),0)</f>
        <v>0</v>
      </c>
      <c r="L1749" s="48"/>
    </row>
    <row r="1750" spans="2:12" x14ac:dyDescent="0.25">
      <c r="B1750" s="8" t="s">
        <v>12</v>
      </c>
      <c r="C1750" s="24" t="s">
        <v>32</v>
      </c>
      <c r="D1750" s="9"/>
      <c r="E1750" s="26" t="s">
        <v>12</v>
      </c>
      <c r="F1750" s="25"/>
      <c r="G1750" s="26"/>
      <c r="H1750" s="29"/>
      <c r="L1750" s="48"/>
    </row>
    <row r="1751" spans="2:12" x14ac:dyDescent="0.25">
      <c r="B1751" s="11"/>
      <c r="C1751" s="12"/>
      <c r="D1751" s="9"/>
      <c r="E1751" s="26" t="s">
        <v>13</v>
      </c>
      <c r="F1751" s="30"/>
      <c r="G1751" s="26"/>
      <c r="H1751" s="29"/>
      <c r="L1751" s="48"/>
    </row>
    <row r="1752" spans="2:12" x14ac:dyDescent="0.25">
      <c r="B1752" s="5">
        <v>24</v>
      </c>
      <c r="C1752" s="21" t="s">
        <v>607</v>
      </c>
      <c r="D1752" s="6"/>
      <c r="E1752" s="23"/>
      <c r="F1752" s="22"/>
      <c r="G1752" s="23"/>
      <c r="H1752" s="23"/>
      <c r="L1752" s="48"/>
    </row>
    <row r="1753" spans="2:12" ht="31.5" x14ac:dyDescent="0.25">
      <c r="B1753" s="8" t="s">
        <v>9</v>
      </c>
      <c r="C1753" s="24" t="s">
        <v>608</v>
      </c>
      <c r="D1753" s="9"/>
      <c r="E1753" s="26" t="s">
        <v>9</v>
      </c>
      <c r="F1753" s="25"/>
      <c r="G1753" s="26"/>
      <c r="H1753" s="1" t="b">
        <f>IF(D1756="x",H$2,H$1)</f>
        <v>0</v>
      </c>
      <c r="L1753" s="48"/>
    </row>
    <row r="1754" spans="2:12" ht="31.5" x14ac:dyDescent="0.25">
      <c r="B1754" s="8" t="s">
        <v>10</v>
      </c>
      <c r="C1754" s="24" t="s">
        <v>970</v>
      </c>
      <c r="D1754" s="9"/>
      <c r="E1754" s="26" t="s">
        <v>10</v>
      </c>
      <c r="F1754" s="27" t="str">
        <f>IF(H1755=1,IF(H1753=H$2,H1753,""),"")</f>
        <v/>
      </c>
      <c r="G1754" s="26"/>
      <c r="H1754" s="1" t="str">
        <f>IF(E1795="comprobar",COUNTIF(D1753:D1757,"x"),"")</f>
        <v/>
      </c>
      <c r="L1754" s="48"/>
    </row>
    <row r="1755" spans="2:12" ht="31.5" x14ac:dyDescent="0.25">
      <c r="B1755" s="8" t="s">
        <v>11</v>
      </c>
      <c r="C1755" s="24" t="s">
        <v>610</v>
      </c>
      <c r="D1755" s="9"/>
      <c r="E1755" s="26" t="s">
        <v>11</v>
      </c>
      <c r="F1755" s="28" t="str">
        <f>IF(H1755=-0.33,IF(H1753=H$1,H1753,""),"")</f>
        <v/>
      </c>
      <c r="G1755" s="26"/>
      <c r="H1755" s="29">
        <f>IF(H1754=1,IF(H1753=H$2,1,-0.33),0)</f>
        <v>0</v>
      </c>
      <c r="L1755" s="48"/>
    </row>
    <row r="1756" spans="2:12" x14ac:dyDescent="0.25">
      <c r="B1756" s="8" t="s">
        <v>12</v>
      </c>
      <c r="C1756" s="24" t="s">
        <v>32</v>
      </c>
      <c r="D1756" s="9"/>
      <c r="E1756" s="26" t="s">
        <v>12</v>
      </c>
      <c r="F1756" s="25"/>
      <c r="G1756" s="26"/>
      <c r="H1756" s="1"/>
      <c r="L1756" s="48"/>
    </row>
    <row r="1757" spans="2:12" x14ac:dyDescent="0.25">
      <c r="B1757" s="11"/>
      <c r="C1757" s="12"/>
      <c r="D1757" s="9"/>
      <c r="E1757" s="26" t="s">
        <v>13</v>
      </c>
      <c r="F1757" s="30"/>
      <c r="G1757" s="26"/>
      <c r="H1757" s="15"/>
      <c r="L1757" s="48"/>
    </row>
    <row r="1758" spans="2:12" x14ac:dyDescent="0.25">
      <c r="B1758" s="5">
        <v>25</v>
      </c>
      <c r="C1758" s="21" t="s">
        <v>279</v>
      </c>
      <c r="D1758" s="6"/>
      <c r="E1758" s="23"/>
      <c r="F1758" s="22"/>
      <c r="G1758" s="31"/>
      <c r="H1758" s="31"/>
      <c r="L1758" s="48"/>
    </row>
    <row r="1759" spans="2:12" ht="31.5" x14ac:dyDescent="0.25">
      <c r="B1759" s="8" t="s">
        <v>9</v>
      </c>
      <c r="C1759" s="24" t="s">
        <v>971</v>
      </c>
      <c r="D1759" s="9"/>
      <c r="E1759" s="26" t="s">
        <v>9</v>
      </c>
      <c r="F1759" s="25"/>
      <c r="G1759" s="32"/>
      <c r="H1759" s="1" t="b">
        <f>IF(D1761="x",H$2,H$1)</f>
        <v>0</v>
      </c>
      <c r="L1759" s="48"/>
    </row>
    <row r="1760" spans="2:12" x14ac:dyDescent="0.25">
      <c r="B1760" s="8" t="s">
        <v>10</v>
      </c>
      <c r="C1760" s="24" t="s">
        <v>972</v>
      </c>
      <c r="D1760" s="9"/>
      <c r="E1760" s="26" t="s">
        <v>10</v>
      </c>
      <c r="F1760" s="27" t="str">
        <f>IF(H1761=1,IF(H1759=H$2,H1759,""),"")</f>
        <v/>
      </c>
      <c r="G1760" s="32"/>
      <c r="H1760" s="1" t="str">
        <f>IF(E1795="comprobar",COUNTIF(D1759:D1763,"x"),"")</f>
        <v/>
      </c>
      <c r="L1760" s="48"/>
    </row>
    <row r="1761" spans="2:12" x14ac:dyDescent="0.25">
      <c r="B1761" s="8" t="s">
        <v>11</v>
      </c>
      <c r="C1761" s="24" t="s">
        <v>973</v>
      </c>
      <c r="D1761" s="9"/>
      <c r="E1761" s="26" t="s">
        <v>11</v>
      </c>
      <c r="F1761" s="28" t="str">
        <f>IF(H1761=-0.33,IF(H1759=H$1,H1759,""),"")</f>
        <v/>
      </c>
      <c r="G1761" s="32"/>
      <c r="H1761" s="29">
        <f>IF(H1760=1,IF(H1759=H$2,1,-0.33),0)</f>
        <v>0</v>
      </c>
      <c r="L1761" s="48"/>
    </row>
    <row r="1762" spans="2:12" x14ac:dyDescent="0.25">
      <c r="B1762" s="8" t="s">
        <v>12</v>
      </c>
      <c r="C1762" s="24" t="s">
        <v>974</v>
      </c>
      <c r="D1762" s="9"/>
      <c r="E1762" s="26" t="s">
        <v>12</v>
      </c>
      <c r="F1762" s="25"/>
      <c r="G1762" s="32"/>
      <c r="H1762" s="29"/>
      <c r="L1762" s="48"/>
    </row>
    <row r="1763" spans="2:12" x14ac:dyDescent="0.25">
      <c r="B1763" s="11"/>
      <c r="C1763" s="12"/>
      <c r="D1763" s="9"/>
      <c r="E1763" s="26" t="s">
        <v>13</v>
      </c>
      <c r="F1763" s="30"/>
      <c r="G1763" s="32"/>
      <c r="H1763" s="29"/>
      <c r="L1763" s="48"/>
    </row>
    <row r="1764" spans="2:12" x14ac:dyDescent="0.25">
      <c r="B1764" s="5">
        <v>26</v>
      </c>
      <c r="C1764" s="21" t="s">
        <v>975</v>
      </c>
      <c r="D1764" s="6"/>
      <c r="E1764" s="23"/>
      <c r="F1764" s="22"/>
      <c r="G1764" s="31"/>
      <c r="H1764" s="31"/>
      <c r="L1764" s="48"/>
    </row>
    <row r="1765" spans="2:12" ht="31.5" x14ac:dyDescent="0.25">
      <c r="B1765" s="8" t="s">
        <v>9</v>
      </c>
      <c r="C1765" s="24" t="s">
        <v>976</v>
      </c>
      <c r="D1765" s="9"/>
      <c r="E1765" s="26" t="s">
        <v>9</v>
      </c>
      <c r="F1765" s="25"/>
      <c r="G1765" s="32"/>
      <c r="H1765" s="1" t="b">
        <f>IF(D1768="x",H$2,H$1)</f>
        <v>0</v>
      </c>
      <c r="L1765" s="48"/>
    </row>
    <row r="1766" spans="2:12" ht="31.5" x14ac:dyDescent="0.25">
      <c r="B1766" s="8" t="s">
        <v>10</v>
      </c>
      <c r="C1766" s="24" t="s">
        <v>977</v>
      </c>
      <c r="D1766" s="9"/>
      <c r="E1766" s="26" t="s">
        <v>10</v>
      </c>
      <c r="F1766" s="27" t="str">
        <f>IF(H1767=1,IF(H1765=H$2,H1765,""),"")</f>
        <v/>
      </c>
      <c r="G1766" s="32"/>
      <c r="H1766" s="1" t="str">
        <f>IF(E1795="comprobar",COUNTIF(D1765:D1769,"x"),"")</f>
        <v/>
      </c>
      <c r="L1766" s="48"/>
    </row>
    <row r="1767" spans="2:12" ht="47.25" x14ac:dyDescent="0.25">
      <c r="B1767" s="8" t="s">
        <v>11</v>
      </c>
      <c r="C1767" s="24" t="s">
        <v>978</v>
      </c>
      <c r="D1767" s="9"/>
      <c r="E1767" s="26" t="s">
        <v>11</v>
      </c>
      <c r="F1767" s="28" t="str">
        <f>IF(H1767=-0.33,IF(H1765=H$1,H1765,""),"")</f>
        <v/>
      </c>
      <c r="G1767" s="32"/>
      <c r="H1767" s="29">
        <f>IF(H1766=1,IF(H1765=H$2,1,-0.33),0)</f>
        <v>0</v>
      </c>
      <c r="L1767" s="48"/>
    </row>
    <row r="1768" spans="2:12" x14ac:dyDescent="0.25">
      <c r="B1768" s="8" t="s">
        <v>12</v>
      </c>
      <c r="C1768" s="24" t="s">
        <v>15</v>
      </c>
      <c r="D1768" s="9"/>
      <c r="E1768" s="26" t="s">
        <v>12</v>
      </c>
      <c r="F1768" s="25"/>
      <c r="G1768" s="32"/>
      <c r="H1768" s="29"/>
      <c r="L1768" s="48"/>
    </row>
    <row r="1769" spans="2:12" x14ac:dyDescent="0.25">
      <c r="B1769" s="11"/>
      <c r="C1769" s="12"/>
      <c r="D1769" s="9"/>
      <c r="E1769" s="26"/>
      <c r="F1769" s="25"/>
      <c r="G1769" s="32"/>
      <c r="H1769" s="29"/>
      <c r="L1769" s="48"/>
    </row>
    <row r="1770" spans="2:12" x14ac:dyDescent="0.25">
      <c r="B1770" s="5">
        <v>27</v>
      </c>
      <c r="C1770" s="21" t="s">
        <v>603</v>
      </c>
      <c r="D1770" s="6"/>
      <c r="E1770" s="23"/>
      <c r="F1770" s="22"/>
      <c r="G1770" s="23"/>
      <c r="H1770" s="23"/>
      <c r="L1770" s="48"/>
    </row>
    <row r="1771" spans="2:12" ht="47.25" x14ac:dyDescent="0.25">
      <c r="B1771" s="8" t="s">
        <v>9</v>
      </c>
      <c r="C1771" s="24" t="s">
        <v>604</v>
      </c>
      <c r="D1771" s="9"/>
      <c r="E1771" s="26" t="s">
        <v>9</v>
      </c>
      <c r="F1771" s="25"/>
      <c r="G1771" s="26"/>
      <c r="H1771" s="1" t="b">
        <f>IF(D1773="x",H$2,H$1)</f>
        <v>0</v>
      </c>
      <c r="L1771" s="48"/>
    </row>
    <row r="1772" spans="2:12" ht="31.5" x14ac:dyDescent="0.25">
      <c r="B1772" s="8" t="s">
        <v>10</v>
      </c>
      <c r="C1772" s="24" t="s">
        <v>605</v>
      </c>
      <c r="D1772" s="9"/>
      <c r="E1772" s="26" t="s">
        <v>10</v>
      </c>
      <c r="F1772" s="27" t="str">
        <f>IF(H1773=1,IF(H1771=H$2,H1771,""),"")</f>
        <v/>
      </c>
      <c r="G1772" s="26"/>
      <c r="H1772" s="1" t="str">
        <f>IF(E1795="comprobar",COUNTIF(D1771:D1775,"x"),"")</f>
        <v/>
      </c>
      <c r="L1772" s="48"/>
    </row>
    <row r="1773" spans="2:12" x14ac:dyDescent="0.25">
      <c r="B1773" s="8" t="s">
        <v>11</v>
      </c>
      <c r="C1773" s="24" t="s">
        <v>979</v>
      </c>
      <c r="D1773" s="9"/>
      <c r="E1773" s="26" t="s">
        <v>11</v>
      </c>
      <c r="F1773" s="28" t="str">
        <f>IF(H1773=-0.33,IF(H1771=H$1,H1771,""),"")</f>
        <v/>
      </c>
      <c r="G1773" s="26"/>
      <c r="H1773" s="29">
        <f>IF(H1772=1,IF(H1771=H$2,1,-0.33),0)</f>
        <v>0</v>
      </c>
      <c r="L1773" s="48"/>
    </row>
    <row r="1774" spans="2:12" x14ac:dyDescent="0.25">
      <c r="B1774" s="8" t="s">
        <v>12</v>
      </c>
      <c r="C1774" s="24" t="s">
        <v>368</v>
      </c>
      <c r="D1774" s="9"/>
      <c r="E1774" s="26" t="s">
        <v>12</v>
      </c>
      <c r="F1774" s="25"/>
      <c r="G1774" s="26"/>
      <c r="H1774" s="29"/>
      <c r="L1774" s="48"/>
    </row>
    <row r="1775" spans="2:12" x14ac:dyDescent="0.25">
      <c r="B1775" s="11"/>
      <c r="C1775" s="12"/>
      <c r="D1775" s="9"/>
      <c r="E1775" s="26" t="s">
        <v>13</v>
      </c>
      <c r="F1775" s="30"/>
      <c r="G1775" s="26"/>
      <c r="H1775" s="29"/>
      <c r="L1775" s="48"/>
    </row>
    <row r="1776" spans="2:12" x14ac:dyDescent="0.25">
      <c r="B1776" s="5">
        <v>28</v>
      </c>
      <c r="C1776" s="21" t="s">
        <v>980</v>
      </c>
      <c r="D1776" s="6"/>
      <c r="E1776" s="23"/>
      <c r="F1776" s="22"/>
      <c r="G1776" s="23"/>
      <c r="H1776" s="23"/>
      <c r="L1776" s="48"/>
    </row>
    <row r="1777" spans="2:12" x14ac:dyDescent="0.25">
      <c r="B1777" s="8" t="s">
        <v>9</v>
      </c>
      <c r="C1777" s="24" t="s">
        <v>981</v>
      </c>
      <c r="D1777" s="9"/>
      <c r="E1777" s="26" t="s">
        <v>9</v>
      </c>
      <c r="F1777" s="25"/>
      <c r="G1777" s="26"/>
      <c r="H1777" s="1" t="b">
        <f>IF(D1780="x",H$2,H$1)</f>
        <v>0</v>
      </c>
      <c r="L1777" s="48"/>
    </row>
    <row r="1778" spans="2:12" x14ac:dyDescent="0.25">
      <c r="B1778" s="8" t="s">
        <v>10</v>
      </c>
      <c r="C1778" s="24" t="s">
        <v>982</v>
      </c>
      <c r="D1778" s="9"/>
      <c r="E1778" s="26" t="s">
        <v>10</v>
      </c>
      <c r="F1778" s="27" t="str">
        <f>IF(H1779=1,IF(H1777=H$2,H1777,""),"")</f>
        <v/>
      </c>
      <c r="G1778" s="26"/>
      <c r="H1778" s="1" t="str">
        <f>IF(E1795="comprobar",COUNTIF(D1777:D1781,"x"),"")</f>
        <v/>
      </c>
      <c r="L1778" s="48"/>
    </row>
    <row r="1779" spans="2:12" x14ac:dyDescent="0.25">
      <c r="B1779" s="8" t="s">
        <v>11</v>
      </c>
      <c r="C1779" s="24" t="s">
        <v>983</v>
      </c>
      <c r="D1779" s="9"/>
      <c r="E1779" s="26" t="s">
        <v>11</v>
      </c>
      <c r="F1779" s="28" t="str">
        <f>IF(H1779=-0.33,IF(H1777=H$1,H1777,""),"")</f>
        <v/>
      </c>
      <c r="G1779" s="26"/>
      <c r="H1779" s="29">
        <f t="shared" ref="H1779" si="41">IF(H1778=1,IF(H1777=H$2,1,-0.33),0)</f>
        <v>0</v>
      </c>
      <c r="L1779" s="48"/>
    </row>
    <row r="1780" spans="2:12" x14ac:dyDescent="0.25">
      <c r="B1780" s="8" t="s">
        <v>12</v>
      </c>
      <c r="C1780" s="24" t="s">
        <v>32</v>
      </c>
      <c r="D1780" s="9"/>
      <c r="E1780" s="26" t="s">
        <v>12</v>
      </c>
      <c r="F1780" s="25"/>
      <c r="G1780" s="26"/>
      <c r="H1780" s="26"/>
      <c r="L1780" s="48"/>
    </row>
    <row r="1781" spans="2:12" x14ac:dyDescent="0.25">
      <c r="B1781" s="11"/>
      <c r="C1781" s="12"/>
      <c r="D1781" s="9"/>
      <c r="E1781" s="26" t="s">
        <v>13</v>
      </c>
      <c r="F1781" s="30"/>
      <c r="G1781" s="26"/>
      <c r="H1781" s="26"/>
      <c r="L1781" s="48"/>
    </row>
    <row r="1782" spans="2:12" x14ac:dyDescent="0.25">
      <c r="B1782" s="5">
        <v>29</v>
      </c>
      <c r="C1782" s="21" t="s">
        <v>984</v>
      </c>
      <c r="D1782" s="6"/>
      <c r="E1782" s="23"/>
      <c r="F1782" s="22"/>
      <c r="G1782" s="23"/>
      <c r="H1782" s="23"/>
      <c r="L1782" s="48"/>
    </row>
    <row r="1783" spans="2:12" x14ac:dyDescent="0.25">
      <c r="B1783" s="8" t="s">
        <v>9</v>
      </c>
      <c r="C1783" s="24" t="s">
        <v>985</v>
      </c>
      <c r="D1783" s="9"/>
      <c r="E1783" s="26" t="s">
        <v>9</v>
      </c>
      <c r="F1783" s="25"/>
      <c r="G1783" s="26"/>
      <c r="H1783" s="1" t="b">
        <f>IF(D1785="x",H$2,H$1)</f>
        <v>0</v>
      </c>
      <c r="L1783" s="48"/>
    </row>
    <row r="1784" spans="2:12" x14ac:dyDescent="0.25">
      <c r="B1784" s="8" t="s">
        <v>10</v>
      </c>
      <c r="C1784" s="24" t="s">
        <v>986</v>
      </c>
      <c r="D1784" s="9"/>
      <c r="E1784" s="26" t="s">
        <v>10</v>
      </c>
      <c r="F1784" s="27" t="str">
        <f>IF(H1785=1,IF(H1783=H$2,H1783,""),"")</f>
        <v/>
      </c>
      <c r="G1784" s="26"/>
      <c r="H1784" s="1" t="str">
        <f>IF(E1795="comprobar",COUNTIF(D1783:D1787,"x"),"")</f>
        <v/>
      </c>
      <c r="L1784" s="48"/>
    </row>
    <row r="1785" spans="2:12" x14ac:dyDescent="0.25">
      <c r="B1785" s="8" t="s">
        <v>11</v>
      </c>
      <c r="C1785" s="24" t="s">
        <v>32</v>
      </c>
      <c r="D1785" s="9"/>
      <c r="E1785" s="26" t="s">
        <v>11</v>
      </c>
      <c r="F1785" s="28" t="str">
        <f>IF(H1785=-0.33,IF(H1783=H$1,H1783,""),"")</f>
        <v/>
      </c>
      <c r="G1785" s="26"/>
      <c r="H1785" s="29">
        <f>IF(H1784=1,IF(H1783=H$2,1,-0.33),0)</f>
        <v>0</v>
      </c>
      <c r="L1785" s="48"/>
    </row>
    <row r="1786" spans="2:12" x14ac:dyDescent="0.25">
      <c r="B1786" s="8" t="s">
        <v>12</v>
      </c>
      <c r="C1786" s="24" t="s">
        <v>368</v>
      </c>
      <c r="D1786" s="9"/>
      <c r="E1786" s="26" t="s">
        <v>12</v>
      </c>
      <c r="F1786" s="25"/>
      <c r="G1786" s="26"/>
      <c r="H1786" s="26"/>
      <c r="L1786" s="48"/>
    </row>
    <row r="1787" spans="2:12" x14ac:dyDescent="0.25">
      <c r="B1787" s="11"/>
      <c r="C1787" s="12"/>
      <c r="D1787" s="9"/>
      <c r="E1787" s="26" t="s">
        <v>13</v>
      </c>
      <c r="F1787" s="30"/>
      <c r="G1787" s="26"/>
      <c r="H1787" s="26"/>
      <c r="L1787" s="48"/>
    </row>
    <row r="1788" spans="2:12" x14ac:dyDescent="0.25">
      <c r="B1788" s="5">
        <v>30</v>
      </c>
      <c r="C1788" s="21" t="s">
        <v>647</v>
      </c>
      <c r="D1788" s="6"/>
      <c r="E1788" s="23"/>
      <c r="F1788" s="22"/>
      <c r="G1788" s="23"/>
      <c r="H1788" s="23"/>
      <c r="L1788" s="48"/>
    </row>
    <row r="1789" spans="2:12" x14ac:dyDescent="0.25">
      <c r="B1789" s="8" t="s">
        <v>9</v>
      </c>
      <c r="C1789" s="24" t="s">
        <v>648</v>
      </c>
      <c r="D1789" s="9"/>
      <c r="E1789" s="26" t="s">
        <v>9</v>
      </c>
      <c r="F1789" s="25"/>
      <c r="G1789" s="26"/>
      <c r="H1789" s="1" t="b">
        <f>IF(D1791="x",H$2,H$1)</f>
        <v>0</v>
      </c>
      <c r="L1789" s="48"/>
    </row>
    <row r="1790" spans="2:12" x14ac:dyDescent="0.25">
      <c r="B1790" s="8" t="s">
        <v>10</v>
      </c>
      <c r="C1790" s="24" t="s">
        <v>987</v>
      </c>
      <c r="D1790" s="9"/>
      <c r="E1790" s="26" t="s">
        <v>10</v>
      </c>
      <c r="F1790" s="27" t="str">
        <f>IF(H1791=1,IF(H1789=H$2,H1789,""),"")</f>
        <v/>
      </c>
      <c r="G1790" s="26"/>
      <c r="H1790" s="1" t="str">
        <f>IF(E1795="comprobar",COUNTIF(D1789:D1793,"x"),"")</f>
        <v/>
      </c>
      <c r="L1790" s="48"/>
    </row>
    <row r="1791" spans="2:12" x14ac:dyDescent="0.25">
      <c r="B1791" s="8" t="s">
        <v>11</v>
      </c>
      <c r="C1791" s="24" t="s">
        <v>988</v>
      </c>
      <c r="D1791" s="9"/>
      <c r="E1791" s="26" t="s">
        <v>11</v>
      </c>
      <c r="F1791" s="28" t="str">
        <f>IF(H1791=-0.33,IF(H1789=H$1,H1789,""),"")</f>
        <v/>
      </c>
      <c r="G1791" s="26"/>
      <c r="H1791" s="29">
        <f>IF(H1790=1,IF(H1789=H$2,1,-0.33),0)</f>
        <v>0</v>
      </c>
      <c r="L1791" s="48"/>
    </row>
    <row r="1792" spans="2:12" x14ac:dyDescent="0.25">
      <c r="B1792" s="8" t="s">
        <v>12</v>
      </c>
      <c r="C1792" s="24" t="s">
        <v>368</v>
      </c>
      <c r="D1792" s="9"/>
      <c r="E1792" s="26" t="s">
        <v>12</v>
      </c>
      <c r="F1792" s="25"/>
      <c r="G1792" s="26"/>
      <c r="H1792" s="29"/>
      <c r="L1792" s="9"/>
    </row>
    <row r="1793" spans="2:8" x14ac:dyDescent="0.25">
      <c r="B1793" s="11"/>
      <c r="C1793" s="12"/>
      <c r="D1793" s="9"/>
      <c r="E1793" s="26" t="s">
        <v>13</v>
      </c>
      <c r="F1793" s="30"/>
      <c r="G1793" s="26"/>
      <c r="H1793" s="29"/>
    </row>
    <row r="1794" spans="2:8" x14ac:dyDescent="0.25">
      <c r="B1794" s="46"/>
      <c r="C1794" s="46"/>
      <c r="D1794" s="34"/>
      <c r="E1794" s="26"/>
      <c r="F1794" s="30"/>
      <c r="G1794" s="26"/>
      <c r="H1794" s="29"/>
    </row>
    <row r="1795" spans="2:8" x14ac:dyDescent="0.25">
      <c r="B1795" s="33"/>
      <c r="C1795" s="4"/>
      <c r="D1795" s="34"/>
      <c r="E1795" s="35"/>
      <c r="F1795" s="30"/>
      <c r="G1795" s="26"/>
      <c r="H1795" s="26"/>
    </row>
    <row r="1796" spans="2:8" x14ac:dyDescent="0.25">
      <c r="B1796" s="33"/>
      <c r="C1796" s="4"/>
      <c r="D1796" s="34"/>
      <c r="E1796" s="36"/>
      <c r="F1796" s="37" t="s">
        <v>8</v>
      </c>
      <c r="G1796" s="26" t="s">
        <v>6</v>
      </c>
      <c r="H1796" s="26" t="s">
        <v>7</v>
      </c>
    </row>
    <row r="1797" spans="2:8" ht="19.5" x14ac:dyDescent="0.25">
      <c r="B1797" s="33"/>
      <c r="C1797" s="38"/>
      <c r="D1797" s="51"/>
      <c r="E1797" s="51"/>
      <c r="F1797" s="39" t="str">
        <f>IF(E1795="comprobar",H1671+H1665+H1659+H1653+H1647+H1641+H1635+H1629+H1623+H1617+H1677+H1683+H1689+H1695+H1701+H1707+H1713+H1719+H1725+H1731+H1737+H1743+H1749+H1755+H1761+H1767+H1773+H1779+H1785+H1791,"")</f>
        <v/>
      </c>
      <c r="G1797" s="26">
        <f>10/2</f>
        <v>5</v>
      </c>
      <c r="H1797" s="26"/>
    </row>
    <row r="1798" spans="2:8" ht="16.5" thickBot="1" x14ac:dyDescent="0.3">
      <c r="B1798" s="40"/>
      <c r="C1798" s="41"/>
      <c r="D1798" s="42"/>
      <c r="E1798" s="43"/>
      <c r="F1798" s="44" t="str">
        <f>IF(F1797&gt;G1797,G1796,H1796)</f>
        <v>APROBADO</v>
      </c>
      <c r="G1798" s="26"/>
      <c r="H1798" s="26"/>
    </row>
    <row r="1799" spans="2:8" ht="28.5" x14ac:dyDescent="0.45">
      <c r="B1799" s="19" t="s">
        <v>81</v>
      </c>
      <c r="C1799" s="49" t="s">
        <v>989</v>
      </c>
      <c r="D1799" s="49"/>
      <c r="E1799" s="49"/>
      <c r="F1799" s="50"/>
      <c r="G1799" s="20"/>
      <c r="H1799" s="20"/>
    </row>
    <row r="1800" spans="2:8" x14ac:dyDescent="0.25">
      <c r="B1800" s="5">
        <v>1</v>
      </c>
      <c r="C1800" s="21" t="s">
        <v>652</v>
      </c>
      <c r="D1800" s="6"/>
      <c r="E1800" s="23"/>
      <c r="F1800" s="22"/>
      <c r="G1800" s="23"/>
      <c r="H1800" s="23"/>
    </row>
    <row r="1801" spans="2:8" x14ac:dyDescent="0.25">
      <c r="B1801" s="8" t="s">
        <v>9</v>
      </c>
      <c r="C1801" s="24" t="s">
        <v>990</v>
      </c>
      <c r="D1801" s="9"/>
      <c r="E1801" s="26" t="s">
        <v>9</v>
      </c>
      <c r="F1801" s="25"/>
      <c r="G1801" s="26"/>
      <c r="H1801" s="1" t="b">
        <f>IF(D1804="x",H$2,H$1)</f>
        <v>0</v>
      </c>
    </row>
    <row r="1802" spans="2:8" x14ac:dyDescent="0.25">
      <c r="B1802" s="8" t="s">
        <v>10</v>
      </c>
      <c r="C1802" s="24" t="s">
        <v>654</v>
      </c>
      <c r="D1802" s="9"/>
      <c r="E1802" s="26" t="s">
        <v>10</v>
      </c>
      <c r="F1802" s="27" t="str">
        <f>IF(H1803=1,IF(H1801=H$2,H1801,""),"")</f>
        <v/>
      </c>
      <c r="G1802" s="26"/>
      <c r="H1802" s="1" t="str">
        <f>IF(E1981="comprobar",COUNTIF(D1801:D1805,"x"),"")</f>
        <v/>
      </c>
    </row>
    <row r="1803" spans="2:8" x14ac:dyDescent="0.25">
      <c r="B1803" s="8" t="s">
        <v>11</v>
      </c>
      <c r="C1803" s="24" t="s">
        <v>655</v>
      </c>
      <c r="D1803" s="9"/>
      <c r="E1803" s="26" t="s">
        <v>11</v>
      </c>
      <c r="F1803" s="28" t="str">
        <f>IF(H1803=-0.33,IF(H1801=H$1,H1801,""),"")</f>
        <v/>
      </c>
      <c r="G1803" s="26"/>
      <c r="H1803" s="29">
        <f>IF(H1802=1,IF(H1801=H$2,1,-0.33),0)</f>
        <v>0</v>
      </c>
    </row>
    <row r="1804" spans="2:8" x14ac:dyDescent="0.25">
      <c r="B1804" s="8" t="s">
        <v>12</v>
      </c>
      <c r="C1804" s="24" t="s">
        <v>15</v>
      </c>
      <c r="D1804" s="9"/>
      <c r="E1804" s="26" t="s">
        <v>12</v>
      </c>
      <c r="F1804" s="25"/>
      <c r="G1804" s="26"/>
      <c r="H1804" s="29"/>
    </row>
    <row r="1805" spans="2:8" x14ac:dyDescent="0.25">
      <c r="B1805" s="11"/>
      <c r="C1805" s="12"/>
      <c r="D1805" s="9"/>
      <c r="E1805" s="26" t="s">
        <v>13</v>
      </c>
      <c r="F1805" s="30"/>
      <c r="G1805" s="26"/>
      <c r="H1805" s="29"/>
    </row>
    <row r="1806" spans="2:8" x14ac:dyDescent="0.25">
      <c r="B1806" s="5">
        <v>2</v>
      </c>
      <c r="C1806" s="21" t="s">
        <v>991</v>
      </c>
      <c r="D1806" s="6"/>
      <c r="E1806" s="23"/>
      <c r="F1806" s="22"/>
      <c r="G1806" s="23"/>
      <c r="H1806" s="23"/>
    </row>
    <row r="1807" spans="2:8" x14ac:dyDescent="0.25">
      <c r="B1807" s="8" t="s">
        <v>9</v>
      </c>
      <c r="C1807" s="24" t="s">
        <v>992</v>
      </c>
      <c r="D1807" s="9"/>
      <c r="E1807" s="26" t="s">
        <v>9</v>
      </c>
      <c r="F1807" s="25"/>
      <c r="G1807" s="26"/>
      <c r="H1807" s="1" t="b">
        <f>IF(D1810="x",H$2,H$1)</f>
        <v>0</v>
      </c>
    </row>
    <row r="1808" spans="2:8" ht="31.5" x14ac:dyDescent="0.25">
      <c r="B1808" s="8" t="s">
        <v>10</v>
      </c>
      <c r="C1808" s="24" t="s">
        <v>993</v>
      </c>
      <c r="D1808" s="9"/>
      <c r="E1808" s="26" t="s">
        <v>10</v>
      </c>
      <c r="F1808" s="27" t="str">
        <f>IF(H1809=1,IF(H1807=H$2,H1807,""),"")</f>
        <v/>
      </c>
      <c r="G1808" s="26"/>
      <c r="H1808" s="1" t="str">
        <f>IF(E1981="comprobar",COUNTIF(D1807:D1811,"x"),"")</f>
        <v/>
      </c>
    </row>
    <row r="1809" spans="2:8" ht="31.5" x14ac:dyDescent="0.25">
      <c r="B1809" s="8" t="s">
        <v>11</v>
      </c>
      <c r="C1809" s="24" t="s">
        <v>994</v>
      </c>
      <c r="D1809" s="9"/>
      <c r="E1809" s="26" t="s">
        <v>11</v>
      </c>
      <c r="F1809" s="28" t="str">
        <f>IF(H1809=-0.33,IF(H1807=H$1,H1807,""),"")</f>
        <v/>
      </c>
      <c r="G1809" s="26"/>
      <c r="H1809" s="29">
        <f>IF(H1808=1,IF(H1807=H$2,1,-0.33),0)</f>
        <v>0</v>
      </c>
    </row>
    <row r="1810" spans="2:8" x14ac:dyDescent="0.25">
      <c r="B1810" s="8" t="s">
        <v>12</v>
      </c>
      <c r="C1810" s="24" t="s">
        <v>32</v>
      </c>
      <c r="D1810" s="9"/>
      <c r="E1810" s="26" t="s">
        <v>12</v>
      </c>
      <c r="F1810" s="25"/>
      <c r="G1810" s="26"/>
      <c r="H1810" s="26"/>
    </row>
    <row r="1811" spans="2:8" x14ac:dyDescent="0.25">
      <c r="B1811" s="11"/>
      <c r="C1811" s="12"/>
      <c r="D1811" s="9"/>
      <c r="E1811" s="26" t="s">
        <v>13</v>
      </c>
      <c r="F1811" s="30"/>
      <c r="G1811" s="26"/>
      <c r="H1811" s="26"/>
    </row>
    <row r="1812" spans="2:8" x14ac:dyDescent="0.25">
      <c r="B1812" s="5">
        <v>3</v>
      </c>
      <c r="C1812" s="21" t="s">
        <v>995</v>
      </c>
      <c r="D1812" s="6"/>
      <c r="E1812" s="23"/>
      <c r="F1812" s="22"/>
      <c r="G1812" s="23"/>
      <c r="H1812" s="23"/>
    </row>
    <row r="1813" spans="2:8" x14ac:dyDescent="0.25">
      <c r="B1813" s="8" t="s">
        <v>9</v>
      </c>
      <c r="C1813" s="24" t="s">
        <v>655</v>
      </c>
      <c r="D1813" s="9"/>
      <c r="E1813" s="26" t="s">
        <v>9</v>
      </c>
      <c r="F1813" s="25"/>
      <c r="G1813" s="26"/>
      <c r="H1813" s="1" t="b">
        <f>IF(D1816="x",H$2,H$1)</f>
        <v>0</v>
      </c>
    </row>
    <row r="1814" spans="2:8" x14ac:dyDescent="0.25">
      <c r="B1814" s="8" t="s">
        <v>10</v>
      </c>
      <c r="C1814" s="24" t="s">
        <v>996</v>
      </c>
      <c r="D1814" s="9"/>
      <c r="E1814" s="26" t="s">
        <v>10</v>
      </c>
      <c r="F1814" s="27" t="str">
        <f>IF(H1815=1,IF(H1813=H$2,H1813,""),"")</f>
        <v/>
      </c>
      <c r="G1814" s="26"/>
      <c r="H1814" s="1" t="str">
        <f>IF(E1981="comprobar",COUNTIF(D1813:D1817,"x"),"")</f>
        <v/>
      </c>
    </row>
    <row r="1815" spans="2:8" x14ac:dyDescent="0.25">
      <c r="B1815" s="8" t="s">
        <v>11</v>
      </c>
      <c r="C1815" s="24" t="s">
        <v>997</v>
      </c>
      <c r="D1815" s="9"/>
      <c r="E1815" s="26" t="s">
        <v>11</v>
      </c>
      <c r="F1815" s="28" t="str">
        <f>IF(H1815=-0.33,IF(H1813=H$1,H1813,""),"")</f>
        <v/>
      </c>
      <c r="G1815" s="26"/>
      <c r="H1815" s="29">
        <f>IF(H1814=1,IF(H1813=H$2,1,-0.33),0)</f>
        <v>0</v>
      </c>
    </row>
    <row r="1816" spans="2:8" x14ac:dyDescent="0.25">
      <c r="B1816" s="8" t="s">
        <v>12</v>
      </c>
      <c r="C1816" s="24" t="s">
        <v>32</v>
      </c>
      <c r="D1816" s="9"/>
      <c r="E1816" s="26" t="s">
        <v>12</v>
      </c>
      <c r="F1816" s="25"/>
      <c r="G1816" s="26"/>
      <c r="H1816" s="29"/>
    </row>
    <row r="1817" spans="2:8" x14ac:dyDescent="0.25">
      <c r="B1817" s="11"/>
      <c r="C1817" s="12"/>
      <c r="D1817" s="9"/>
      <c r="E1817" s="26" t="s">
        <v>13</v>
      </c>
      <c r="F1817" s="30"/>
      <c r="G1817" s="26"/>
      <c r="H1817" s="29"/>
    </row>
    <row r="1818" spans="2:8" x14ac:dyDescent="0.25">
      <c r="B1818" s="5">
        <v>4</v>
      </c>
      <c r="C1818" s="21" t="s">
        <v>656</v>
      </c>
      <c r="D1818" s="6"/>
      <c r="E1818" s="23"/>
      <c r="F1818" s="22"/>
      <c r="G1818" s="23"/>
      <c r="H1818" s="23"/>
    </row>
    <row r="1819" spans="2:8" x14ac:dyDescent="0.25">
      <c r="B1819" s="8" t="s">
        <v>9</v>
      </c>
      <c r="C1819" s="24" t="s">
        <v>657</v>
      </c>
      <c r="D1819" s="9"/>
      <c r="E1819" s="26" t="s">
        <v>9</v>
      </c>
      <c r="F1819" s="25"/>
      <c r="G1819" s="26"/>
      <c r="H1819" s="1" t="b">
        <f>IF(D1819="x",H$2,H$1)</f>
        <v>0</v>
      </c>
    </row>
    <row r="1820" spans="2:8" x14ac:dyDescent="0.25">
      <c r="B1820" s="8" t="s">
        <v>10</v>
      </c>
      <c r="C1820" s="24" t="s">
        <v>658</v>
      </c>
      <c r="D1820" s="9"/>
      <c r="E1820" s="26" t="s">
        <v>10</v>
      </c>
      <c r="F1820" s="27" t="str">
        <f>IF(H1821=1,IF(H1819=H$2,H1819,""),"")</f>
        <v/>
      </c>
      <c r="G1820" s="26"/>
      <c r="H1820" s="1" t="str">
        <f>IF(E1981="comprobar",COUNTIF(D1819:D1823,"x"),"")</f>
        <v/>
      </c>
    </row>
    <row r="1821" spans="2:8" x14ac:dyDescent="0.25">
      <c r="B1821" s="8" t="s">
        <v>11</v>
      </c>
      <c r="C1821" s="24" t="s">
        <v>999</v>
      </c>
      <c r="D1821" s="9"/>
      <c r="E1821" s="26" t="s">
        <v>11</v>
      </c>
      <c r="F1821" s="28" t="str">
        <f>IF(H1821=-0.33,IF(H1819=H$1,H1819,""),"")</f>
        <v/>
      </c>
      <c r="G1821" s="26"/>
      <c r="H1821" s="29">
        <f>IF(H1820=1,IF(H1819=H$2,1,-0.33),0)</f>
        <v>0</v>
      </c>
    </row>
    <row r="1822" spans="2:8" x14ac:dyDescent="0.25">
      <c r="B1822" s="8" t="s">
        <v>12</v>
      </c>
      <c r="C1822" s="24" t="s">
        <v>660</v>
      </c>
      <c r="D1822" s="9"/>
      <c r="E1822" s="26" t="s">
        <v>12</v>
      </c>
      <c r="F1822" s="25"/>
      <c r="G1822" s="26"/>
      <c r="H1822" s="29"/>
    </row>
    <row r="1823" spans="2:8" x14ac:dyDescent="0.25">
      <c r="B1823" s="11"/>
      <c r="C1823" s="12"/>
      <c r="D1823" s="9"/>
      <c r="E1823" s="26" t="s">
        <v>13</v>
      </c>
      <c r="F1823" s="30"/>
      <c r="G1823" s="26"/>
      <c r="H1823" s="29"/>
    </row>
    <row r="1824" spans="2:8" x14ac:dyDescent="0.25">
      <c r="B1824" s="5">
        <v>5</v>
      </c>
      <c r="C1824" s="21" t="s">
        <v>998</v>
      </c>
      <c r="D1824" s="6"/>
      <c r="E1824" s="23"/>
      <c r="F1824" s="22"/>
      <c r="G1824" s="23"/>
      <c r="H1824" s="23"/>
    </row>
    <row r="1825" spans="2:8" x14ac:dyDescent="0.25">
      <c r="B1825" s="8" t="s">
        <v>9</v>
      </c>
      <c r="C1825" s="24" t="s">
        <v>666</v>
      </c>
      <c r="D1825" s="9"/>
      <c r="E1825" s="26" t="s">
        <v>9</v>
      </c>
      <c r="F1825" s="25"/>
      <c r="G1825" s="26"/>
      <c r="H1825" s="1" t="b">
        <f>IF(D1828="x",H$2,H$1)</f>
        <v>0</v>
      </c>
    </row>
    <row r="1826" spans="2:8" x14ac:dyDescent="0.25">
      <c r="B1826" s="8" t="s">
        <v>10</v>
      </c>
      <c r="C1826" s="24" t="s">
        <v>667</v>
      </c>
      <c r="D1826" s="9"/>
      <c r="E1826" s="26" t="s">
        <v>10</v>
      </c>
      <c r="F1826" s="27" t="str">
        <f>IF(H1827=1,IF(H1825=H$2,H1825,""),"")</f>
        <v/>
      </c>
      <c r="G1826" s="26"/>
      <c r="H1826" s="1" t="str">
        <f>IF(E1981="comprobar",COUNTIF(D1825:D1829,"x"),"")</f>
        <v/>
      </c>
    </row>
    <row r="1827" spans="2:8" ht="31.5" x14ac:dyDescent="0.25">
      <c r="B1827" s="8" t="s">
        <v>11</v>
      </c>
      <c r="C1827" s="24" t="s">
        <v>668</v>
      </c>
      <c r="D1827" s="9"/>
      <c r="E1827" s="26" t="s">
        <v>11</v>
      </c>
      <c r="F1827" s="28" t="str">
        <f>IF(H1827=-0.33,IF(H1825=H$1,H1825,""),"")</f>
        <v/>
      </c>
      <c r="G1827" s="26"/>
      <c r="H1827" s="29">
        <f t="shared" ref="H1827" si="42">IF(H1826=1,IF(H1825=H$2,1,-0.33),0)</f>
        <v>0</v>
      </c>
    </row>
    <row r="1828" spans="2:8" x14ac:dyDescent="0.25">
      <c r="B1828" s="8" t="s">
        <v>12</v>
      </c>
      <c r="C1828" s="24" t="s">
        <v>32</v>
      </c>
      <c r="D1828" s="9"/>
      <c r="E1828" s="26" t="s">
        <v>12</v>
      </c>
      <c r="F1828" s="25"/>
      <c r="G1828" s="26"/>
      <c r="H1828" s="26"/>
    </row>
    <row r="1829" spans="2:8" x14ac:dyDescent="0.25">
      <c r="B1829" s="11"/>
      <c r="C1829" s="12"/>
      <c r="D1829" s="9"/>
      <c r="E1829" s="26" t="s">
        <v>13</v>
      </c>
      <c r="F1829" s="30"/>
      <c r="G1829" s="26"/>
      <c r="H1829" s="26"/>
    </row>
    <row r="1830" spans="2:8" x14ac:dyDescent="0.25">
      <c r="B1830" s="5">
        <v>6</v>
      </c>
      <c r="C1830" s="21" t="s">
        <v>1000</v>
      </c>
      <c r="D1830" s="6"/>
      <c r="E1830" s="23"/>
      <c r="F1830" s="22"/>
      <c r="G1830" s="23"/>
      <c r="H1830" s="23"/>
    </row>
    <row r="1831" spans="2:8" x14ac:dyDescent="0.25">
      <c r="B1831" s="8" t="s">
        <v>9</v>
      </c>
      <c r="C1831" s="24" t="s">
        <v>1002</v>
      </c>
      <c r="D1831" s="9"/>
      <c r="E1831" s="26" t="s">
        <v>9</v>
      </c>
      <c r="F1831" s="25"/>
      <c r="G1831" s="26"/>
      <c r="H1831" s="1" t="b">
        <f>IF(D1831="x",H$2,H$1)</f>
        <v>0</v>
      </c>
    </row>
    <row r="1832" spans="2:8" x14ac:dyDescent="0.25">
      <c r="B1832" s="8" t="s">
        <v>10</v>
      </c>
      <c r="C1832" s="24" t="s">
        <v>1003</v>
      </c>
      <c r="D1832" s="9"/>
      <c r="E1832" s="26" t="s">
        <v>10</v>
      </c>
      <c r="F1832" s="27" t="str">
        <f>IF(H1833=1,IF(H1831=H$2,H1831,""),"")</f>
        <v/>
      </c>
      <c r="G1832" s="26"/>
      <c r="H1832" s="1" t="str">
        <f>IF(E1981="comprobar",COUNTIF(D1831:D1835,"x"),"")</f>
        <v/>
      </c>
    </row>
    <row r="1833" spans="2:8" x14ac:dyDescent="0.25">
      <c r="B1833" s="8" t="s">
        <v>11</v>
      </c>
      <c r="C1833" s="24" t="s">
        <v>1004</v>
      </c>
      <c r="D1833" s="9"/>
      <c r="E1833" s="26" t="s">
        <v>11</v>
      </c>
      <c r="F1833" s="28" t="str">
        <f>IF(H1833=-0.33,IF(H1831=H$1,H1831,""),"")</f>
        <v/>
      </c>
      <c r="G1833" s="26"/>
      <c r="H1833" s="29">
        <f>IF(H1832=1,IF(H1831=H$2,1,-0.33),0)</f>
        <v>0</v>
      </c>
    </row>
    <row r="1834" spans="2:8" x14ac:dyDescent="0.25">
      <c r="B1834" s="8" t="s">
        <v>12</v>
      </c>
      <c r="C1834" s="24" t="s">
        <v>32</v>
      </c>
      <c r="D1834" s="9"/>
      <c r="E1834" s="26" t="s">
        <v>12</v>
      </c>
      <c r="F1834" s="25"/>
      <c r="G1834" s="26"/>
      <c r="H1834" s="26"/>
    </row>
    <row r="1835" spans="2:8" x14ac:dyDescent="0.25">
      <c r="B1835" s="11"/>
      <c r="C1835" s="12"/>
      <c r="D1835" s="9"/>
      <c r="E1835" s="26" t="s">
        <v>13</v>
      </c>
      <c r="F1835" s="30"/>
      <c r="G1835" s="26"/>
      <c r="H1835" s="26"/>
    </row>
    <row r="1836" spans="2:8" x14ac:dyDescent="0.25">
      <c r="B1836" s="5">
        <v>7</v>
      </c>
      <c r="C1836" s="21" t="s">
        <v>661</v>
      </c>
      <c r="D1836" s="6"/>
      <c r="E1836" s="23"/>
      <c r="F1836" s="22"/>
      <c r="G1836" s="23"/>
      <c r="H1836" s="23"/>
    </row>
    <row r="1837" spans="2:8" x14ac:dyDescent="0.25">
      <c r="B1837" s="8" t="s">
        <v>9</v>
      </c>
      <c r="C1837" s="24" t="s">
        <v>662</v>
      </c>
      <c r="D1837" s="9"/>
      <c r="E1837" s="26" t="s">
        <v>9</v>
      </c>
      <c r="F1837" s="25"/>
      <c r="G1837" s="26"/>
      <c r="H1837" s="1" t="b">
        <f>IF(D1840="x",H$2,H$1)</f>
        <v>0</v>
      </c>
    </row>
    <row r="1838" spans="2:8" x14ac:dyDescent="0.25">
      <c r="B1838" s="8" t="s">
        <v>10</v>
      </c>
      <c r="C1838" s="24" t="s">
        <v>663</v>
      </c>
      <c r="D1838" s="9"/>
      <c r="E1838" s="26" t="s">
        <v>10</v>
      </c>
      <c r="F1838" s="27" t="str">
        <f>IF(H1839=1,IF(H1837=H$2,H1837,""),"")</f>
        <v/>
      </c>
      <c r="G1838" s="26"/>
      <c r="H1838" s="1" t="str">
        <f>IF(E1981="comprobar",COUNTIF(D1837:D1841,"x"),"")</f>
        <v/>
      </c>
    </row>
    <row r="1839" spans="2:8" x14ac:dyDescent="0.25">
      <c r="B1839" s="8" t="s">
        <v>11</v>
      </c>
      <c r="C1839" s="24" t="s">
        <v>664</v>
      </c>
      <c r="D1839" s="9"/>
      <c r="E1839" s="26" t="s">
        <v>11</v>
      </c>
      <c r="F1839" s="28" t="str">
        <f>IF(H1839=-0.33,IF(H1837=H$1,H1837,""),"")</f>
        <v/>
      </c>
      <c r="G1839" s="26"/>
      <c r="H1839" s="29">
        <f>IF(H1838=1,IF(H1837=H$2,1,-0.33),0)</f>
        <v>0</v>
      </c>
    </row>
    <row r="1840" spans="2:8" x14ac:dyDescent="0.25">
      <c r="B1840" s="8" t="s">
        <v>12</v>
      </c>
      <c r="C1840" s="24" t="s">
        <v>32</v>
      </c>
      <c r="D1840" s="9"/>
      <c r="E1840" s="26" t="s">
        <v>12</v>
      </c>
      <c r="F1840" s="25"/>
      <c r="G1840" s="26"/>
      <c r="H1840" s="29"/>
    </row>
    <row r="1841" spans="2:8" x14ac:dyDescent="0.25">
      <c r="B1841" s="11"/>
      <c r="C1841" s="12"/>
      <c r="D1841" s="9"/>
      <c r="E1841" s="26" t="s">
        <v>13</v>
      </c>
      <c r="F1841" s="30"/>
      <c r="G1841" s="26"/>
      <c r="H1841" s="29"/>
    </row>
    <row r="1842" spans="2:8" x14ac:dyDescent="0.25">
      <c r="B1842" s="5">
        <v>8</v>
      </c>
      <c r="C1842" s="21" t="s">
        <v>1001</v>
      </c>
      <c r="D1842" s="6"/>
      <c r="E1842" s="23"/>
      <c r="F1842" s="22"/>
      <c r="G1842" s="23"/>
      <c r="H1842" s="23"/>
    </row>
    <row r="1843" spans="2:8" x14ac:dyDescent="0.25">
      <c r="B1843" s="8" t="s">
        <v>9</v>
      </c>
      <c r="C1843" s="24" t="s">
        <v>1005</v>
      </c>
      <c r="D1843" s="9"/>
      <c r="E1843" s="26" t="s">
        <v>9</v>
      </c>
      <c r="F1843" s="25"/>
      <c r="G1843" s="26"/>
      <c r="H1843" s="1" t="b">
        <f>IF(D1846="x",H$2,H$1)</f>
        <v>0</v>
      </c>
    </row>
    <row r="1844" spans="2:8" x14ac:dyDescent="0.25">
      <c r="B1844" s="8" t="s">
        <v>10</v>
      </c>
      <c r="C1844" s="24" t="s">
        <v>684</v>
      </c>
      <c r="D1844" s="9"/>
      <c r="E1844" s="26" t="s">
        <v>10</v>
      </c>
      <c r="F1844" s="27" t="str">
        <f>IF(H1845=1,IF(H1843=H$2,H1843,""),"")</f>
        <v/>
      </c>
      <c r="G1844" s="26"/>
      <c r="H1844" s="1" t="str">
        <f>IF(E1981="comprobar",COUNTIF(D1843:D1847,"x"),"")</f>
        <v/>
      </c>
    </row>
    <row r="1845" spans="2:8" x14ac:dyDescent="0.25">
      <c r="B1845" s="8" t="s">
        <v>11</v>
      </c>
      <c r="C1845" s="24" t="s">
        <v>685</v>
      </c>
      <c r="D1845" s="9"/>
      <c r="E1845" s="26" t="s">
        <v>11</v>
      </c>
      <c r="F1845" s="28" t="str">
        <f>IF(H1845=-0.33,IF(H1843=H$1,H1843,""),"")</f>
        <v/>
      </c>
      <c r="G1845" s="26"/>
      <c r="H1845" s="29">
        <f>IF(H1844=1,IF(H1843=H$2,1,-0.33),0)</f>
        <v>0</v>
      </c>
    </row>
    <row r="1846" spans="2:8" x14ac:dyDescent="0.25">
      <c r="B1846" s="8" t="s">
        <v>12</v>
      </c>
      <c r="C1846" s="24" t="s">
        <v>32</v>
      </c>
      <c r="D1846" s="9"/>
      <c r="E1846" s="26" t="s">
        <v>12</v>
      </c>
      <c r="F1846" s="25"/>
      <c r="G1846" s="26"/>
      <c r="H1846" s="29"/>
    </row>
    <row r="1847" spans="2:8" x14ac:dyDescent="0.25">
      <c r="B1847" s="11"/>
      <c r="C1847" s="12"/>
      <c r="D1847" s="9"/>
      <c r="E1847" s="26" t="s">
        <v>13</v>
      </c>
      <c r="F1847" s="30"/>
      <c r="G1847" s="26"/>
      <c r="H1847" s="29"/>
    </row>
    <row r="1848" spans="2:8" x14ac:dyDescent="0.25">
      <c r="B1848" s="5">
        <v>9</v>
      </c>
      <c r="C1848" s="21" t="s">
        <v>690</v>
      </c>
      <c r="D1848" s="6"/>
      <c r="E1848" s="23"/>
      <c r="F1848" s="22"/>
      <c r="G1848" s="23"/>
      <c r="H1848" s="23"/>
    </row>
    <row r="1849" spans="2:8" x14ac:dyDescent="0.25">
      <c r="B1849" s="8" t="s">
        <v>9</v>
      </c>
      <c r="C1849" s="24" t="s">
        <v>1006</v>
      </c>
      <c r="D1849" s="9"/>
      <c r="E1849" s="26" t="s">
        <v>9</v>
      </c>
      <c r="F1849" s="25"/>
      <c r="G1849" s="26"/>
      <c r="H1849" s="1" t="b">
        <f>IF(D1849="x",H$2,H$1)</f>
        <v>0</v>
      </c>
    </row>
    <row r="1850" spans="2:8" x14ac:dyDescent="0.25">
      <c r="B1850" s="8" t="s">
        <v>10</v>
      </c>
      <c r="C1850" s="24" t="s">
        <v>692</v>
      </c>
      <c r="D1850" s="9"/>
      <c r="E1850" s="26" t="s">
        <v>10</v>
      </c>
      <c r="F1850" s="27" t="str">
        <f>IF(H1851=1,IF(H1849=H$2,H1849,""),"")</f>
        <v/>
      </c>
      <c r="G1850" s="26"/>
      <c r="H1850" s="1" t="str">
        <f>IF(E1981="comprobar",COUNTIF(D1849:D1853,"x"),"")</f>
        <v/>
      </c>
    </row>
    <row r="1851" spans="2:8" x14ac:dyDescent="0.25">
      <c r="B1851" s="8" t="s">
        <v>11</v>
      </c>
      <c r="C1851" s="24" t="s">
        <v>693</v>
      </c>
      <c r="D1851" s="9"/>
      <c r="E1851" s="26" t="s">
        <v>11</v>
      </c>
      <c r="F1851" s="28" t="str">
        <f>IF(H1851=-0.33,IF(H1849=H$1,H1849,""),"")</f>
        <v/>
      </c>
      <c r="G1851" s="26"/>
      <c r="H1851" s="29">
        <f>IF(H1850=1,IF(H1849=H$2,1,-0.33),0)</f>
        <v>0</v>
      </c>
    </row>
    <row r="1852" spans="2:8" x14ac:dyDescent="0.25">
      <c r="B1852" s="8" t="s">
        <v>12</v>
      </c>
      <c r="C1852" s="24" t="s">
        <v>368</v>
      </c>
      <c r="D1852" s="9"/>
      <c r="E1852" s="26" t="s">
        <v>12</v>
      </c>
      <c r="F1852" s="25"/>
      <c r="G1852" s="26"/>
      <c r="H1852" s="1"/>
    </row>
    <row r="1853" spans="2:8" x14ac:dyDescent="0.25">
      <c r="B1853" s="11"/>
      <c r="C1853" s="12"/>
      <c r="D1853" s="9"/>
      <c r="E1853" s="26" t="s">
        <v>13</v>
      </c>
      <c r="F1853" s="30"/>
      <c r="G1853" s="26"/>
      <c r="H1853" s="15"/>
    </row>
    <row r="1854" spans="2:8" x14ac:dyDescent="0.25">
      <c r="B1854" s="5">
        <v>10</v>
      </c>
      <c r="C1854" s="21" t="s">
        <v>1007</v>
      </c>
      <c r="D1854" s="6"/>
      <c r="E1854" s="23"/>
      <c r="F1854" s="22"/>
      <c r="G1854" s="31"/>
      <c r="H1854" s="31"/>
    </row>
    <row r="1855" spans="2:8" x14ac:dyDescent="0.25">
      <c r="B1855" s="8" t="s">
        <v>9</v>
      </c>
      <c r="C1855" s="24" t="s">
        <v>1009</v>
      </c>
      <c r="D1855" s="9"/>
      <c r="E1855" s="26" t="s">
        <v>9</v>
      </c>
      <c r="F1855" s="25"/>
      <c r="G1855" s="32"/>
      <c r="H1855" s="1" t="b">
        <f>IF(D1856="x",H$2,H$1)</f>
        <v>0</v>
      </c>
    </row>
    <row r="1856" spans="2:8" ht="31.5" x14ac:dyDescent="0.25">
      <c r="B1856" s="8" t="s">
        <v>10</v>
      </c>
      <c r="C1856" s="24" t="s">
        <v>727</v>
      </c>
      <c r="D1856" s="9"/>
      <c r="E1856" s="26" t="s">
        <v>10</v>
      </c>
      <c r="F1856" s="27" t="str">
        <f>IF(H1857=1,IF(H1855=H$2,H1855,""),"")</f>
        <v/>
      </c>
      <c r="G1856" s="32"/>
      <c r="H1856" s="1" t="str">
        <f>IF(E1981="comprobar",COUNTIF(D1855:D1859,"x"),"")</f>
        <v/>
      </c>
    </row>
    <row r="1857" spans="2:8" x14ac:dyDescent="0.25">
      <c r="B1857" s="8" t="s">
        <v>11</v>
      </c>
      <c r="C1857" s="24" t="s">
        <v>1010</v>
      </c>
      <c r="D1857" s="9"/>
      <c r="E1857" s="26" t="s">
        <v>11</v>
      </c>
      <c r="F1857" s="28" t="str">
        <f>IF(H1857=-0.33,IF(H1855=H$1,H1855,""),"")</f>
        <v/>
      </c>
      <c r="G1857" s="32"/>
      <c r="H1857" s="29">
        <f>IF(H1856=1,IF(H1855=H$2,1,-0.33),0)</f>
        <v>0</v>
      </c>
    </row>
    <row r="1858" spans="2:8" x14ac:dyDescent="0.25">
      <c r="B1858" s="8" t="s">
        <v>12</v>
      </c>
      <c r="C1858" s="24" t="s">
        <v>1011</v>
      </c>
      <c r="D1858" s="9"/>
      <c r="E1858" s="26" t="s">
        <v>12</v>
      </c>
      <c r="F1858" s="25"/>
      <c r="G1858" s="32"/>
      <c r="H1858" s="29"/>
    </row>
    <row r="1859" spans="2:8" x14ac:dyDescent="0.25">
      <c r="B1859" s="11"/>
      <c r="C1859" s="12"/>
      <c r="D1859" s="9"/>
      <c r="E1859" s="26" t="s">
        <v>13</v>
      </c>
      <c r="F1859" s="30"/>
      <c r="G1859" s="32"/>
      <c r="H1859" s="29"/>
    </row>
    <row r="1860" spans="2:8" x14ac:dyDescent="0.25">
      <c r="B1860" s="5">
        <v>11</v>
      </c>
      <c r="C1860" s="21" t="s">
        <v>1012</v>
      </c>
      <c r="D1860" s="6"/>
      <c r="E1860" s="23"/>
      <c r="F1860" s="22"/>
      <c r="G1860" s="31"/>
      <c r="H1860" s="31"/>
    </row>
    <row r="1861" spans="2:8" x14ac:dyDescent="0.25">
      <c r="B1861" s="8" t="s">
        <v>9</v>
      </c>
      <c r="C1861" s="24" t="s">
        <v>744</v>
      </c>
      <c r="D1861" s="9"/>
      <c r="E1861" s="26" t="s">
        <v>9</v>
      </c>
      <c r="F1861" s="25"/>
      <c r="G1861" s="32"/>
      <c r="H1861" s="1" t="b">
        <f>IF(D1864="x",H$2,H$1)</f>
        <v>0</v>
      </c>
    </row>
    <row r="1862" spans="2:8" x14ac:dyDescent="0.25">
      <c r="B1862" s="8" t="s">
        <v>10</v>
      </c>
      <c r="C1862" s="24" t="s">
        <v>1013</v>
      </c>
      <c r="D1862" s="9"/>
      <c r="E1862" s="26" t="s">
        <v>10</v>
      </c>
      <c r="F1862" s="27" t="str">
        <f>IF(H1863=1,IF(H1861=H$2,H1861,""),"")</f>
        <v/>
      </c>
      <c r="G1862" s="32"/>
      <c r="H1862" s="1" t="str">
        <f>IF(E1981="comprobar",COUNTIF(D1861:D1865,"x"),"")</f>
        <v/>
      </c>
    </row>
    <row r="1863" spans="2:8" ht="31.5" x14ac:dyDescent="0.25">
      <c r="B1863" s="8" t="s">
        <v>11</v>
      </c>
      <c r="C1863" s="24" t="s">
        <v>746</v>
      </c>
      <c r="D1863" s="9"/>
      <c r="E1863" s="26" t="s">
        <v>11</v>
      </c>
      <c r="F1863" s="28" t="str">
        <f>IF(H1863=-0.33,IF(H1861=H$1,H1861,""),"")</f>
        <v/>
      </c>
      <c r="G1863" s="32"/>
      <c r="H1863" s="29">
        <f>IF(H1862=1,IF(H1861=H$2,1,-0.33),0)</f>
        <v>0</v>
      </c>
    </row>
    <row r="1864" spans="2:8" x14ac:dyDescent="0.25">
      <c r="B1864" s="8" t="s">
        <v>12</v>
      </c>
      <c r="C1864" s="24" t="s">
        <v>747</v>
      </c>
      <c r="D1864" s="9"/>
      <c r="E1864" s="26" t="s">
        <v>12</v>
      </c>
      <c r="F1864" s="25"/>
      <c r="G1864" s="32"/>
      <c r="H1864" s="29"/>
    </row>
    <row r="1865" spans="2:8" x14ac:dyDescent="0.25">
      <c r="B1865" s="11"/>
      <c r="C1865" s="12"/>
      <c r="D1865" s="9"/>
      <c r="E1865" s="26"/>
      <c r="F1865" s="25"/>
      <c r="G1865" s="32"/>
      <c r="H1865" s="29"/>
    </row>
    <row r="1866" spans="2:8" x14ac:dyDescent="0.25">
      <c r="B1866" s="5">
        <v>12</v>
      </c>
      <c r="C1866" s="21" t="s">
        <v>1008</v>
      </c>
      <c r="D1866" s="6"/>
      <c r="E1866" s="23"/>
      <c r="F1866" s="22"/>
      <c r="G1866" s="23"/>
      <c r="H1866" s="23"/>
    </row>
    <row r="1867" spans="2:8" x14ac:dyDescent="0.25">
      <c r="B1867" s="8" t="s">
        <v>9</v>
      </c>
      <c r="C1867" s="24" t="s">
        <v>1014</v>
      </c>
      <c r="D1867" s="9"/>
      <c r="E1867" s="26" t="s">
        <v>9</v>
      </c>
      <c r="F1867" s="25"/>
      <c r="G1867" s="26"/>
      <c r="H1867" s="1" t="b">
        <f>IF(D1870="x",H$2,H$1)</f>
        <v>0</v>
      </c>
    </row>
    <row r="1868" spans="2:8" x14ac:dyDescent="0.25">
      <c r="B1868" s="8" t="s">
        <v>10</v>
      </c>
      <c r="C1868" s="24" t="s">
        <v>1015</v>
      </c>
      <c r="D1868" s="9"/>
      <c r="E1868" s="26" t="s">
        <v>10</v>
      </c>
      <c r="F1868" s="27" t="str">
        <f>IF(H1869=1,IF(H1867=H$2,H1867,""),"")</f>
        <v/>
      </c>
      <c r="G1868" s="26"/>
      <c r="H1868" s="1" t="str">
        <f>IF(E1981="comprobar",COUNTIF(D1867:D1871,"x"),"")</f>
        <v/>
      </c>
    </row>
    <row r="1869" spans="2:8" x14ac:dyDescent="0.25">
      <c r="B1869" s="8" t="s">
        <v>11</v>
      </c>
      <c r="C1869" s="24" t="s">
        <v>1016</v>
      </c>
      <c r="D1869" s="9"/>
      <c r="E1869" s="26" t="s">
        <v>11</v>
      </c>
      <c r="F1869" s="28" t="str">
        <f>IF(H1869=-0.33,IF(H1867=H$1,H1867,""),"")</f>
        <v/>
      </c>
      <c r="G1869" s="26"/>
      <c r="H1869" s="29">
        <f>IF(H1868=1,IF(H1867=H$2,1,-0.33),0)</f>
        <v>0</v>
      </c>
    </row>
    <row r="1870" spans="2:8" x14ac:dyDescent="0.25">
      <c r="B1870" s="8" t="s">
        <v>12</v>
      </c>
      <c r="C1870" s="24" t="s">
        <v>32</v>
      </c>
      <c r="D1870" s="9"/>
      <c r="E1870" s="26" t="s">
        <v>12</v>
      </c>
      <c r="F1870" s="25"/>
      <c r="G1870" s="26"/>
      <c r="H1870" s="29"/>
    </row>
    <row r="1871" spans="2:8" x14ac:dyDescent="0.25">
      <c r="B1871" s="11"/>
      <c r="C1871" s="12"/>
      <c r="D1871" s="9"/>
      <c r="E1871" s="26" t="s">
        <v>13</v>
      </c>
      <c r="F1871" s="30"/>
      <c r="G1871" s="26"/>
      <c r="H1871" s="29"/>
    </row>
    <row r="1872" spans="2:8" x14ac:dyDescent="0.25">
      <c r="B1872" s="5">
        <v>13</v>
      </c>
      <c r="C1872" s="21" t="s">
        <v>718</v>
      </c>
      <c r="D1872" s="6"/>
      <c r="E1872" s="23"/>
      <c r="F1872" s="22"/>
      <c r="G1872" s="23"/>
      <c r="H1872" s="23"/>
    </row>
    <row r="1873" spans="2:8" ht="31.5" x14ac:dyDescent="0.25">
      <c r="B1873" s="8" t="s">
        <v>9</v>
      </c>
      <c r="C1873" s="24" t="s">
        <v>719</v>
      </c>
      <c r="D1873" s="9"/>
      <c r="E1873" s="26" t="s">
        <v>9</v>
      </c>
      <c r="F1873" s="25"/>
      <c r="G1873" s="26"/>
      <c r="H1873" s="1" t="b">
        <f>IF(D1873="x",H$2,H$1)</f>
        <v>0</v>
      </c>
    </row>
    <row r="1874" spans="2:8" x14ac:dyDescent="0.25">
      <c r="B1874" s="8" t="s">
        <v>10</v>
      </c>
      <c r="C1874" s="24" t="s">
        <v>720</v>
      </c>
      <c r="D1874" s="9"/>
      <c r="E1874" s="26" t="s">
        <v>10</v>
      </c>
      <c r="F1874" s="27" t="str">
        <f>IF(H1875=1,IF(H1873=H$2,H1873,""),"")</f>
        <v/>
      </c>
      <c r="G1874" s="26"/>
      <c r="H1874" s="1" t="str">
        <f>IF(E1981="comprobar",COUNTIF(D1873:D1877,"x"),"")</f>
        <v/>
      </c>
    </row>
    <row r="1875" spans="2:8" x14ac:dyDescent="0.25">
      <c r="B1875" s="8" t="s">
        <v>11</v>
      </c>
      <c r="C1875" s="24" t="s">
        <v>721</v>
      </c>
      <c r="D1875" s="9"/>
      <c r="E1875" s="26" t="s">
        <v>11</v>
      </c>
      <c r="F1875" s="28" t="str">
        <f>IF(H1875=-0.33,IF(H1873=H$1,H1873,""),"")</f>
        <v/>
      </c>
      <c r="G1875" s="26"/>
      <c r="H1875" s="29">
        <f t="shared" ref="H1875" si="43">IF(H1874=1,IF(H1873=H$2,1,-0.33),0)</f>
        <v>0</v>
      </c>
    </row>
    <row r="1876" spans="2:8" x14ac:dyDescent="0.25">
      <c r="B1876" s="8" t="s">
        <v>12</v>
      </c>
      <c r="C1876" s="24" t="s">
        <v>368</v>
      </c>
      <c r="D1876" s="9"/>
      <c r="E1876" s="26" t="s">
        <v>12</v>
      </c>
      <c r="F1876" s="25"/>
      <c r="G1876" s="26"/>
      <c r="H1876" s="26"/>
    </row>
    <row r="1877" spans="2:8" x14ac:dyDescent="0.25">
      <c r="B1877" s="11"/>
      <c r="C1877" s="12"/>
      <c r="D1877" s="9"/>
      <c r="E1877" s="26" t="s">
        <v>13</v>
      </c>
      <c r="F1877" s="30"/>
      <c r="G1877" s="26"/>
      <c r="H1877" s="26"/>
    </row>
    <row r="1878" spans="2:8" x14ac:dyDescent="0.25">
      <c r="B1878" s="5">
        <v>14</v>
      </c>
      <c r="C1878" s="21" t="s">
        <v>279</v>
      </c>
      <c r="D1878" s="6"/>
      <c r="E1878" s="23"/>
      <c r="F1878" s="22"/>
      <c r="G1878" s="23"/>
      <c r="H1878" s="23"/>
    </row>
    <row r="1879" spans="2:8" x14ac:dyDescent="0.25">
      <c r="B1879" s="8" t="s">
        <v>9</v>
      </c>
      <c r="C1879" s="24" t="s">
        <v>1018</v>
      </c>
      <c r="D1879" s="9"/>
      <c r="E1879" s="26" t="s">
        <v>9</v>
      </c>
      <c r="F1879" s="25"/>
      <c r="G1879" s="26"/>
      <c r="H1879" s="1" t="b">
        <f>IF(D1882="x",H$2,H$1)</f>
        <v>0</v>
      </c>
    </row>
    <row r="1880" spans="2:8" x14ac:dyDescent="0.25">
      <c r="B1880" s="8" t="s">
        <v>10</v>
      </c>
      <c r="C1880" s="24" t="s">
        <v>1019</v>
      </c>
      <c r="D1880" s="9"/>
      <c r="E1880" s="26" t="s">
        <v>10</v>
      </c>
      <c r="F1880" s="27" t="str">
        <f>IF(H1881=1,IF(H1879=H$2,H1879,""),"")</f>
        <v/>
      </c>
      <c r="G1880" s="26"/>
      <c r="H1880" s="1" t="str">
        <f>IF(E1981="comprobar",COUNTIF(D1879:D1883,"x"),"")</f>
        <v/>
      </c>
    </row>
    <row r="1881" spans="2:8" x14ac:dyDescent="0.25">
      <c r="B1881" s="8" t="s">
        <v>11</v>
      </c>
      <c r="C1881" s="24" t="s">
        <v>1020</v>
      </c>
      <c r="D1881" s="9"/>
      <c r="E1881" s="26" t="s">
        <v>11</v>
      </c>
      <c r="F1881" s="28" t="str">
        <f>IF(H1881=-0.33,IF(H1879=H$1,H1879,""),"")</f>
        <v/>
      </c>
      <c r="G1881" s="26"/>
      <c r="H1881" s="29">
        <f>IF(H1880=1,IF(H1879=H$2,1,-0.33),0)</f>
        <v>0</v>
      </c>
    </row>
    <row r="1882" spans="2:8" x14ac:dyDescent="0.25">
      <c r="B1882" s="8" t="s">
        <v>12</v>
      </c>
      <c r="C1882" s="24" t="s">
        <v>635</v>
      </c>
      <c r="D1882" s="9"/>
      <c r="E1882" s="26" t="s">
        <v>12</v>
      </c>
      <c r="F1882" s="25"/>
      <c r="G1882" s="26"/>
      <c r="H1882" s="26"/>
    </row>
    <row r="1883" spans="2:8" x14ac:dyDescent="0.25">
      <c r="B1883" s="11"/>
      <c r="C1883" s="12"/>
      <c r="D1883" s="9"/>
      <c r="E1883" s="26" t="s">
        <v>13</v>
      </c>
      <c r="F1883" s="30"/>
      <c r="G1883" s="26"/>
      <c r="H1883" s="26"/>
    </row>
    <row r="1884" spans="2:8" x14ac:dyDescent="0.25">
      <c r="B1884" s="5">
        <v>15</v>
      </c>
      <c r="C1884" s="21" t="s">
        <v>738</v>
      </c>
      <c r="D1884" s="6"/>
      <c r="E1884" s="23"/>
      <c r="F1884" s="22"/>
      <c r="G1884" s="23"/>
      <c r="H1884" s="23"/>
    </row>
    <row r="1885" spans="2:8" ht="31.5" x14ac:dyDescent="0.25">
      <c r="B1885" s="8" t="s">
        <v>9</v>
      </c>
      <c r="C1885" s="24" t="s">
        <v>739</v>
      </c>
      <c r="D1885" s="9"/>
      <c r="E1885" s="26" t="s">
        <v>9</v>
      </c>
      <c r="F1885" s="25"/>
      <c r="G1885" s="26"/>
      <c r="H1885" s="1" t="b">
        <f>IF(D1886="x",H$2,H$1)</f>
        <v>0</v>
      </c>
    </row>
    <row r="1886" spans="2:8" ht="31.5" x14ac:dyDescent="0.25">
      <c r="B1886" s="8" t="s">
        <v>10</v>
      </c>
      <c r="C1886" s="24" t="s">
        <v>740</v>
      </c>
      <c r="D1886" s="9"/>
      <c r="E1886" s="26" t="s">
        <v>10</v>
      </c>
      <c r="F1886" s="27" t="str">
        <f>IF(H1887=1,IF(H1885=H$2,H1885,""),"")</f>
        <v/>
      </c>
      <c r="G1886" s="26"/>
      <c r="H1886" s="1" t="str">
        <f>IF(E1981="comprobar",COUNTIF(D1885:D1889,"x"),"")</f>
        <v/>
      </c>
    </row>
    <row r="1887" spans="2:8" x14ac:dyDescent="0.25">
      <c r="B1887" s="8" t="s">
        <v>11</v>
      </c>
      <c r="C1887" s="24" t="s">
        <v>741</v>
      </c>
      <c r="D1887" s="9"/>
      <c r="E1887" s="26" t="s">
        <v>11</v>
      </c>
      <c r="F1887" s="28" t="str">
        <f>IF(H1887=-0.33,IF(H1885=H$1,H1885,""),"")</f>
        <v/>
      </c>
      <c r="G1887" s="26"/>
      <c r="H1887" s="29">
        <f>IF(H1886=1,IF(H1885=H$2,1,-0.33),0)</f>
        <v>0</v>
      </c>
    </row>
    <row r="1888" spans="2:8" x14ac:dyDescent="0.25">
      <c r="B1888" s="8" t="s">
        <v>12</v>
      </c>
      <c r="C1888" s="24" t="s">
        <v>742</v>
      </c>
      <c r="D1888" s="9"/>
      <c r="E1888" s="26" t="s">
        <v>12</v>
      </c>
      <c r="F1888" s="25"/>
      <c r="G1888" s="26"/>
      <c r="H1888" s="29"/>
    </row>
    <row r="1889" spans="2:8" x14ac:dyDescent="0.25">
      <c r="B1889" s="11"/>
      <c r="C1889" s="12"/>
      <c r="D1889" s="9"/>
      <c r="E1889" s="26" t="s">
        <v>13</v>
      </c>
      <c r="F1889" s="30"/>
      <c r="G1889" s="26"/>
      <c r="H1889" s="29"/>
    </row>
    <row r="1890" spans="2:8" x14ac:dyDescent="0.25">
      <c r="B1890" s="5">
        <v>16</v>
      </c>
      <c r="C1890" s="21" t="s">
        <v>1017</v>
      </c>
      <c r="D1890" s="6"/>
      <c r="E1890" s="23"/>
      <c r="F1890" s="22"/>
      <c r="G1890" s="23"/>
      <c r="H1890" s="23"/>
    </row>
    <row r="1891" spans="2:8" x14ac:dyDescent="0.25">
      <c r="B1891" s="8" t="s">
        <v>9</v>
      </c>
      <c r="C1891" s="24" t="s">
        <v>1021</v>
      </c>
      <c r="D1891" s="9"/>
      <c r="E1891" s="26" t="s">
        <v>9</v>
      </c>
      <c r="F1891" s="25"/>
      <c r="G1891" s="26"/>
      <c r="H1891" s="1" t="b">
        <f>IF(D1892="x",H$2,H$1)</f>
        <v>0</v>
      </c>
    </row>
    <row r="1892" spans="2:8" ht="31.5" x14ac:dyDescent="0.25">
      <c r="B1892" s="8" t="s">
        <v>10</v>
      </c>
      <c r="C1892" s="24" t="s">
        <v>1022</v>
      </c>
      <c r="D1892" s="9"/>
      <c r="E1892" s="26" t="s">
        <v>10</v>
      </c>
      <c r="F1892" s="27" t="str">
        <f>IF(H1893=1,IF(H1891=H$2,H1891,""),"")</f>
        <v/>
      </c>
      <c r="G1892" s="26"/>
      <c r="H1892" s="1" t="str">
        <f>IF(E1981="comprobar",COUNTIF(D1891:D1895,"x"),"")</f>
        <v/>
      </c>
    </row>
    <row r="1893" spans="2:8" ht="31.5" x14ac:dyDescent="0.25">
      <c r="B1893" s="8" t="s">
        <v>11</v>
      </c>
      <c r="C1893" s="24" t="s">
        <v>1023</v>
      </c>
      <c r="D1893" s="9"/>
      <c r="E1893" s="26" t="s">
        <v>11</v>
      </c>
      <c r="F1893" s="28" t="str">
        <f>IF(H1893=-0.33,IF(H1891=H$1,H1891,""),"")</f>
        <v/>
      </c>
      <c r="G1893" s="26"/>
      <c r="H1893" s="29">
        <f>IF(H1892=1,IF(H1891=H$2,1,-0.33),0)</f>
        <v>0</v>
      </c>
    </row>
    <row r="1894" spans="2:8" ht="31.5" x14ac:dyDescent="0.25">
      <c r="B1894" s="8" t="s">
        <v>12</v>
      </c>
      <c r="C1894" s="24" t="s">
        <v>1024</v>
      </c>
      <c r="D1894" s="9"/>
      <c r="E1894" s="26" t="s">
        <v>12</v>
      </c>
      <c r="F1894" s="25"/>
      <c r="G1894" s="26"/>
      <c r="H1894" s="29"/>
    </row>
    <row r="1895" spans="2:8" x14ac:dyDescent="0.25">
      <c r="B1895" s="11"/>
      <c r="C1895" s="12"/>
      <c r="D1895" s="9"/>
      <c r="E1895" s="26" t="s">
        <v>13</v>
      </c>
      <c r="F1895" s="30"/>
      <c r="G1895" s="26"/>
      <c r="H1895" s="29"/>
    </row>
    <row r="1896" spans="2:8" x14ac:dyDescent="0.25">
      <c r="B1896" s="5">
        <v>17</v>
      </c>
      <c r="C1896" s="21" t="s">
        <v>734</v>
      </c>
      <c r="D1896" s="6"/>
      <c r="E1896" s="23"/>
      <c r="F1896" s="22"/>
      <c r="G1896" s="23"/>
      <c r="H1896" s="23"/>
    </row>
    <row r="1897" spans="2:8" x14ac:dyDescent="0.25">
      <c r="B1897" s="8" t="s">
        <v>9</v>
      </c>
      <c r="C1897" s="24" t="s">
        <v>1025</v>
      </c>
      <c r="D1897" s="9"/>
      <c r="E1897" s="26" t="s">
        <v>9</v>
      </c>
      <c r="F1897" s="25"/>
      <c r="G1897" s="26"/>
      <c r="H1897" s="1" t="b">
        <f>IF(D1900="x",H$2,H$1)</f>
        <v>0</v>
      </c>
    </row>
    <row r="1898" spans="2:8" x14ac:dyDescent="0.25">
      <c r="B1898" s="8" t="s">
        <v>10</v>
      </c>
      <c r="C1898" s="24" t="s">
        <v>736</v>
      </c>
      <c r="D1898" s="9"/>
      <c r="E1898" s="26" t="s">
        <v>10</v>
      </c>
      <c r="F1898" s="27" t="str">
        <f>IF(H1899=1,IF(H1897=H$2,H1897,""),"")</f>
        <v/>
      </c>
      <c r="G1898" s="26"/>
      <c r="H1898" s="1" t="str">
        <f>IF(E1981="comprobar",COUNTIF(D1897:D1901,"x"),"")</f>
        <v/>
      </c>
    </row>
    <row r="1899" spans="2:8" x14ac:dyDescent="0.25">
      <c r="B1899" s="8" t="s">
        <v>11</v>
      </c>
      <c r="C1899" s="24" t="s">
        <v>737</v>
      </c>
      <c r="D1899" s="9"/>
      <c r="E1899" s="26" t="s">
        <v>11</v>
      </c>
      <c r="F1899" s="28" t="str">
        <f>IF(H1899=-0.33,IF(H1897=H$1,H1897,""),"")</f>
        <v/>
      </c>
      <c r="G1899" s="26"/>
      <c r="H1899" s="29">
        <f>IF(H1898=1,IF(H1897=H$2,1,-0.33),0)</f>
        <v>0</v>
      </c>
    </row>
    <row r="1900" spans="2:8" x14ac:dyDescent="0.25">
      <c r="B1900" s="8" t="s">
        <v>12</v>
      </c>
      <c r="C1900" s="24" t="s">
        <v>32</v>
      </c>
      <c r="D1900" s="9"/>
      <c r="E1900" s="26" t="s">
        <v>12</v>
      </c>
      <c r="F1900" s="25"/>
      <c r="G1900" s="26"/>
      <c r="H1900" s="26"/>
    </row>
    <row r="1901" spans="2:8" x14ac:dyDescent="0.25">
      <c r="B1901" s="11"/>
      <c r="C1901" s="12"/>
      <c r="D1901" s="9"/>
      <c r="E1901" s="26" t="s">
        <v>13</v>
      </c>
      <c r="F1901" s="30"/>
      <c r="G1901" s="26"/>
      <c r="H1901" s="26"/>
    </row>
    <row r="1902" spans="2:8" x14ac:dyDescent="0.25">
      <c r="B1902" s="5">
        <v>18</v>
      </c>
      <c r="C1902" s="21" t="s">
        <v>1036</v>
      </c>
      <c r="D1902" s="6"/>
      <c r="E1902" s="23"/>
      <c r="F1902" s="22"/>
      <c r="G1902" s="23"/>
      <c r="H1902" s="23"/>
    </row>
    <row r="1903" spans="2:8" x14ac:dyDescent="0.25">
      <c r="B1903" s="8" t="s">
        <v>9</v>
      </c>
      <c r="C1903" s="24" t="s">
        <v>1037</v>
      </c>
      <c r="D1903" s="9"/>
      <c r="E1903" s="26" t="s">
        <v>9</v>
      </c>
      <c r="F1903" s="25"/>
      <c r="G1903" s="26"/>
      <c r="H1903" s="1" t="b">
        <f>IF(D1905="x",H$2,H$1)</f>
        <v>0</v>
      </c>
    </row>
    <row r="1904" spans="2:8" x14ac:dyDescent="0.25">
      <c r="B1904" s="8" t="s">
        <v>10</v>
      </c>
      <c r="C1904" s="24" t="s">
        <v>1038</v>
      </c>
      <c r="D1904" s="9"/>
      <c r="E1904" s="26" t="s">
        <v>10</v>
      </c>
      <c r="F1904" s="27" t="str">
        <f>IF(H1905=1,IF(H1903=H$2,H1903,""),"")</f>
        <v/>
      </c>
      <c r="G1904" s="26"/>
      <c r="H1904" s="1" t="str">
        <f>IF(E1981="comprobar",COUNTIF(D1903:D1907,"x"),"")</f>
        <v/>
      </c>
    </row>
    <row r="1905" spans="2:8" x14ac:dyDescent="0.25">
      <c r="B1905" s="8" t="s">
        <v>11</v>
      </c>
      <c r="C1905" s="24" t="s">
        <v>1039</v>
      </c>
      <c r="D1905" s="9"/>
      <c r="E1905" s="26" t="s">
        <v>11</v>
      </c>
      <c r="F1905" s="28" t="str">
        <f>IF(H1905=-0.33,IF(H1903=H$1,H1903,""),"")</f>
        <v/>
      </c>
      <c r="G1905" s="26"/>
      <c r="H1905" s="29">
        <f>IF(H1904=1,IF(H1903=H$2,1,-0.33),0)</f>
        <v>0</v>
      </c>
    </row>
    <row r="1906" spans="2:8" x14ac:dyDescent="0.25">
      <c r="B1906" s="8" t="s">
        <v>12</v>
      </c>
      <c r="C1906" s="24" t="s">
        <v>368</v>
      </c>
      <c r="D1906" s="9"/>
      <c r="E1906" s="26" t="s">
        <v>12</v>
      </c>
      <c r="F1906" s="25"/>
      <c r="G1906" s="26"/>
      <c r="H1906" s="29"/>
    </row>
    <row r="1907" spans="2:8" x14ac:dyDescent="0.25">
      <c r="B1907" s="11"/>
      <c r="C1907" s="12"/>
      <c r="D1907" s="9"/>
      <c r="E1907" s="26" t="s">
        <v>13</v>
      </c>
      <c r="F1907" s="30"/>
      <c r="G1907" s="26"/>
      <c r="H1907" s="29"/>
    </row>
    <row r="1908" spans="2:8" x14ac:dyDescent="0.25">
      <c r="B1908" s="5">
        <v>19</v>
      </c>
      <c r="C1908" s="21" t="s">
        <v>1031</v>
      </c>
      <c r="D1908" s="6"/>
      <c r="E1908" s="23"/>
      <c r="F1908" s="22"/>
      <c r="G1908" s="23"/>
      <c r="H1908" s="23"/>
    </row>
    <row r="1909" spans="2:8" x14ac:dyDescent="0.25">
      <c r="B1909" s="8" t="s">
        <v>9</v>
      </c>
      <c r="C1909" s="24" t="s">
        <v>1032</v>
      </c>
      <c r="D1909" s="9"/>
      <c r="E1909" s="26" t="s">
        <v>9</v>
      </c>
      <c r="F1909" s="25"/>
      <c r="G1909" s="26"/>
      <c r="H1909" s="1" t="b">
        <f>IF(D1911="x",H$2,H$1)</f>
        <v>0</v>
      </c>
    </row>
    <row r="1910" spans="2:8" x14ac:dyDescent="0.25">
      <c r="B1910" s="8" t="s">
        <v>10</v>
      </c>
      <c r="C1910" s="24" t="s">
        <v>1033</v>
      </c>
      <c r="D1910" s="9"/>
      <c r="E1910" s="26" t="s">
        <v>10</v>
      </c>
      <c r="F1910" s="27" t="str">
        <f>IF(H1911=1,IF(H1909=H$2,H1909,""),"")</f>
        <v/>
      </c>
      <c r="G1910" s="26"/>
      <c r="H1910" s="1" t="str">
        <f>IF(E1981="comprobar",COUNTIF(D1909:D1913,"x"),"")</f>
        <v/>
      </c>
    </row>
    <row r="1911" spans="2:8" ht="31.5" x14ac:dyDescent="0.25">
      <c r="B1911" s="8" t="s">
        <v>11</v>
      </c>
      <c r="C1911" s="24" t="s">
        <v>1034</v>
      </c>
      <c r="D1911" s="9"/>
      <c r="E1911" s="26" t="s">
        <v>11</v>
      </c>
      <c r="F1911" s="28" t="str">
        <f>IF(H1911=-0.33,IF(H1909=H$1,H1909,""),"")</f>
        <v/>
      </c>
      <c r="G1911" s="26"/>
      <c r="H1911" s="29">
        <f>IF(H1910=1,IF(H1909=H$2,1,-0.33),0)</f>
        <v>0</v>
      </c>
    </row>
    <row r="1912" spans="2:8" x14ac:dyDescent="0.25">
      <c r="B1912" s="8" t="s">
        <v>12</v>
      </c>
      <c r="C1912" s="24" t="s">
        <v>1035</v>
      </c>
      <c r="D1912" s="9"/>
      <c r="E1912" s="26" t="s">
        <v>12</v>
      </c>
      <c r="F1912" s="25"/>
      <c r="G1912" s="26"/>
      <c r="H1912" s="29"/>
    </row>
    <row r="1913" spans="2:8" x14ac:dyDescent="0.25">
      <c r="B1913" s="11"/>
      <c r="C1913" s="12"/>
      <c r="D1913" s="9"/>
      <c r="E1913" s="26" t="s">
        <v>13</v>
      </c>
      <c r="F1913" s="30"/>
      <c r="G1913" s="26"/>
      <c r="H1913" s="29"/>
    </row>
    <row r="1914" spans="2:8" x14ac:dyDescent="0.25">
      <c r="B1914" s="5">
        <v>20</v>
      </c>
      <c r="C1914" s="21" t="s">
        <v>752</v>
      </c>
      <c r="D1914" s="6"/>
      <c r="E1914" s="23"/>
      <c r="F1914" s="22"/>
      <c r="G1914" s="23"/>
      <c r="H1914" s="23"/>
    </row>
    <row r="1915" spans="2:8" x14ac:dyDescent="0.25">
      <c r="B1915" s="8" t="s">
        <v>9</v>
      </c>
      <c r="C1915" s="24" t="s">
        <v>1040</v>
      </c>
      <c r="D1915" s="9"/>
      <c r="E1915" s="26" t="s">
        <v>9</v>
      </c>
      <c r="F1915" s="25"/>
      <c r="G1915" s="26"/>
      <c r="H1915" s="1" t="b">
        <f>IF(D1916="x",H$2,H$1)</f>
        <v>0</v>
      </c>
    </row>
    <row r="1916" spans="2:8" x14ac:dyDescent="0.25">
      <c r="B1916" s="8" t="s">
        <v>10</v>
      </c>
      <c r="C1916" s="24" t="s">
        <v>337</v>
      </c>
      <c r="D1916" s="9"/>
      <c r="E1916" s="26" t="s">
        <v>10</v>
      </c>
      <c r="F1916" s="27" t="str">
        <f>IF(H1917=1,IF(H1915=H$2,H1915,""),"")</f>
        <v/>
      </c>
      <c r="G1916" s="26"/>
      <c r="H1916" s="1" t="str">
        <f>IF(E1981="comprobar",COUNTIF(D1915:D1919,"x"),"")</f>
        <v/>
      </c>
    </row>
    <row r="1917" spans="2:8" x14ac:dyDescent="0.25">
      <c r="B1917" s="8" t="s">
        <v>11</v>
      </c>
      <c r="C1917" s="24" t="s">
        <v>338</v>
      </c>
      <c r="D1917" s="9"/>
      <c r="E1917" s="26" t="s">
        <v>11</v>
      </c>
      <c r="F1917" s="28" t="str">
        <f>IF(H1917=-0.33,IF(H1915=H$1,H1915,""),"")</f>
        <v/>
      </c>
      <c r="G1917" s="26"/>
      <c r="H1917" s="29">
        <f t="shared" ref="H1917" si="44">IF(H1916=1,IF(H1915=H$2,1,-0.33),0)</f>
        <v>0</v>
      </c>
    </row>
    <row r="1918" spans="2:8" x14ac:dyDescent="0.25">
      <c r="B1918" s="8" t="s">
        <v>12</v>
      </c>
      <c r="C1918" s="24" t="s">
        <v>753</v>
      </c>
      <c r="D1918" s="9"/>
      <c r="E1918" s="26" t="s">
        <v>12</v>
      </c>
      <c r="F1918" s="25"/>
      <c r="G1918" s="26"/>
      <c r="H1918" s="26"/>
    </row>
    <row r="1919" spans="2:8" x14ac:dyDescent="0.25">
      <c r="B1919" s="11"/>
      <c r="C1919" s="12"/>
      <c r="D1919" s="9"/>
      <c r="E1919" s="26" t="s">
        <v>13</v>
      </c>
      <c r="F1919" s="30"/>
      <c r="G1919" s="26"/>
      <c r="H1919" s="26"/>
    </row>
    <row r="1920" spans="2:8" ht="31.5" x14ac:dyDescent="0.25">
      <c r="B1920" s="5">
        <v>21</v>
      </c>
      <c r="C1920" s="21" t="s">
        <v>1026</v>
      </c>
      <c r="D1920" s="6"/>
      <c r="E1920" s="23"/>
      <c r="F1920" s="22"/>
      <c r="G1920" s="23"/>
      <c r="H1920" s="23"/>
    </row>
    <row r="1921" spans="2:8" x14ac:dyDescent="0.25">
      <c r="B1921" s="8" t="s">
        <v>9</v>
      </c>
      <c r="C1921" s="24" t="s">
        <v>1027</v>
      </c>
      <c r="D1921" s="9"/>
      <c r="E1921" s="26" t="s">
        <v>9</v>
      </c>
      <c r="F1921" s="25"/>
      <c r="G1921" s="26"/>
      <c r="H1921" s="1" t="b">
        <f>IF(D1923="x",H$2,H$1)</f>
        <v>0</v>
      </c>
    </row>
    <row r="1922" spans="2:8" x14ac:dyDescent="0.25">
      <c r="B1922" s="8" t="s">
        <v>10</v>
      </c>
      <c r="C1922" s="24" t="s">
        <v>1028</v>
      </c>
      <c r="D1922" s="9"/>
      <c r="E1922" s="26" t="s">
        <v>10</v>
      </c>
      <c r="F1922" s="27" t="str">
        <f>IF(H1923=1,IF(H1921=H$2,H1921,""),"")</f>
        <v/>
      </c>
      <c r="G1922" s="26"/>
      <c r="H1922" s="1" t="str">
        <f>IF(E1981="comprobar",COUNTIF(D1921:D1925,"x"),"")</f>
        <v/>
      </c>
    </row>
    <row r="1923" spans="2:8" x14ac:dyDescent="0.25">
      <c r="B1923" s="8" t="s">
        <v>11</v>
      </c>
      <c r="C1923" s="24" t="s">
        <v>1029</v>
      </c>
      <c r="D1923" s="9"/>
      <c r="E1923" s="26" t="s">
        <v>11</v>
      </c>
      <c r="F1923" s="28" t="str">
        <f>IF(H1923=-0.33,IF(H1921=H$1,H1921,""),"")</f>
        <v/>
      </c>
      <c r="G1923" s="26"/>
      <c r="H1923" s="29">
        <f>IF(H1922=1,IF(H1921=H$2,1,-0.33),0)</f>
        <v>0</v>
      </c>
    </row>
    <row r="1924" spans="2:8" x14ac:dyDescent="0.25">
      <c r="B1924" s="8" t="s">
        <v>12</v>
      </c>
      <c r="C1924" s="24" t="s">
        <v>1030</v>
      </c>
      <c r="D1924" s="9"/>
      <c r="E1924" s="26" t="s">
        <v>12</v>
      </c>
      <c r="F1924" s="25"/>
      <c r="G1924" s="26"/>
      <c r="H1924" s="26"/>
    </row>
    <row r="1925" spans="2:8" x14ac:dyDescent="0.25">
      <c r="B1925" s="11"/>
      <c r="C1925" s="12"/>
      <c r="D1925" s="9"/>
      <c r="E1925" s="26" t="s">
        <v>13</v>
      </c>
      <c r="F1925" s="30"/>
      <c r="G1925" s="26"/>
      <c r="H1925" s="26"/>
    </row>
    <row r="1926" spans="2:8" ht="31.5" x14ac:dyDescent="0.25">
      <c r="B1926" s="5">
        <v>22</v>
      </c>
      <c r="C1926" s="21" t="s">
        <v>1043</v>
      </c>
      <c r="D1926" s="6"/>
      <c r="E1926" s="23"/>
      <c r="F1926" s="22"/>
      <c r="G1926" s="23"/>
      <c r="H1926" s="23"/>
    </row>
    <row r="1927" spans="2:8" x14ac:dyDescent="0.25">
      <c r="B1927" s="8" t="s">
        <v>9</v>
      </c>
      <c r="C1927" s="24" t="s">
        <v>1029</v>
      </c>
      <c r="D1927" s="9"/>
      <c r="E1927" s="26" t="s">
        <v>9</v>
      </c>
      <c r="F1927" s="25"/>
      <c r="G1927" s="26"/>
      <c r="H1927" s="1" t="b">
        <f>IF(D1928="x",H$2,H$1)</f>
        <v>0</v>
      </c>
    </row>
    <row r="1928" spans="2:8" x14ac:dyDescent="0.25">
      <c r="B1928" s="8" t="s">
        <v>10</v>
      </c>
      <c r="C1928" s="24" t="s">
        <v>1044</v>
      </c>
      <c r="D1928" s="9"/>
      <c r="E1928" s="26" t="s">
        <v>10</v>
      </c>
      <c r="F1928" s="27" t="str">
        <f>IF(H1929=1,IF(H1927=H$2,H1927,""),"")</f>
        <v/>
      </c>
      <c r="G1928" s="26"/>
      <c r="H1928" s="1" t="str">
        <f>IF(E1981="comprobar",COUNTIF(D1927:D1931,"x"),"")</f>
        <v/>
      </c>
    </row>
    <row r="1929" spans="2:8" x14ac:dyDescent="0.25">
      <c r="B1929" s="8" t="s">
        <v>11</v>
      </c>
      <c r="C1929" s="24" t="s">
        <v>1045</v>
      </c>
      <c r="D1929" s="9"/>
      <c r="E1929" s="26" t="s">
        <v>11</v>
      </c>
      <c r="F1929" s="28" t="str">
        <f>IF(H1929=-0.33,IF(H1927=H$1,H1927,""),"")</f>
        <v/>
      </c>
      <c r="G1929" s="26"/>
      <c r="H1929" s="29">
        <f>IF(H1928=1,IF(H1927=H$2,1,-0.33),0)</f>
        <v>0</v>
      </c>
    </row>
    <row r="1930" spans="2:8" x14ac:dyDescent="0.25">
      <c r="B1930" s="8" t="s">
        <v>12</v>
      </c>
      <c r="C1930" s="24" t="s">
        <v>1046</v>
      </c>
      <c r="D1930" s="9"/>
      <c r="E1930" s="26" t="s">
        <v>12</v>
      </c>
      <c r="F1930" s="25"/>
      <c r="G1930" s="26"/>
      <c r="H1930" s="29"/>
    </row>
    <row r="1931" spans="2:8" x14ac:dyDescent="0.25">
      <c r="B1931" s="11"/>
      <c r="C1931" s="12"/>
      <c r="D1931" s="9"/>
      <c r="E1931" s="26" t="s">
        <v>13</v>
      </c>
      <c r="F1931" s="30"/>
      <c r="G1931" s="26"/>
      <c r="H1931" s="29"/>
    </row>
    <row r="1932" spans="2:8" x14ac:dyDescent="0.25">
      <c r="B1932" s="5">
        <v>23</v>
      </c>
      <c r="C1932" s="21" t="s">
        <v>1041</v>
      </c>
      <c r="D1932" s="6"/>
      <c r="E1932" s="23"/>
      <c r="F1932" s="22"/>
      <c r="G1932" s="23"/>
      <c r="H1932" s="23"/>
    </row>
    <row r="1933" spans="2:8" x14ac:dyDescent="0.25">
      <c r="B1933" s="8" t="s">
        <v>9</v>
      </c>
      <c r="C1933" s="24" t="s">
        <v>1047</v>
      </c>
      <c r="D1933" s="9"/>
      <c r="E1933" s="26" t="s">
        <v>9</v>
      </c>
      <c r="F1933" s="25"/>
      <c r="G1933" s="26"/>
      <c r="H1933" s="1" t="b">
        <f>IF(D1933="x",H$2,H$1)</f>
        <v>0</v>
      </c>
    </row>
    <row r="1934" spans="2:8" x14ac:dyDescent="0.25">
      <c r="B1934" s="8" t="s">
        <v>10</v>
      </c>
      <c r="C1934" s="24" t="s">
        <v>1048</v>
      </c>
      <c r="D1934" s="9"/>
      <c r="E1934" s="26" t="s">
        <v>10</v>
      </c>
      <c r="F1934" s="27" t="str">
        <f>IF(H1935=1,IF(H1933=H$2,H1933,""),"")</f>
        <v/>
      </c>
      <c r="G1934" s="26"/>
      <c r="H1934" s="1" t="str">
        <f>IF(E1981="comprobar",COUNTIF(D1933:D1937,"x"),"")</f>
        <v/>
      </c>
    </row>
    <row r="1935" spans="2:8" x14ac:dyDescent="0.25">
      <c r="B1935" s="8" t="s">
        <v>11</v>
      </c>
      <c r="C1935" s="24" t="s">
        <v>1049</v>
      </c>
      <c r="D1935" s="9"/>
      <c r="E1935" s="26" t="s">
        <v>11</v>
      </c>
      <c r="F1935" s="28" t="str">
        <f>IF(H1935=-0.33,IF(H1933=H$1,H1933,""),"")</f>
        <v/>
      </c>
      <c r="G1935" s="26"/>
      <c r="H1935" s="29">
        <f>IF(H1934=1,IF(H1933=H$2,1,-0.33),0)</f>
        <v>0</v>
      </c>
    </row>
    <row r="1936" spans="2:8" x14ac:dyDescent="0.25">
      <c r="B1936" s="8" t="s">
        <v>12</v>
      </c>
      <c r="C1936" s="24" t="s">
        <v>1050</v>
      </c>
      <c r="D1936" s="9"/>
      <c r="E1936" s="26" t="s">
        <v>12</v>
      </c>
      <c r="F1936" s="25"/>
      <c r="G1936" s="26"/>
      <c r="H1936" s="29"/>
    </row>
    <row r="1937" spans="2:8" x14ac:dyDescent="0.25">
      <c r="B1937" s="11"/>
      <c r="C1937" s="12"/>
      <c r="D1937" s="9"/>
      <c r="E1937" s="26" t="s">
        <v>13</v>
      </c>
      <c r="F1937" s="30"/>
      <c r="G1937" s="26"/>
      <c r="H1937" s="29"/>
    </row>
    <row r="1938" spans="2:8" x14ac:dyDescent="0.25">
      <c r="B1938" s="5">
        <v>24</v>
      </c>
      <c r="C1938" s="21" t="s">
        <v>1054</v>
      </c>
      <c r="D1938" s="6"/>
      <c r="E1938" s="23"/>
      <c r="F1938" s="22"/>
      <c r="G1938" s="23"/>
      <c r="H1938" s="23"/>
    </row>
    <row r="1939" spans="2:8" x14ac:dyDescent="0.25">
      <c r="B1939" s="8" t="s">
        <v>9</v>
      </c>
      <c r="C1939" s="24" t="s">
        <v>1055</v>
      </c>
      <c r="D1939" s="9"/>
      <c r="E1939" s="26" t="s">
        <v>9</v>
      </c>
      <c r="F1939" s="25"/>
      <c r="G1939" s="26"/>
      <c r="H1939" s="1" t="b">
        <f>IF(D1940="x",H$2,H$1)</f>
        <v>0</v>
      </c>
    </row>
    <row r="1940" spans="2:8" x14ac:dyDescent="0.25">
      <c r="B1940" s="8" t="s">
        <v>10</v>
      </c>
      <c r="C1940" s="24" t="s">
        <v>1056</v>
      </c>
      <c r="D1940" s="9"/>
      <c r="E1940" s="26" t="s">
        <v>10</v>
      </c>
      <c r="F1940" s="27" t="str">
        <f>IF(H1941=1,IF(H1939=H$2,H1939,""),"")</f>
        <v/>
      </c>
      <c r="G1940" s="26"/>
      <c r="H1940" s="1" t="str">
        <f>IF(E1981="comprobar",COUNTIF(D1939:D1943,"x"),"")</f>
        <v/>
      </c>
    </row>
    <row r="1941" spans="2:8" x14ac:dyDescent="0.25">
      <c r="B1941" s="8" t="s">
        <v>11</v>
      </c>
      <c r="C1941" s="24" t="s">
        <v>1057</v>
      </c>
      <c r="D1941" s="9"/>
      <c r="E1941" s="26" t="s">
        <v>11</v>
      </c>
      <c r="F1941" s="28" t="str">
        <f>IF(H1941=-0.33,IF(H1939=H$1,H1939,""),"")</f>
        <v/>
      </c>
      <c r="G1941" s="26"/>
      <c r="H1941" s="29">
        <f>IF(H1940=1,IF(H1939=H$2,1,-0.33),0)</f>
        <v>0</v>
      </c>
    </row>
    <row r="1942" spans="2:8" x14ac:dyDescent="0.25">
      <c r="B1942" s="8" t="s">
        <v>12</v>
      </c>
      <c r="C1942" s="24" t="s">
        <v>1058</v>
      </c>
      <c r="D1942" s="9"/>
      <c r="E1942" s="26" t="s">
        <v>12</v>
      </c>
      <c r="F1942" s="25"/>
      <c r="G1942" s="26"/>
      <c r="H1942" s="1"/>
    </row>
    <row r="1943" spans="2:8" x14ac:dyDescent="0.25">
      <c r="B1943" s="11"/>
      <c r="C1943" s="12"/>
      <c r="D1943" s="9"/>
      <c r="E1943" s="26" t="s">
        <v>13</v>
      </c>
      <c r="F1943" s="30"/>
      <c r="G1943" s="26"/>
      <c r="H1943" s="15"/>
    </row>
    <row r="1944" spans="2:8" x14ac:dyDescent="0.25">
      <c r="B1944" s="5">
        <v>25</v>
      </c>
      <c r="C1944" s="21" t="s">
        <v>1042</v>
      </c>
      <c r="D1944" s="6"/>
      <c r="E1944" s="23"/>
      <c r="F1944" s="22"/>
      <c r="G1944" s="31"/>
      <c r="H1944" s="31"/>
    </row>
    <row r="1945" spans="2:8" x14ac:dyDescent="0.25">
      <c r="B1945" s="8" t="s">
        <v>9</v>
      </c>
      <c r="C1945" s="24" t="s">
        <v>1051</v>
      </c>
      <c r="D1945" s="9"/>
      <c r="E1945" s="26" t="s">
        <v>9</v>
      </c>
      <c r="F1945" s="25"/>
      <c r="G1945" s="32"/>
      <c r="H1945" s="1" t="b">
        <f>IF(D1946="x",H$2,H$1)</f>
        <v>0</v>
      </c>
    </row>
    <row r="1946" spans="2:8" ht="31.5" x14ac:dyDescent="0.25">
      <c r="B1946" s="8" t="s">
        <v>10</v>
      </c>
      <c r="C1946" s="24" t="s">
        <v>1052</v>
      </c>
      <c r="D1946" s="9"/>
      <c r="E1946" s="26" t="s">
        <v>10</v>
      </c>
      <c r="F1946" s="27" t="str">
        <f>IF(H1947=1,IF(H1945=H$2,H1945,""),"")</f>
        <v/>
      </c>
      <c r="G1946" s="32"/>
      <c r="H1946" s="1" t="str">
        <f>IF(E1981="comprobar",COUNTIF(D1945:D1949,"x"),"")</f>
        <v/>
      </c>
    </row>
    <row r="1947" spans="2:8" x14ac:dyDescent="0.25">
      <c r="B1947" s="8" t="s">
        <v>11</v>
      </c>
      <c r="C1947" s="24" t="s">
        <v>1053</v>
      </c>
      <c r="D1947" s="9"/>
      <c r="E1947" s="26" t="s">
        <v>11</v>
      </c>
      <c r="F1947" s="28" t="str">
        <f>IF(H1947=-0.33,IF(H1945=H$1,H1945,""),"")</f>
        <v/>
      </c>
      <c r="G1947" s="32"/>
      <c r="H1947" s="29">
        <f>IF(H1946=1,IF(H1945=H$2,1,-0.33),0)</f>
        <v>0</v>
      </c>
    </row>
    <row r="1948" spans="2:8" x14ac:dyDescent="0.25">
      <c r="B1948" s="8" t="s">
        <v>12</v>
      </c>
      <c r="C1948" s="24" t="s">
        <v>368</v>
      </c>
      <c r="D1948" s="9"/>
      <c r="E1948" s="26" t="s">
        <v>12</v>
      </c>
      <c r="F1948" s="25"/>
      <c r="G1948" s="32"/>
      <c r="H1948" s="29"/>
    </row>
    <row r="1949" spans="2:8" x14ac:dyDescent="0.25">
      <c r="B1949" s="11"/>
      <c r="C1949" s="12"/>
      <c r="D1949" s="9"/>
      <c r="E1949" s="26" t="s">
        <v>13</v>
      </c>
      <c r="F1949" s="30"/>
      <c r="G1949" s="32"/>
      <c r="H1949" s="29"/>
    </row>
    <row r="1950" spans="2:8" x14ac:dyDescent="0.25">
      <c r="B1950" s="5">
        <v>26</v>
      </c>
      <c r="C1950" s="21" t="s">
        <v>1065</v>
      </c>
      <c r="D1950" s="6"/>
      <c r="E1950" s="23"/>
      <c r="F1950" s="22"/>
      <c r="G1950" s="31"/>
      <c r="H1950" s="31"/>
    </row>
    <row r="1951" spans="2:8" x14ac:dyDescent="0.25">
      <c r="B1951" s="8" t="s">
        <v>9</v>
      </c>
      <c r="C1951" s="24" t="s">
        <v>1066</v>
      </c>
      <c r="D1951" s="9"/>
      <c r="E1951" s="26" t="s">
        <v>9</v>
      </c>
      <c r="F1951" s="25"/>
      <c r="G1951" s="32"/>
      <c r="H1951" s="1" t="b">
        <f>IF(D1952="x",H$2,H$1)</f>
        <v>0</v>
      </c>
    </row>
    <row r="1952" spans="2:8" x14ac:dyDescent="0.25">
      <c r="B1952" s="8" t="s">
        <v>10</v>
      </c>
      <c r="C1952" s="24" t="s">
        <v>1067</v>
      </c>
      <c r="D1952" s="9"/>
      <c r="E1952" s="26" t="s">
        <v>10</v>
      </c>
      <c r="F1952" s="27" t="str">
        <f>IF(H1953=1,IF(H1951=H$2,H1951,""),"")</f>
        <v/>
      </c>
      <c r="G1952" s="32"/>
      <c r="H1952" s="1" t="str">
        <f>IF(E1981="comprobar",COUNTIF(D1951:D1955,"x"),"")</f>
        <v/>
      </c>
    </row>
    <row r="1953" spans="2:8" x14ac:dyDescent="0.25">
      <c r="B1953" s="8" t="s">
        <v>11</v>
      </c>
      <c r="C1953" s="24" t="s">
        <v>1068</v>
      </c>
      <c r="D1953" s="9"/>
      <c r="E1953" s="26" t="s">
        <v>11</v>
      </c>
      <c r="F1953" s="28" t="str">
        <f>IF(H1953=-0.33,IF(H1951=H$1,H1951,""),"")</f>
        <v/>
      </c>
      <c r="G1953" s="32"/>
      <c r="H1953" s="29">
        <f>IF(H1952=1,IF(H1951=H$2,1,-0.33),0)</f>
        <v>0</v>
      </c>
    </row>
    <row r="1954" spans="2:8" x14ac:dyDescent="0.25">
      <c r="B1954" s="8" t="s">
        <v>12</v>
      </c>
      <c r="C1954" s="24" t="s">
        <v>1069</v>
      </c>
      <c r="D1954" s="9"/>
      <c r="E1954" s="26" t="s">
        <v>12</v>
      </c>
      <c r="F1954" s="25"/>
      <c r="G1954" s="32"/>
      <c r="H1954" s="29"/>
    </row>
    <row r="1955" spans="2:8" x14ac:dyDescent="0.25">
      <c r="B1955" s="11"/>
      <c r="C1955" s="12"/>
      <c r="D1955" s="9"/>
      <c r="E1955" s="26"/>
      <c r="F1955" s="25"/>
      <c r="G1955" s="32"/>
      <c r="H1955" s="29"/>
    </row>
    <row r="1956" spans="2:8" x14ac:dyDescent="0.25">
      <c r="B1956" s="5">
        <v>27</v>
      </c>
      <c r="C1956" s="21" t="s">
        <v>1059</v>
      </c>
      <c r="D1956" s="6"/>
      <c r="E1956" s="23"/>
      <c r="F1956" s="22"/>
      <c r="G1956" s="23"/>
      <c r="H1956" s="23"/>
    </row>
    <row r="1957" spans="2:8" x14ac:dyDescent="0.25">
      <c r="B1957" s="8" t="s">
        <v>9</v>
      </c>
      <c r="C1957" s="24" t="s">
        <v>1070</v>
      </c>
      <c r="D1957" s="9"/>
      <c r="E1957" s="26" t="s">
        <v>9</v>
      </c>
      <c r="F1957" s="25"/>
      <c r="G1957" s="26"/>
      <c r="H1957" s="1" t="b">
        <f>IF(D1957="x",H$2,H$1)</f>
        <v>0</v>
      </c>
    </row>
    <row r="1958" spans="2:8" x14ac:dyDescent="0.25">
      <c r="B1958" s="8" t="s">
        <v>10</v>
      </c>
      <c r="C1958" s="24" t="s">
        <v>1071</v>
      </c>
      <c r="D1958" s="9"/>
      <c r="E1958" s="26" t="s">
        <v>10</v>
      </c>
      <c r="F1958" s="27" t="str">
        <f>IF(H1959=1,IF(H1957=H$2,H1957,""),"")</f>
        <v/>
      </c>
      <c r="G1958" s="26"/>
      <c r="H1958" s="1" t="str">
        <f>IF(E1981="comprobar",COUNTIF(D1957:D1961,"x"),"")</f>
        <v/>
      </c>
    </row>
    <row r="1959" spans="2:8" x14ac:dyDescent="0.25">
      <c r="B1959" s="8" t="s">
        <v>11</v>
      </c>
      <c r="C1959" s="24" t="s">
        <v>1070</v>
      </c>
      <c r="D1959" s="9"/>
      <c r="E1959" s="26" t="s">
        <v>11</v>
      </c>
      <c r="F1959" s="28" t="str">
        <f>IF(H1959=-0.33,IF(H1957=H$1,H1957,""),"")</f>
        <v/>
      </c>
      <c r="G1959" s="26"/>
      <c r="H1959" s="29">
        <f>IF(H1958=1,IF(H1957=H$2,1,-0.33),0)</f>
        <v>0</v>
      </c>
    </row>
    <row r="1960" spans="2:8" x14ac:dyDescent="0.25">
      <c r="B1960" s="8" t="s">
        <v>12</v>
      </c>
      <c r="C1960" s="24" t="s">
        <v>1072</v>
      </c>
      <c r="D1960" s="9"/>
      <c r="E1960" s="26" t="s">
        <v>12</v>
      </c>
      <c r="F1960" s="25"/>
      <c r="G1960" s="26"/>
      <c r="H1960" s="29"/>
    </row>
    <row r="1961" spans="2:8" x14ac:dyDescent="0.25">
      <c r="B1961" s="11"/>
      <c r="C1961" s="12"/>
      <c r="D1961" s="9"/>
      <c r="E1961" s="26" t="s">
        <v>13</v>
      </c>
      <c r="F1961" s="30"/>
      <c r="G1961" s="26"/>
      <c r="H1961" s="29"/>
    </row>
    <row r="1962" spans="2:8" ht="31.5" x14ac:dyDescent="0.25">
      <c r="B1962" s="5">
        <v>28</v>
      </c>
      <c r="C1962" s="21" t="s">
        <v>1064</v>
      </c>
      <c r="D1962" s="6"/>
      <c r="E1962" s="23"/>
      <c r="F1962" s="22"/>
      <c r="G1962" s="23"/>
      <c r="H1962" s="23"/>
    </row>
    <row r="1963" spans="2:8" x14ac:dyDescent="0.25">
      <c r="B1963" s="8" t="s">
        <v>9</v>
      </c>
      <c r="C1963" s="24" t="s">
        <v>1073</v>
      </c>
      <c r="D1963" s="9"/>
      <c r="E1963" s="26" t="s">
        <v>9</v>
      </c>
      <c r="F1963" s="25"/>
      <c r="G1963" s="26"/>
      <c r="H1963" s="1" t="b">
        <f>IF(D1964="x",H$2,H$1)</f>
        <v>0</v>
      </c>
    </row>
    <row r="1964" spans="2:8" x14ac:dyDescent="0.25">
      <c r="B1964" s="8" t="s">
        <v>10</v>
      </c>
      <c r="C1964" s="24" t="s">
        <v>1074</v>
      </c>
      <c r="D1964" s="9"/>
      <c r="E1964" s="26" t="s">
        <v>10</v>
      </c>
      <c r="F1964" s="27" t="str">
        <f>IF(H1965=1,IF(H1963=H$2,H1963,""),"")</f>
        <v/>
      </c>
      <c r="G1964" s="26"/>
      <c r="H1964" s="1" t="str">
        <f>IF(E1981="comprobar",COUNTIF(D1963:D1967,"x"),"")</f>
        <v/>
      </c>
    </row>
    <row r="1965" spans="2:8" x14ac:dyDescent="0.25">
      <c r="B1965" s="8" t="s">
        <v>11</v>
      </c>
      <c r="C1965" s="24" t="s">
        <v>1072</v>
      </c>
      <c r="D1965" s="9"/>
      <c r="E1965" s="26" t="s">
        <v>11</v>
      </c>
      <c r="F1965" s="28" t="str">
        <f>IF(H1965=-0.33,IF(H1963=H$1,H1963,""),"")</f>
        <v/>
      </c>
      <c r="G1965" s="26"/>
      <c r="H1965" s="29">
        <f t="shared" ref="H1965" si="45">IF(H1964=1,IF(H1963=H$2,1,-0.33),0)</f>
        <v>0</v>
      </c>
    </row>
    <row r="1966" spans="2:8" x14ac:dyDescent="0.25">
      <c r="B1966" s="8" t="s">
        <v>12</v>
      </c>
      <c r="C1966" s="24" t="s">
        <v>1070</v>
      </c>
      <c r="D1966" s="9"/>
      <c r="E1966" s="26" t="s">
        <v>12</v>
      </c>
      <c r="F1966" s="25"/>
      <c r="G1966" s="26"/>
      <c r="H1966" s="26"/>
    </row>
    <row r="1967" spans="2:8" x14ac:dyDescent="0.25">
      <c r="B1967" s="11"/>
      <c r="C1967" s="12"/>
      <c r="D1967" s="9"/>
      <c r="E1967" s="26" t="s">
        <v>13</v>
      </c>
      <c r="F1967" s="30"/>
      <c r="G1967" s="26"/>
      <c r="H1967" s="26"/>
    </row>
    <row r="1968" spans="2:8" x14ac:dyDescent="0.25">
      <c r="B1968" s="5">
        <v>29</v>
      </c>
      <c r="C1968" s="21" t="s">
        <v>1060</v>
      </c>
      <c r="D1968" s="6"/>
      <c r="E1968" s="23"/>
      <c r="F1968" s="22"/>
      <c r="G1968" s="23"/>
      <c r="H1968" s="23"/>
    </row>
    <row r="1969" spans="2:8" x14ac:dyDescent="0.25">
      <c r="B1969" s="8" t="s">
        <v>9</v>
      </c>
      <c r="C1969" s="24" t="s">
        <v>1075</v>
      </c>
      <c r="D1969" s="9"/>
      <c r="E1969" s="26" t="s">
        <v>9</v>
      </c>
      <c r="F1969" s="25"/>
      <c r="G1969" s="26"/>
      <c r="H1969" s="1" t="b">
        <f>IF(D1970="x",H$2,H$1)</f>
        <v>0</v>
      </c>
    </row>
    <row r="1970" spans="2:8" x14ac:dyDescent="0.25">
      <c r="B1970" s="8" t="s">
        <v>10</v>
      </c>
      <c r="C1970" s="24" t="s">
        <v>1076</v>
      </c>
      <c r="D1970" s="9"/>
      <c r="E1970" s="26" t="s">
        <v>10</v>
      </c>
      <c r="F1970" s="27" t="str">
        <f>IF(H1971=1,IF(H1969=H$2,H1969,""),"")</f>
        <v/>
      </c>
      <c r="G1970" s="26"/>
      <c r="H1970" s="1" t="str">
        <f>IF(E1981="comprobar",COUNTIF(D1969:D1973,"x"),"")</f>
        <v/>
      </c>
    </row>
    <row r="1971" spans="2:8" x14ac:dyDescent="0.25">
      <c r="B1971" s="8" t="s">
        <v>11</v>
      </c>
      <c r="C1971" s="24" t="s">
        <v>1077</v>
      </c>
      <c r="D1971" s="9"/>
      <c r="E1971" s="26" t="s">
        <v>11</v>
      </c>
      <c r="F1971" s="28" t="str">
        <f>IF(H1971=-0.33,IF(H1969=H$1,H1969,""),"")</f>
        <v/>
      </c>
      <c r="G1971" s="26"/>
      <c r="H1971" s="29">
        <f>IF(H1970=1,IF(H1969=H$2,1,-0.33),0)</f>
        <v>0</v>
      </c>
    </row>
    <row r="1972" spans="2:8" x14ac:dyDescent="0.25">
      <c r="B1972" s="8" t="s">
        <v>12</v>
      </c>
      <c r="C1972" s="24" t="s">
        <v>1078</v>
      </c>
      <c r="D1972" s="9"/>
      <c r="E1972" s="26" t="s">
        <v>12</v>
      </c>
      <c r="F1972" s="25"/>
      <c r="G1972" s="26"/>
      <c r="H1972" s="26"/>
    </row>
    <row r="1973" spans="2:8" x14ac:dyDescent="0.25">
      <c r="B1973" s="11"/>
      <c r="C1973" s="12"/>
      <c r="D1973" s="9"/>
      <c r="E1973" s="26" t="s">
        <v>13</v>
      </c>
      <c r="F1973" s="30"/>
      <c r="G1973" s="26"/>
      <c r="H1973" s="26"/>
    </row>
    <row r="1974" spans="2:8" x14ac:dyDescent="0.25">
      <c r="B1974" s="5">
        <v>30</v>
      </c>
      <c r="C1974" s="21" t="s">
        <v>1061</v>
      </c>
      <c r="D1974" s="6"/>
      <c r="E1974" s="23"/>
      <c r="F1974" s="22"/>
      <c r="G1974" s="23"/>
      <c r="H1974" s="23"/>
    </row>
    <row r="1975" spans="2:8" x14ac:dyDescent="0.25">
      <c r="B1975" s="8" t="s">
        <v>9</v>
      </c>
      <c r="C1975" s="24" t="s">
        <v>1062</v>
      </c>
      <c r="D1975" s="9"/>
      <c r="E1975" s="26" t="s">
        <v>9</v>
      </c>
      <c r="F1975" s="25"/>
      <c r="G1975" s="26"/>
      <c r="H1975" s="1" t="b">
        <f>IF(D1977="x",H$2,H$1)</f>
        <v>0</v>
      </c>
    </row>
    <row r="1976" spans="2:8" x14ac:dyDescent="0.25">
      <c r="B1976" s="8" t="s">
        <v>10</v>
      </c>
      <c r="C1976" s="24" t="s">
        <v>1063</v>
      </c>
      <c r="D1976" s="9"/>
      <c r="E1976" s="26" t="s">
        <v>10</v>
      </c>
      <c r="F1976" s="27" t="str">
        <f>IF(H1977=1,IF(H1975=H$2,H1975,""),"")</f>
        <v/>
      </c>
      <c r="G1976" s="26"/>
      <c r="H1976" s="1" t="str">
        <f>IF(E1981="comprobar",COUNTIF(D1975:D1979,"x"),"")</f>
        <v/>
      </c>
    </row>
    <row r="1977" spans="2:8" x14ac:dyDescent="0.25">
      <c r="B1977" s="8" t="s">
        <v>11</v>
      </c>
      <c r="C1977" s="24" t="s">
        <v>1079</v>
      </c>
      <c r="D1977" s="9"/>
      <c r="E1977" s="26" t="s">
        <v>11</v>
      </c>
      <c r="F1977" s="28" t="str">
        <f>IF(H1977=-0.33,IF(H1975=H$1,H1975,""),"")</f>
        <v/>
      </c>
      <c r="G1977" s="26"/>
      <c r="H1977" s="29">
        <f>IF(H1976=1,IF(H1975=H$2,1,-0.33),0)</f>
        <v>0</v>
      </c>
    </row>
    <row r="1978" spans="2:8" x14ac:dyDescent="0.25">
      <c r="B1978" s="8" t="s">
        <v>12</v>
      </c>
      <c r="C1978" s="24" t="s">
        <v>1080</v>
      </c>
      <c r="D1978" s="9"/>
      <c r="E1978" s="26" t="s">
        <v>12</v>
      </c>
      <c r="F1978" s="25"/>
      <c r="G1978" s="26"/>
      <c r="H1978" s="29"/>
    </row>
    <row r="1979" spans="2:8" x14ac:dyDescent="0.25">
      <c r="B1979" s="11"/>
      <c r="C1979" s="12"/>
      <c r="D1979" s="9"/>
      <c r="E1979" s="26" t="s">
        <v>13</v>
      </c>
      <c r="F1979" s="30"/>
      <c r="G1979" s="26"/>
      <c r="H1979" s="29"/>
    </row>
    <row r="1980" spans="2:8" x14ac:dyDescent="0.25">
      <c r="B1980" s="46"/>
      <c r="C1980" s="46"/>
      <c r="D1980" s="34"/>
      <c r="E1980" s="26"/>
      <c r="F1980" s="30"/>
      <c r="G1980" s="26"/>
      <c r="H1980" s="29"/>
    </row>
    <row r="1981" spans="2:8" x14ac:dyDescent="0.25">
      <c r="B1981" s="33"/>
      <c r="C1981" s="4"/>
      <c r="D1981" s="34"/>
      <c r="E1981" s="35"/>
      <c r="F1981" s="30"/>
      <c r="G1981" s="26"/>
      <c r="H1981" s="26"/>
    </row>
    <row r="1982" spans="2:8" x14ac:dyDescent="0.25">
      <c r="B1982" s="33"/>
      <c r="C1982" s="4"/>
      <c r="D1982" s="34"/>
      <c r="E1982" s="36"/>
      <c r="F1982" s="37" t="s">
        <v>8</v>
      </c>
      <c r="G1982" s="26" t="s">
        <v>6</v>
      </c>
      <c r="H1982" s="26" t="s">
        <v>7</v>
      </c>
    </row>
    <row r="1983" spans="2:8" ht="19.5" x14ac:dyDescent="0.25">
      <c r="B1983" s="33"/>
      <c r="C1983" s="38"/>
      <c r="D1983" s="51"/>
      <c r="E1983" s="51"/>
      <c r="F1983" s="39" t="str">
        <f>IF(E1981="comprobar",H1857+H1851+H1845+H1839+H1833+H1827+H1821+H1815+H1809+H1803+H1863+H1869+H1875+H1881+H1887+H1893+H1899+H1905+H1911+H1917+H1923+H1929+H1935+H1941+H1947+H1953+H1959+H1965+H1971+H1977,"")</f>
        <v/>
      </c>
      <c r="G1983" s="26">
        <f>10/2</f>
        <v>5</v>
      </c>
      <c r="H1983" s="26"/>
    </row>
    <row r="1984" spans="2:8" ht="16.5" thickBot="1" x14ac:dyDescent="0.3">
      <c r="B1984" s="40"/>
      <c r="C1984" s="41"/>
      <c r="D1984" s="42"/>
      <c r="E1984" s="43"/>
      <c r="F1984" s="44" t="str">
        <f>IF(F1983&gt;G1983,G1982,H1982)</f>
        <v>APROBADO</v>
      </c>
      <c r="G1984" s="26"/>
      <c r="H1984" s="26"/>
    </row>
  </sheetData>
  <mergeCells count="34">
    <mergeCell ref="C1799:F1799"/>
    <mergeCell ref="D1983:E1983"/>
    <mergeCell ref="D1049:E1049"/>
    <mergeCell ref="C576:F576"/>
    <mergeCell ref="D669:E669"/>
    <mergeCell ref="C671:F671"/>
    <mergeCell ref="D764:E764"/>
    <mergeCell ref="C766:F766"/>
    <mergeCell ref="D859:E859"/>
    <mergeCell ref="C861:F861"/>
    <mergeCell ref="D954:E954"/>
    <mergeCell ref="C956:F956"/>
    <mergeCell ref="C1051:F1051"/>
    <mergeCell ref="D1144:E1144"/>
    <mergeCell ref="C1146:F1146"/>
    <mergeCell ref="D1239:E1239"/>
    <mergeCell ref="D574:E574"/>
    <mergeCell ref="C6:F6"/>
    <mergeCell ref="D99:E99"/>
    <mergeCell ref="C101:F101"/>
    <mergeCell ref="D194:E194"/>
    <mergeCell ref="C196:F196"/>
    <mergeCell ref="D289:E289"/>
    <mergeCell ref="C291:F291"/>
    <mergeCell ref="D384:E384"/>
    <mergeCell ref="C386:F386"/>
    <mergeCell ref="D479:E479"/>
    <mergeCell ref="C481:F481"/>
    <mergeCell ref="C1241:F1241"/>
    <mergeCell ref="D1797:E1797"/>
    <mergeCell ref="C1427:F1427"/>
    <mergeCell ref="D1611:E1611"/>
    <mergeCell ref="C1613:F1613"/>
    <mergeCell ref="D1425:E142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5">
              <controlPr defaultSize="0" autoFill="0" autoPict="0" macro="[0]!tema1Ubi" altText="Borrar">
                <anchor moveWithCells="1" sizeWithCells="1">
                  <from>
                    <xdr:col>2</xdr:col>
                    <xdr:colOff>4305300</xdr:colOff>
                    <xdr:row>97</xdr:row>
                    <xdr:rowOff>0</xdr:rowOff>
                  </from>
                  <to>
                    <xdr:col>2</xdr:col>
                    <xdr:colOff>6400800</xdr:colOff>
                    <xdr:row>98</xdr:row>
                    <xdr:rowOff>571500</xdr:rowOff>
                  </to>
                </anchor>
              </controlPr>
            </control>
          </mc:Choice>
        </mc:AlternateContent>
        <mc:AlternateContent xmlns:mc="http://schemas.openxmlformats.org/markup-compatibility/2006">
          <mc:Choice Requires="x14">
            <control shapeId="5122" r:id="rId5" name="Button 20">
              <controlPr defaultSize="0" autoFill="0" autoPict="0" macro="[0]!Compro1Ubi">
                <anchor moveWithCells="1" sizeWithCells="1">
                  <from>
                    <xdr:col>2</xdr:col>
                    <xdr:colOff>790575</xdr:colOff>
                    <xdr:row>96</xdr:row>
                    <xdr:rowOff>581025</xdr:rowOff>
                  </from>
                  <to>
                    <xdr:col>2</xdr:col>
                    <xdr:colOff>3810000</xdr:colOff>
                    <xdr:row>99</xdr:row>
                    <xdr:rowOff>19050</xdr:rowOff>
                  </to>
                </anchor>
              </controlPr>
            </control>
          </mc:Choice>
        </mc:AlternateContent>
        <mc:AlternateContent xmlns:mc="http://schemas.openxmlformats.org/markup-compatibility/2006">
          <mc:Choice Requires="x14">
            <control shapeId="5123" r:id="rId6" name="Button 3">
              <controlPr defaultSize="0" autoFill="0" autoPict="0" macro="[0]!tema2Ubi" altText="Borrar">
                <anchor moveWithCells="1" sizeWithCells="1">
                  <from>
                    <xdr:col>2</xdr:col>
                    <xdr:colOff>4857750</xdr:colOff>
                    <xdr:row>191</xdr:row>
                    <xdr:rowOff>504825</xdr:rowOff>
                  </from>
                  <to>
                    <xdr:col>2</xdr:col>
                    <xdr:colOff>7191375</xdr:colOff>
                    <xdr:row>193</xdr:row>
                    <xdr:rowOff>504825</xdr:rowOff>
                  </to>
                </anchor>
              </controlPr>
            </control>
          </mc:Choice>
        </mc:AlternateContent>
        <mc:AlternateContent xmlns:mc="http://schemas.openxmlformats.org/markup-compatibility/2006">
          <mc:Choice Requires="x14">
            <control shapeId="5124" r:id="rId7" name="Button 4">
              <controlPr defaultSize="0" autoFill="0" autoPict="0" macro="[0]!tema2ubiCompro">
                <anchor moveWithCells="1" sizeWithCells="1">
                  <from>
                    <xdr:col>2</xdr:col>
                    <xdr:colOff>1371600</xdr:colOff>
                    <xdr:row>191</xdr:row>
                    <xdr:rowOff>476250</xdr:rowOff>
                  </from>
                  <to>
                    <xdr:col>2</xdr:col>
                    <xdr:colOff>3686175</xdr:colOff>
                    <xdr:row>193</xdr:row>
                    <xdr:rowOff>476250</xdr:rowOff>
                  </to>
                </anchor>
              </controlPr>
            </control>
          </mc:Choice>
        </mc:AlternateContent>
        <mc:AlternateContent xmlns:mc="http://schemas.openxmlformats.org/markup-compatibility/2006">
          <mc:Choice Requires="x14">
            <control shapeId="5125" r:id="rId8" name="Button 5">
              <controlPr defaultSize="0" autoFill="0" autoPict="0" macro="[0]!tema3Ubi" altText="Borrar">
                <anchor moveWithCells="1" sizeWithCells="1">
                  <from>
                    <xdr:col>2</xdr:col>
                    <xdr:colOff>4752975</xdr:colOff>
                    <xdr:row>287</xdr:row>
                    <xdr:rowOff>19050</xdr:rowOff>
                  </from>
                  <to>
                    <xdr:col>2</xdr:col>
                    <xdr:colOff>6953250</xdr:colOff>
                    <xdr:row>288</xdr:row>
                    <xdr:rowOff>571500</xdr:rowOff>
                  </to>
                </anchor>
              </controlPr>
            </control>
          </mc:Choice>
        </mc:AlternateContent>
        <mc:AlternateContent xmlns:mc="http://schemas.openxmlformats.org/markup-compatibility/2006">
          <mc:Choice Requires="x14">
            <control shapeId="5126" r:id="rId9" name="Button 6">
              <controlPr defaultSize="0" autoFill="0" autoPict="0" macro="[0]!Compro3Ubi">
                <anchor moveWithCells="1" sizeWithCells="1">
                  <from>
                    <xdr:col>2</xdr:col>
                    <xdr:colOff>1114425</xdr:colOff>
                    <xdr:row>287</xdr:row>
                    <xdr:rowOff>9525</xdr:rowOff>
                  </from>
                  <to>
                    <xdr:col>2</xdr:col>
                    <xdr:colOff>3429000</xdr:colOff>
                    <xdr:row>289</xdr:row>
                    <xdr:rowOff>0</xdr:rowOff>
                  </to>
                </anchor>
              </controlPr>
            </control>
          </mc:Choice>
        </mc:AlternateContent>
        <mc:AlternateContent xmlns:mc="http://schemas.openxmlformats.org/markup-compatibility/2006">
          <mc:Choice Requires="x14">
            <control shapeId="5127" r:id="rId10" name="Button 7">
              <controlPr defaultSize="0" autoFill="0" autoPict="0" macro="[0]!tema4Ubi" altText="Borrar">
                <anchor moveWithCells="1" sizeWithCells="1">
                  <from>
                    <xdr:col>2</xdr:col>
                    <xdr:colOff>4714875</xdr:colOff>
                    <xdr:row>382</xdr:row>
                    <xdr:rowOff>0</xdr:rowOff>
                  </from>
                  <to>
                    <xdr:col>2</xdr:col>
                    <xdr:colOff>7105650</xdr:colOff>
                    <xdr:row>384</xdr:row>
                    <xdr:rowOff>0</xdr:rowOff>
                  </to>
                </anchor>
              </controlPr>
            </control>
          </mc:Choice>
        </mc:AlternateContent>
        <mc:AlternateContent xmlns:mc="http://schemas.openxmlformats.org/markup-compatibility/2006">
          <mc:Choice Requires="x14">
            <control shapeId="5128" r:id="rId11" name="Button 8">
              <controlPr defaultSize="0" autoFill="0" autoPict="0" macro="[0]!tema4ubiCompro">
                <anchor moveWithCells="1" sizeWithCells="1">
                  <from>
                    <xdr:col>2</xdr:col>
                    <xdr:colOff>1114425</xdr:colOff>
                    <xdr:row>381</xdr:row>
                    <xdr:rowOff>581025</xdr:rowOff>
                  </from>
                  <to>
                    <xdr:col>2</xdr:col>
                    <xdr:colOff>3524250</xdr:colOff>
                    <xdr:row>383</xdr:row>
                    <xdr:rowOff>571500</xdr:rowOff>
                  </to>
                </anchor>
              </controlPr>
            </control>
          </mc:Choice>
        </mc:AlternateContent>
        <mc:AlternateContent xmlns:mc="http://schemas.openxmlformats.org/markup-compatibility/2006">
          <mc:Choice Requires="x14">
            <control shapeId="5129" r:id="rId12" name="Button 9">
              <controlPr defaultSize="0" autoFill="0" autoPict="0" macro="[0]!tema5Ubi" altText="Borrar">
                <anchor moveWithCells="1" sizeWithCells="1">
                  <from>
                    <xdr:col>2</xdr:col>
                    <xdr:colOff>4886325</xdr:colOff>
                    <xdr:row>476</xdr:row>
                    <xdr:rowOff>571500</xdr:rowOff>
                  </from>
                  <to>
                    <xdr:col>2</xdr:col>
                    <xdr:colOff>7239000</xdr:colOff>
                    <xdr:row>479</xdr:row>
                    <xdr:rowOff>0</xdr:rowOff>
                  </to>
                </anchor>
              </controlPr>
            </control>
          </mc:Choice>
        </mc:AlternateContent>
        <mc:AlternateContent xmlns:mc="http://schemas.openxmlformats.org/markup-compatibility/2006">
          <mc:Choice Requires="x14">
            <control shapeId="5130" r:id="rId13" name="Button 10">
              <controlPr defaultSize="0" autoFill="0" autoPict="0" macro="[0]!Compro5Ubi">
                <anchor moveWithCells="1" sizeWithCells="1">
                  <from>
                    <xdr:col>2</xdr:col>
                    <xdr:colOff>942975</xdr:colOff>
                    <xdr:row>477</xdr:row>
                    <xdr:rowOff>9525</xdr:rowOff>
                  </from>
                  <to>
                    <xdr:col>2</xdr:col>
                    <xdr:colOff>3295650</xdr:colOff>
                    <xdr:row>479</xdr:row>
                    <xdr:rowOff>0</xdr:rowOff>
                  </to>
                </anchor>
              </controlPr>
            </control>
          </mc:Choice>
        </mc:AlternateContent>
        <mc:AlternateContent xmlns:mc="http://schemas.openxmlformats.org/markup-compatibility/2006">
          <mc:Choice Requires="x14">
            <control shapeId="5131" r:id="rId14" name="Button 11">
              <controlPr defaultSize="0" autoFill="0" autoPict="0" macro="[0]!tema6Ubi" altText="Borrar">
                <anchor moveWithCells="1" sizeWithCells="1">
                  <from>
                    <xdr:col>2</xdr:col>
                    <xdr:colOff>5210175</xdr:colOff>
                    <xdr:row>572</xdr:row>
                    <xdr:rowOff>0</xdr:rowOff>
                  </from>
                  <to>
                    <xdr:col>2</xdr:col>
                    <xdr:colOff>7315200</xdr:colOff>
                    <xdr:row>574</xdr:row>
                    <xdr:rowOff>0</xdr:rowOff>
                  </to>
                </anchor>
              </controlPr>
            </control>
          </mc:Choice>
        </mc:AlternateContent>
        <mc:AlternateContent xmlns:mc="http://schemas.openxmlformats.org/markup-compatibility/2006">
          <mc:Choice Requires="x14">
            <control shapeId="5132" r:id="rId15" name="Button 12">
              <controlPr defaultSize="0" autoFill="0" autoPict="0" macro="[0]!Compro6Ubi">
                <anchor moveWithCells="1" sizeWithCells="1">
                  <from>
                    <xdr:col>2</xdr:col>
                    <xdr:colOff>1514475</xdr:colOff>
                    <xdr:row>572</xdr:row>
                    <xdr:rowOff>9525</xdr:rowOff>
                  </from>
                  <to>
                    <xdr:col>2</xdr:col>
                    <xdr:colOff>3543300</xdr:colOff>
                    <xdr:row>574</xdr:row>
                    <xdr:rowOff>19050</xdr:rowOff>
                  </to>
                </anchor>
              </controlPr>
            </control>
          </mc:Choice>
        </mc:AlternateContent>
        <mc:AlternateContent xmlns:mc="http://schemas.openxmlformats.org/markup-compatibility/2006">
          <mc:Choice Requires="x14">
            <control shapeId="5150" r:id="rId16" name="Button 30">
              <controlPr defaultSize="0" autoFill="0" autoPict="0" macro="[0]!tema8Ubi" altText="Borrar">
                <anchor moveWithCells="1" sizeWithCells="1">
                  <from>
                    <xdr:col>2</xdr:col>
                    <xdr:colOff>5210175</xdr:colOff>
                    <xdr:row>762</xdr:row>
                    <xdr:rowOff>0</xdr:rowOff>
                  </from>
                  <to>
                    <xdr:col>2</xdr:col>
                    <xdr:colOff>7315200</xdr:colOff>
                    <xdr:row>764</xdr:row>
                    <xdr:rowOff>0</xdr:rowOff>
                  </to>
                </anchor>
              </controlPr>
            </control>
          </mc:Choice>
        </mc:AlternateContent>
        <mc:AlternateContent xmlns:mc="http://schemas.openxmlformats.org/markup-compatibility/2006">
          <mc:Choice Requires="x14">
            <control shapeId="5151" r:id="rId17" name="Button 31">
              <controlPr defaultSize="0" autoFill="0" autoPict="0" macro="[0]!Compro8Ubi">
                <anchor moveWithCells="1" sizeWithCells="1">
                  <from>
                    <xdr:col>2</xdr:col>
                    <xdr:colOff>1514475</xdr:colOff>
                    <xdr:row>762</xdr:row>
                    <xdr:rowOff>9525</xdr:rowOff>
                  </from>
                  <to>
                    <xdr:col>2</xdr:col>
                    <xdr:colOff>3543300</xdr:colOff>
                    <xdr:row>764</xdr:row>
                    <xdr:rowOff>19050</xdr:rowOff>
                  </to>
                </anchor>
              </controlPr>
            </control>
          </mc:Choice>
        </mc:AlternateContent>
        <mc:AlternateContent xmlns:mc="http://schemas.openxmlformats.org/markup-compatibility/2006">
          <mc:Choice Requires="x14">
            <control shapeId="5152" r:id="rId18" name="Button 32">
              <controlPr defaultSize="0" autoFill="0" autoPict="0" macro="[0]!tema7Ubi" altText="Borrar">
                <anchor moveWithCells="1" sizeWithCells="1">
                  <from>
                    <xdr:col>2</xdr:col>
                    <xdr:colOff>5210175</xdr:colOff>
                    <xdr:row>667</xdr:row>
                    <xdr:rowOff>0</xdr:rowOff>
                  </from>
                  <to>
                    <xdr:col>2</xdr:col>
                    <xdr:colOff>7315200</xdr:colOff>
                    <xdr:row>669</xdr:row>
                    <xdr:rowOff>0</xdr:rowOff>
                  </to>
                </anchor>
              </controlPr>
            </control>
          </mc:Choice>
        </mc:AlternateContent>
        <mc:AlternateContent xmlns:mc="http://schemas.openxmlformats.org/markup-compatibility/2006">
          <mc:Choice Requires="x14">
            <control shapeId="5153" r:id="rId19" name="Button 33">
              <controlPr defaultSize="0" autoFill="0" autoPict="0" macro="[0]!Compro7Ubi">
                <anchor moveWithCells="1" sizeWithCells="1">
                  <from>
                    <xdr:col>2</xdr:col>
                    <xdr:colOff>1514475</xdr:colOff>
                    <xdr:row>667</xdr:row>
                    <xdr:rowOff>9525</xdr:rowOff>
                  </from>
                  <to>
                    <xdr:col>2</xdr:col>
                    <xdr:colOff>3543300</xdr:colOff>
                    <xdr:row>669</xdr:row>
                    <xdr:rowOff>19050</xdr:rowOff>
                  </to>
                </anchor>
              </controlPr>
            </control>
          </mc:Choice>
        </mc:AlternateContent>
        <mc:AlternateContent xmlns:mc="http://schemas.openxmlformats.org/markup-compatibility/2006">
          <mc:Choice Requires="x14">
            <control shapeId="5156" r:id="rId20" name="Button 36">
              <controlPr defaultSize="0" autoFill="0" autoPict="0" macro="[0]!tema9Ubi" altText="Borrar">
                <anchor moveWithCells="1" sizeWithCells="1">
                  <from>
                    <xdr:col>2</xdr:col>
                    <xdr:colOff>5210175</xdr:colOff>
                    <xdr:row>857</xdr:row>
                    <xdr:rowOff>0</xdr:rowOff>
                  </from>
                  <to>
                    <xdr:col>2</xdr:col>
                    <xdr:colOff>7315200</xdr:colOff>
                    <xdr:row>859</xdr:row>
                    <xdr:rowOff>0</xdr:rowOff>
                  </to>
                </anchor>
              </controlPr>
            </control>
          </mc:Choice>
        </mc:AlternateContent>
        <mc:AlternateContent xmlns:mc="http://schemas.openxmlformats.org/markup-compatibility/2006">
          <mc:Choice Requires="x14">
            <control shapeId="5157" r:id="rId21" name="Button 37">
              <controlPr defaultSize="0" autoFill="0" autoPict="0" macro="[0]!Compro9Ubi">
                <anchor moveWithCells="1" sizeWithCells="1">
                  <from>
                    <xdr:col>2</xdr:col>
                    <xdr:colOff>1514475</xdr:colOff>
                    <xdr:row>857</xdr:row>
                    <xdr:rowOff>9525</xdr:rowOff>
                  </from>
                  <to>
                    <xdr:col>2</xdr:col>
                    <xdr:colOff>3543300</xdr:colOff>
                    <xdr:row>859</xdr:row>
                    <xdr:rowOff>19050</xdr:rowOff>
                  </to>
                </anchor>
              </controlPr>
            </control>
          </mc:Choice>
        </mc:AlternateContent>
        <mc:AlternateContent xmlns:mc="http://schemas.openxmlformats.org/markup-compatibility/2006">
          <mc:Choice Requires="x14">
            <control shapeId="5158" r:id="rId22" name="Button 38">
              <controlPr defaultSize="0" autoFill="0" autoPict="0" macro="[0]!tema10Ubi" altText="Borrar">
                <anchor moveWithCells="1" sizeWithCells="1">
                  <from>
                    <xdr:col>2</xdr:col>
                    <xdr:colOff>5210175</xdr:colOff>
                    <xdr:row>952</xdr:row>
                    <xdr:rowOff>0</xdr:rowOff>
                  </from>
                  <to>
                    <xdr:col>2</xdr:col>
                    <xdr:colOff>7315200</xdr:colOff>
                    <xdr:row>954</xdr:row>
                    <xdr:rowOff>0</xdr:rowOff>
                  </to>
                </anchor>
              </controlPr>
            </control>
          </mc:Choice>
        </mc:AlternateContent>
        <mc:AlternateContent xmlns:mc="http://schemas.openxmlformats.org/markup-compatibility/2006">
          <mc:Choice Requires="x14">
            <control shapeId="5159" r:id="rId23" name="Button 39">
              <controlPr defaultSize="0" autoFill="0" autoPict="0" macro="[0]!Compro10Ubi">
                <anchor moveWithCells="1" sizeWithCells="1">
                  <from>
                    <xdr:col>2</xdr:col>
                    <xdr:colOff>1514475</xdr:colOff>
                    <xdr:row>952</xdr:row>
                    <xdr:rowOff>9525</xdr:rowOff>
                  </from>
                  <to>
                    <xdr:col>2</xdr:col>
                    <xdr:colOff>3543300</xdr:colOff>
                    <xdr:row>954</xdr:row>
                    <xdr:rowOff>19050</xdr:rowOff>
                  </to>
                </anchor>
              </controlPr>
            </control>
          </mc:Choice>
        </mc:AlternateContent>
        <mc:AlternateContent xmlns:mc="http://schemas.openxmlformats.org/markup-compatibility/2006">
          <mc:Choice Requires="x14">
            <control shapeId="5160" r:id="rId24" name="Button 40">
              <controlPr defaultSize="0" autoFill="0" autoPict="0" macro="[0]!tema11Ubi" altText="Borrar">
                <anchor moveWithCells="1" sizeWithCells="1">
                  <from>
                    <xdr:col>2</xdr:col>
                    <xdr:colOff>5210175</xdr:colOff>
                    <xdr:row>1047</xdr:row>
                    <xdr:rowOff>0</xdr:rowOff>
                  </from>
                  <to>
                    <xdr:col>2</xdr:col>
                    <xdr:colOff>7315200</xdr:colOff>
                    <xdr:row>1049</xdr:row>
                    <xdr:rowOff>0</xdr:rowOff>
                  </to>
                </anchor>
              </controlPr>
            </control>
          </mc:Choice>
        </mc:AlternateContent>
        <mc:AlternateContent xmlns:mc="http://schemas.openxmlformats.org/markup-compatibility/2006">
          <mc:Choice Requires="x14">
            <control shapeId="5161" r:id="rId25" name="Button 41">
              <controlPr defaultSize="0" autoFill="0" autoPict="0" macro="[0]!Compro11Ubi">
                <anchor moveWithCells="1" sizeWithCells="1">
                  <from>
                    <xdr:col>2</xdr:col>
                    <xdr:colOff>1514475</xdr:colOff>
                    <xdr:row>1047</xdr:row>
                    <xdr:rowOff>9525</xdr:rowOff>
                  </from>
                  <to>
                    <xdr:col>2</xdr:col>
                    <xdr:colOff>3543300</xdr:colOff>
                    <xdr:row>1049</xdr:row>
                    <xdr:rowOff>19050</xdr:rowOff>
                  </to>
                </anchor>
              </controlPr>
            </control>
          </mc:Choice>
        </mc:AlternateContent>
        <mc:AlternateContent xmlns:mc="http://schemas.openxmlformats.org/markup-compatibility/2006">
          <mc:Choice Requires="x14">
            <control shapeId="5170" r:id="rId26" name="Button 50">
              <controlPr defaultSize="0" autoFill="0" autoPict="0" macro="[0]!tema13Ubi" altText="Borrar">
                <anchor moveWithCells="1" sizeWithCells="1">
                  <from>
                    <xdr:col>2</xdr:col>
                    <xdr:colOff>5210175</xdr:colOff>
                    <xdr:row>1237</xdr:row>
                    <xdr:rowOff>0</xdr:rowOff>
                  </from>
                  <to>
                    <xdr:col>2</xdr:col>
                    <xdr:colOff>7315200</xdr:colOff>
                    <xdr:row>1239</xdr:row>
                    <xdr:rowOff>0</xdr:rowOff>
                  </to>
                </anchor>
              </controlPr>
            </control>
          </mc:Choice>
        </mc:AlternateContent>
        <mc:AlternateContent xmlns:mc="http://schemas.openxmlformats.org/markup-compatibility/2006">
          <mc:Choice Requires="x14">
            <control shapeId="5171" r:id="rId27" name="Button 51">
              <controlPr defaultSize="0" autoFill="0" autoPict="0" macro="[0]!Compro13Ubi">
                <anchor moveWithCells="1" sizeWithCells="1">
                  <from>
                    <xdr:col>2</xdr:col>
                    <xdr:colOff>1514475</xdr:colOff>
                    <xdr:row>1237</xdr:row>
                    <xdr:rowOff>9525</xdr:rowOff>
                  </from>
                  <to>
                    <xdr:col>2</xdr:col>
                    <xdr:colOff>3543300</xdr:colOff>
                    <xdr:row>1239</xdr:row>
                    <xdr:rowOff>19050</xdr:rowOff>
                  </to>
                </anchor>
              </controlPr>
            </control>
          </mc:Choice>
        </mc:AlternateContent>
        <mc:AlternateContent xmlns:mc="http://schemas.openxmlformats.org/markup-compatibility/2006">
          <mc:Choice Requires="x14">
            <control shapeId="5172" r:id="rId28" name="Button 52">
              <controlPr defaultSize="0" autoFill="0" autoPict="0" macro="[0]!tema12Ubi" altText="Borrar">
                <anchor moveWithCells="1" sizeWithCells="1">
                  <from>
                    <xdr:col>2</xdr:col>
                    <xdr:colOff>5210175</xdr:colOff>
                    <xdr:row>1142</xdr:row>
                    <xdr:rowOff>0</xdr:rowOff>
                  </from>
                  <to>
                    <xdr:col>2</xdr:col>
                    <xdr:colOff>7315200</xdr:colOff>
                    <xdr:row>1144</xdr:row>
                    <xdr:rowOff>0</xdr:rowOff>
                  </to>
                </anchor>
              </controlPr>
            </control>
          </mc:Choice>
        </mc:AlternateContent>
        <mc:AlternateContent xmlns:mc="http://schemas.openxmlformats.org/markup-compatibility/2006">
          <mc:Choice Requires="x14">
            <control shapeId="5173" r:id="rId29" name="Button 53">
              <controlPr defaultSize="0" autoFill="0" autoPict="0" macro="[0]!Compro12Ubi">
                <anchor moveWithCells="1" sizeWithCells="1">
                  <from>
                    <xdr:col>2</xdr:col>
                    <xdr:colOff>1514475</xdr:colOff>
                    <xdr:row>1142</xdr:row>
                    <xdr:rowOff>9525</xdr:rowOff>
                  </from>
                  <to>
                    <xdr:col>2</xdr:col>
                    <xdr:colOff>3543300</xdr:colOff>
                    <xdr:row>1144</xdr:row>
                    <xdr:rowOff>19050</xdr:rowOff>
                  </to>
                </anchor>
              </controlPr>
            </control>
          </mc:Choice>
        </mc:AlternateContent>
        <mc:AlternateContent xmlns:mc="http://schemas.openxmlformats.org/markup-compatibility/2006">
          <mc:Choice Requires="x14">
            <control shapeId="5174" r:id="rId30" name="Button 54">
              <controlPr defaultSize="0" autoFill="0" autoPict="0" macro="[0]!pec1Ubi" altText="Borrar">
                <anchor moveWithCells="1" sizeWithCells="1">
                  <from>
                    <xdr:col>2</xdr:col>
                    <xdr:colOff>5210175</xdr:colOff>
                    <xdr:row>1423</xdr:row>
                    <xdr:rowOff>0</xdr:rowOff>
                  </from>
                  <to>
                    <xdr:col>2</xdr:col>
                    <xdr:colOff>7315200</xdr:colOff>
                    <xdr:row>1425</xdr:row>
                    <xdr:rowOff>0</xdr:rowOff>
                  </to>
                </anchor>
              </controlPr>
            </control>
          </mc:Choice>
        </mc:AlternateContent>
        <mc:AlternateContent xmlns:mc="http://schemas.openxmlformats.org/markup-compatibility/2006">
          <mc:Choice Requires="x14">
            <control shapeId="5175" r:id="rId31" name="Button 55">
              <controlPr defaultSize="0" autoFill="0" autoPict="0" macro="[0]!Compropec1Ubi">
                <anchor moveWithCells="1" sizeWithCells="1">
                  <from>
                    <xdr:col>2</xdr:col>
                    <xdr:colOff>1514475</xdr:colOff>
                    <xdr:row>1423</xdr:row>
                    <xdr:rowOff>9525</xdr:rowOff>
                  </from>
                  <to>
                    <xdr:col>2</xdr:col>
                    <xdr:colOff>3543300</xdr:colOff>
                    <xdr:row>1425</xdr:row>
                    <xdr:rowOff>19050</xdr:rowOff>
                  </to>
                </anchor>
              </controlPr>
            </control>
          </mc:Choice>
        </mc:AlternateContent>
        <mc:AlternateContent xmlns:mc="http://schemas.openxmlformats.org/markup-compatibility/2006">
          <mc:Choice Requires="x14">
            <control shapeId="5182" r:id="rId32" name="Button 62">
              <controlPr defaultSize="0" autoFill="0" autoPict="0" macro="[0]!pec2Ubi" altText="Borrar">
                <anchor moveWithCells="1" sizeWithCells="1">
                  <from>
                    <xdr:col>2</xdr:col>
                    <xdr:colOff>5210175</xdr:colOff>
                    <xdr:row>1609</xdr:row>
                    <xdr:rowOff>0</xdr:rowOff>
                  </from>
                  <to>
                    <xdr:col>2</xdr:col>
                    <xdr:colOff>7315200</xdr:colOff>
                    <xdr:row>1611</xdr:row>
                    <xdr:rowOff>0</xdr:rowOff>
                  </to>
                </anchor>
              </controlPr>
            </control>
          </mc:Choice>
        </mc:AlternateContent>
        <mc:AlternateContent xmlns:mc="http://schemas.openxmlformats.org/markup-compatibility/2006">
          <mc:Choice Requires="x14">
            <control shapeId="5183" r:id="rId33" name="Button 63">
              <controlPr defaultSize="0" autoFill="0" autoPict="0" macro="[0]!Compropec2Ubi">
                <anchor moveWithCells="1" sizeWithCells="1">
                  <from>
                    <xdr:col>2</xdr:col>
                    <xdr:colOff>1514475</xdr:colOff>
                    <xdr:row>1609</xdr:row>
                    <xdr:rowOff>9525</xdr:rowOff>
                  </from>
                  <to>
                    <xdr:col>2</xdr:col>
                    <xdr:colOff>3543300</xdr:colOff>
                    <xdr:row>1611</xdr:row>
                    <xdr:rowOff>19050</xdr:rowOff>
                  </to>
                </anchor>
              </controlPr>
            </control>
          </mc:Choice>
        </mc:AlternateContent>
        <mc:AlternateContent xmlns:mc="http://schemas.openxmlformats.org/markup-compatibility/2006">
          <mc:Choice Requires="x14">
            <control shapeId="5184" r:id="rId34" name="Button 64">
              <controlPr defaultSize="0" autoFill="0" autoPict="0" macro="[0]!pec3Ubi" altText="Borrar">
                <anchor moveWithCells="1" sizeWithCells="1">
                  <from>
                    <xdr:col>2</xdr:col>
                    <xdr:colOff>5210175</xdr:colOff>
                    <xdr:row>1795</xdr:row>
                    <xdr:rowOff>0</xdr:rowOff>
                  </from>
                  <to>
                    <xdr:col>2</xdr:col>
                    <xdr:colOff>7315200</xdr:colOff>
                    <xdr:row>1797</xdr:row>
                    <xdr:rowOff>0</xdr:rowOff>
                  </to>
                </anchor>
              </controlPr>
            </control>
          </mc:Choice>
        </mc:AlternateContent>
        <mc:AlternateContent xmlns:mc="http://schemas.openxmlformats.org/markup-compatibility/2006">
          <mc:Choice Requires="x14">
            <control shapeId="5185" r:id="rId35" name="Button 65">
              <controlPr defaultSize="0" autoFill="0" autoPict="0" macro="[0]!Compropec3Ubi">
                <anchor moveWithCells="1" sizeWithCells="1">
                  <from>
                    <xdr:col>2</xdr:col>
                    <xdr:colOff>1514475</xdr:colOff>
                    <xdr:row>1795</xdr:row>
                    <xdr:rowOff>9525</xdr:rowOff>
                  </from>
                  <to>
                    <xdr:col>2</xdr:col>
                    <xdr:colOff>3543300</xdr:colOff>
                    <xdr:row>1797</xdr:row>
                    <xdr:rowOff>19050</xdr:rowOff>
                  </to>
                </anchor>
              </controlPr>
            </control>
          </mc:Choice>
        </mc:AlternateContent>
        <mc:AlternateContent xmlns:mc="http://schemas.openxmlformats.org/markup-compatibility/2006">
          <mc:Choice Requires="x14">
            <control shapeId="5186" r:id="rId36" name="Button 66">
              <controlPr defaultSize="0" autoFill="0" autoPict="0" macro="[0]!pec4Ubi" altText="Borrar">
                <anchor moveWithCells="1" sizeWithCells="1">
                  <from>
                    <xdr:col>2</xdr:col>
                    <xdr:colOff>5210175</xdr:colOff>
                    <xdr:row>1981</xdr:row>
                    <xdr:rowOff>0</xdr:rowOff>
                  </from>
                  <to>
                    <xdr:col>2</xdr:col>
                    <xdr:colOff>7315200</xdr:colOff>
                    <xdr:row>1983</xdr:row>
                    <xdr:rowOff>0</xdr:rowOff>
                  </to>
                </anchor>
              </controlPr>
            </control>
          </mc:Choice>
        </mc:AlternateContent>
        <mc:AlternateContent xmlns:mc="http://schemas.openxmlformats.org/markup-compatibility/2006">
          <mc:Choice Requires="x14">
            <control shapeId="5187" r:id="rId37" name="Button 67">
              <controlPr defaultSize="0" autoFill="0" autoPict="0" macro="[0]!Compropec4Ubi">
                <anchor moveWithCells="1" sizeWithCells="1">
                  <from>
                    <xdr:col>2</xdr:col>
                    <xdr:colOff>1514475</xdr:colOff>
                    <xdr:row>1981</xdr:row>
                    <xdr:rowOff>9525</xdr:rowOff>
                  </from>
                  <to>
                    <xdr:col>2</xdr:col>
                    <xdr:colOff>3543300</xdr:colOff>
                    <xdr:row>1983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Empresa_finalizada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Ubaldo Hidalgo Arriaga</cp:lastModifiedBy>
  <cp:revision/>
  <dcterms:created xsi:type="dcterms:W3CDTF">2016-11-17T08:46:58Z</dcterms:created>
  <dcterms:modified xsi:type="dcterms:W3CDTF">2018-05-20T16:50:43Z</dcterms:modified>
  <cp:category/>
  <cp:contentStatus/>
</cp:coreProperties>
</file>