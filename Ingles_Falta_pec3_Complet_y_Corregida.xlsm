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AA0CFADE-9EDF-4F91-ABB3-BD7629E1B863}" xr6:coauthVersionLast="31" xr6:coauthVersionMax="31" xr10:uidLastSave="{00000000-0000-0000-0000-000000000000}"/>
  <bookViews>
    <workbookView xWindow="0" yWindow="465" windowWidth="20415" windowHeight="8415" tabRatio="500" xr2:uid="{00000000-000D-0000-FFFF-FFFF00000000}"/>
  </bookViews>
  <sheets>
    <sheet name="Ingles" sheetId="6" r:id="rId1"/>
  </sheets>
  <definedNames>
    <definedName name="_xlnm.Print_Area" localSheetId="0">Ingles!$B$1:$H$5</definedName>
    <definedName name="OLE_LINK2" localSheetId="0">Ingles!#REF!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65" i="6" l="1"/>
  <c r="H359" i="6"/>
  <c r="H347" i="6"/>
  <c r="H341" i="6"/>
  <c r="H335" i="6"/>
  <c r="H329" i="6"/>
  <c r="H317" i="6"/>
  <c r="H311" i="6"/>
  <c r="H305" i="6"/>
  <c r="H299" i="6"/>
  <c r="H293" i="6"/>
  <c r="H287" i="6"/>
  <c r="H281" i="6"/>
  <c r="H275" i="6"/>
  <c r="H269" i="6"/>
  <c r="H263" i="6"/>
  <c r="H138" i="6"/>
  <c r="H86" i="6"/>
  <c r="H353" i="6"/>
  <c r="H323" i="6"/>
  <c r="H257" i="6"/>
  <c r="H371" i="6"/>
  <c r="H372" i="6"/>
  <c r="H366" i="6"/>
  <c r="H360" i="6"/>
  <c r="H354" i="6"/>
  <c r="H348" i="6"/>
  <c r="H342" i="6"/>
  <c r="H336" i="6"/>
  <c r="H330" i="6"/>
  <c r="H324" i="6"/>
  <c r="H318" i="6"/>
  <c r="H312" i="6"/>
  <c r="H306" i="6"/>
  <c r="H300" i="6"/>
  <c r="H294" i="6"/>
  <c r="H288" i="6"/>
  <c r="H282" i="6"/>
  <c r="H276" i="6"/>
  <c r="H270" i="6"/>
  <c r="H264" i="6"/>
  <c r="H258" i="6"/>
  <c r="H367" i="6"/>
  <c r="H259" i="6"/>
  <c r="H265" i="6"/>
  <c r="H271" i="6"/>
  <c r="H277" i="6"/>
  <c r="H283" i="6"/>
  <c r="H289" i="6"/>
  <c r="H295" i="6"/>
  <c r="H301" i="6"/>
  <c r="H307" i="6"/>
  <c r="H313" i="6"/>
  <c r="H319" i="6"/>
  <c r="H325" i="6"/>
  <c r="H331" i="6"/>
  <c r="H337" i="6"/>
  <c r="H343" i="6"/>
  <c r="H349" i="6"/>
  <c r="H355" i="6"/>
  <c r="H361" i="6"/>
  <c r="H373" i="6"/>
  <c r="F378" i="6"/>
  <c r="H175" i="6"/>
  <c r="H174" i="6"/>
  <c r="H176" i="6"/>
  <c r="H169" i="6"/>
  <c r="H168" i="6"/>
  <c r="H170" i="6"/>
  <c r="H163" i="6"/>
  <c r="H162" i="6"/>
  <c r="H164" i="6"/>
  <c r="H157" i="6"/>
  <c r="H156" i="6"/>
  <c r="H158" i="6"/>
  <c r="H151" i="6"/>
  <c r="H150" i="6"/>
  <c r="H152" i="6"/>
  <c r="H145" i="6"/>
  <c r="H144" i="6"/>
  <c r="H146" i="6"/>
  <c r="H139" i="6"/>
  <c r="H140" i="6"/>
  <c r="H133" i="6"/>
  <c r="H132" i="6"/>
  <c r="H134" i="6"/>
  <c r="H181" i="6"/>
  <c r="H180" i="6"/>
  <c r="H182" i="6"/>
  <c r="H187" i="6"/>
  <c r="H186" i="6"/>
  <c r="H188" i="6"/>
  <c r="H193" i="6"/>
  <c r="H192" i="6"/>
  <c r="H194" i="6"/>
  <c r="H199" i="6"/>
  <c r="H198" i="6"/>
  <c r="H200" i="6"/>
  <c r="H205" i="6"/>
  <c r="H204" i="6"/>
  <c r="H206" i="6"/>
  <c r="H211" i="6"/>
  <c r="H210" i="6"/>
  <c r="H212" i="6"/>
  <c r="H217" i="6"/>
  <c r="H216" i="6"/>
  <c r="H218" i="6"/>
  <c r="H223" i="6"/>
  <c r="H222" i="6"/>
  <c r="H224" i="6"/>
  <c r="H229" i="6"/>
  <c r="H228" i="6"/>
  <c r="H230" i="6"/>
  <c r="H235" i="6"/>
  <c r="H234" i="6"/>
  <c r="H236" i="6"/>
  <c r="H241" i="6"/>
  <c r="H240" i="6"/>
  <c r="H242" i="6"/>
  <c r="H247" i="6"/>
  <c r="H246" i="6"/>
  <c r="H248" i="6"/>
  <c r="F253" i="6"/>
  <c r="G253" i="6"/>
  <c r="G378" i="6"/>
  <c r="F373" i="6"/>
  <c r="F372" i="6"/>
  <c r="F367" i="6"/>
  <c r="F366" i="6"/>
  <c r="F361" i="6"/>
  <c r="F360" i="6"/>
  <c r="F355" i="6"/>
  <c r="F354" i="6"/>
  <c r="F349" i="6"/>
  <c r="F348" i="6"/>
  <c r="F343" i="6"/>
  <c r="F342" i="6"/>
  <c r="F337" i="6"/>
  <c r="F336" i="6"/>
  <c r="F331" i="6"/>
  <c r="F330" i="6"/>
  <c r="F325" i="6"/>
  <c r="F324" i="6"/>
  <c r="F319" i="6"/>
  <c r="F318" i="6"/>
  <c r="F313" i="6"/>
  <c r="F312" i="6"/>
  <c r="F307" i="6"/>
  <c r="F306" i="6"/>
  <c r="F301" i="6"/>
  <c r="F300" i="6"/>
  <c r="F295" i="6"/>
  <c r="F294" i="6"/>
  <c r="F289" i="6"/>
  <c r="F288" i="6"/>
  <c r="F283" i="6"/>
  <c r="F282" i="6"/>
  <c r="F277" i="6"/>
  <c r="F276" i="6"/>
  <c r="F271" i="6"/>
  <c r="F270" i="6"/>
  <c r="F265" i="6"/>
  <c r="F264" i="6"/>
  <c r="F259" i="6"/>
  <c r="F258" i="6"/>
  <c r="H117" i="6"/>
  <c r="H116" i="6"/>
  <c r="H118" i="6"/>
  <c r="F117" i="6"/>
  <c r="F248" i="6"/>
  <c r="F247" i="6"/>
  <c r="F242" i="6"/>
  <c r="F241" i="6"/>
  <c r="F236" i="6"/>
  <c r="F235" i="6"/>
  <c r="F230" i="6"/>
  <c r="F229" i="6"/>
  <c r="F224" i="6"/>
  <c r="F223" i="6"/>
  <c r="F218" i="6"/>
  <c r="F217" i="6"/>
  <c r="F212" i="6"/>
  <c r="F211" i="6"/>
  <c r="F206" i="6"/>
  <c r="F205" i="6"/>
  <c r="F200" i="6"/>
  <c r="F199" i="6"/>
  <c r="F194" i="6"/>
  <c r="F193" i="6"/>
  <c r="H51" i="6"/>
  <c r="H50" i="6"/>
  <c r="H52" i="6"/>
  <c r="H45" i="6"/>
  <c r="H44" i="6"/>
  <c r="H46" i="6"/>
  <c r="H39" i="6"/>
  <c r="H38" i="6"/>
  <c r="H40" i="6"/>
  <c r="H33" i="6"/>
  <c r="H32" i="6"/>
  <c r="H34" i="6"/>
  <c r="H27" i="6"/>
  <c r="H26" i="6"/>
  <c r="H28" i="6"/>
  <c r="H21" i="6"/>
  <c r="H20" i="6"/>
  <c r="H22" i="6"/>
  <c r="H15" i="6"/>
  <c r="H14" i="6"/>
  <c r="H16" i="6"/>
  <c r="H9" i="6"/>
  <c r="H8" i="6"/>
  <c r="H10" i="6"/>
  <c r="H57" i="6"/>
  <c r="H56" i="6"/>
  <c r="H58" i="6"/>
  <c r="H63" i="6"/>
  <c r="H62" i="6"/>
  <c r="H64" i="6"/>
  <c r="H69" i="6"/>
  <c r="H68" i="6"/>
  <c r="H70" i="6"/>
  <c r="H75" i="6"/>
  <c r="H74" i="6"/>
  <c r="H76" i="6"/>
  <c r="H81" i="6"/>
  <c r="H80" i="6"/>
  <c r="H82" i="6"/>
  <c r="H87" i="6"/>
  <c r="H88" i="6"/>
  <c r="H93" i="6"/>
  <c r="H92" i="6"/>
  <c r="H94" i="6"/>
  <c r="H99" i="6"/>
  <c r="H98" i="6"/>
  <c r="H100" i="6"/>
  <c r="H105" i="6"/>
  <c r="H104" i="6"/>
  <c r="H106" i="6"/>
  <c r="H111" i="6"/>
  <c r="H110" i="6"/>
  <c r="H112" i="6"/>
  <c r="H123" i="6"/>
  <c r="H122" i="6"/>
  <c r="H124" i="6"/>
  <c r="F129" i="6"/>
  <c r="G129" i="6"/>
  <c r="F124" i="6"/>
  <c r="F123" i="6"/>
  <c r="F118" i="6"/>
  <c r="F112" i="6"/>
  <c r="F111" i="6"/>
  <c r="F106" i="6"/>
  <c r="F105" i="6"/>
  <c r="F100" i="6"/>
  <c r="F99" i="6"/>
  <c r="F94" i="6"/>
  <c r="F93" i="6"/>
  <c r="F88" i="6"/>
  <c r="F87" i="6"/>
  <c r="F82" i="6"/>
  <c r="F81" i="6"/>
  <c r="F76" i="6"/>
  <c r="F75" i="6"/>
  <c r="F70" i="6"/>
  <c r="F69" i="6"/>
  <c r="F133" i="6"/>
  <c r="F134" i="6"/>
  <c r="F139" i="6"/>
  <c r="F140" i="6"/>
  <c r="F145" i="6"/>
  <c r="F146" i="6"/>
  <c r="F151" i="6"/>
  <c r="F152" i="6"/>
  <c r="F157" i="6"/>
  <c r="F158" i="6"/>
  <c r="F163" i="6"/>
  <c r="F164" i="6"/>
  <c r="F169" i="6"/>
  <c r="F170" i="6"/>
  <c r="F175" i="6"/>
  <c r="F176" i="6"/>
  <c r="F181" i="6"/>
  <c r="F182" i="6"/>
  <c r="F187" i="6"/>
  <c r="F188" i="6"/>
  <c r="F64" i="6"/>
  <c r="F63" i="6"/>
  <c r="F58" i="6"/>
  <c r="F57" i="6"/>
  <c r="F52" i="6"/>
  <c r="F51" i="6"/>
  <c r="F46" i="6"/>
  <c r="F45" i="6"/>
  <c r="F40" i="6"/>
  <c r="F39" i="6"/>
  <c r="F34" i="6"/>
  <c r="F33" i="6"/>
  <c r="F28" i="6"/>
  <c r="F27" i="6"/>
  <c r="F22" i="6"/>
  <c r="F21" i="6"/>
  <c r="F16" i="6"/>
  <c r="F15" i="6"/>
  <c r="F10" i="6"/>
  <c r="F9" i="6"/>
</calcChain>
</file>

<file path=xl/sharedStrings.xml><?xml version="1.0" encoding="utf-8"?>
<sst xmlns="http://schemas.openxmlformats.org/spreadsheetml/2006/main" count="923" uniqueCount="276">
  <si>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</si>
  <si>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</si>
  <si>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</si>
  <si>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</si>
  <si>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</si>
  <si>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</si>
  <si>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</si>
  <si>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</si>
  <si>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</si>
  <si>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</si>
  <si>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</si>
  <si>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</si>
  <si>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</si>
  <si>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</si>
  <si>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</si>
  <si>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</si>
  <si>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</si>
  <si>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</si>
  <si>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</si>
  <si>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</si>
  <si>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</si>
  <si>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</si>
  <si>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>10 .-</t>
  </si>
  <si>
    <t>9 .-</t>
  </si>
  <si>
    <t>PEC1</t>
  </si>
  <si>
    <t>PEC2</t>
  </si>
  <si>
    <t>Which statement is correct?</t>
  </si>
  <si>
    <t>We use Present Perfect Simple to speak about habits and routines.</t>
  </si>
  <si>
    <t>We use Present Perfect Simple to speak about life experiences.</t>
  </si>
  <si>
    <t>We use Present Perfect Simple to speak about things that started and ended in the past. </t>
  </si>
  <si>
    <t>Complete the sentence: We’ve __________ each other since we were kids.</t>
  </si>
  <si>
    <t>Known</t>
  </si>
  <si>
    <t>Been</t>
  </si>
  <si>
    <t>Knew</t>
  </si>
  <si>
    <t>Which sentence is not grammatically correct?</t>
  </si>
  <si>
    <t>She’s already finished her homework.</t>
  </si>
  <si>
    <t>He didn’t be able to fix the computer.</t>
  </si>
  <si>
    <t>He has just fixed the screen.</t>
  </si>
  <si>
    <t>Which is the IT System part that comprises the software and hardware that an enterprise uses to run its business?</t>
  </si>
  <si>
    <t>Enterprise System.</t>
  </si>
  <si>
    <t>Data Storage, Management and Backup</t>
  </si>
  <si>
    <t>Operating Systems</t>
  </si>
  <si>
    <t>Choose the correct question for the following answer: ‘I worked with my computer’</t>
  </si>
  <si>
    <t>What have you done?</t>
  </si>
  <si>
    <t>What did you yesterday?</t>
  </si>
  <si>
    <t>What did you do yesterday?</t>
  </si>
  <si>
    <t>Which of the next is not used nowadays?</t>
  </si>
  <si>
    <t>Floppy Disk</t>
  </si>
  <si>
    <t>Keyboard</t>
  </si>
  <si>
    <t>Speakers</t>
  </si>
  <si>
    <t>What is not really needed to gather components to build your own computer?</t>
  </si>
  <si>
    <t>Boot your computer up</t>
  </si>
  <si>
    <t>Choose a functional and fancy case</t>
  </si>
  <si>
    <t>Find a motherboard compatible with your processor</t>
  </si>
  <si>
    <t>Choose the false one about Software program:</t>
  </si>
  <si>
    <t>If one line-code is wrong, the whole program can break.</t>
  </si>
  <si>
    <t>To run a program is the same than to execute it.</t>
  </si>
  <si>
    <t>A program can have one million lines as maximum. </t>
  </si>
  <si>
    <r>
      <t>Choose the correct one: ‘</t>
    </r>
    <r>
      <rPr>
        <i/>
        <sz val="11"/>
        <color theme="1"/>
        <rFont val="Calibri"/>
        <family val="2"/>
        <scheme val="minor"/>
      </rPr>
      <t>The laptops are portable _______ desktop computers</t>
    </r>
    <r>
      <rPr>
        <sz val="12"/>
        <color theme="1"/>
        <rFont val="Calibri"/>
        <family val="2"/>
        <scheme val="minor"/>
      </rPr>
      <t>’.</t>
    </r>
  </si>
  <si>
    <t>unlike</t>
  </si>
  <si>
    <t>whereas</t>
  </si>
  <si>
    <t>but</t>
  </si>
  <si>
    <r>
      <t xml:space="preserve">Which is the right definition for </t>
    </r>
    <r>
      <rPr>
        <i/>
        <sz val="11"/>
        <color theme="1"/>
        <rFont val="Calibri"/>
        <family val="2"/>
        <scheme val="minor"/>
      </rPr>
      <t>‘process</t>
    </r>
    <r>
      <rPr>
        <sz val="12"/>
        <color theme="1"/>
        <rFont val="Calibri"/>
        <family val="2"/>
        <scheme val="minor"/>
      </rPr>
      <t>’.</t>
    </r>
  </si>
  <si>
    <t>a open source software that is provided free, and includes the language the program is written in</t>
  </si>
  <si>
    <t>a system on PCs that provides a small library of basic input/output functions used to operate and control the keyboard, text display, etc.</t>
  </si>
  <si>
    <t>a series of actions that are done to achieve a particular result</t>
  </si>
  <si>
    <t>Which statement makes sense?</t>
  </si>
  <si>
    <t>In passive voice the action is usually more important than the agent.</t>
  </si>
  <si>
    <t>In passive voice the agent is usually more important than the action itself.</t>
  </si>
  <si>
    <t>Both statements above are correct.</t>
  </si>
  <si>
    <r>
      <t>Choose the right transcription to passive from: ‘</t>
    </r>
    <r>
      <rPr>
        <i/>
        <sz val="11"/>
        <color theme="1"/>
        <rFont val="Calibri"/>
        <family val="2"/>
        <scheme val="minor"/>
      </rPr>
      <t>The scanner sends the pulses to the branch computer’</t>
    </r>
  </si>
  <si>
    <t>The pulses are sent to the branch computer by the scanner.</t>
  </si>
  <si>
    <t>The branch computer is sent pulses by the scanner.</t>
  </si>
  <si>
    <t>Both options are correct. </t>
  </si>
  <si>
    <t>Choose the odd one: </t>
  </si>
  <si>
    <t>Run-Ran-Run</t>
  </si>
  <si>
    <t>Ring-Rang-Rung</t>
  </si>
  <si>
    <t>Find-Fond-Fund</t>
  </si>
  <si>
    <t>What is ‘Data management’?</t>
  </si>
  <si>
    <t>Data free from duplicate and erroneous information.</t>
  </si>
  <si>
    <t>The end-to-end life cycle of data, and the accurate data access providing.</t>
  </si>
  <si>
    <t>A computing tool that tries to operate in a way similar to the human brain.</t>
  </si>
  <si>
    <t>Which of the following items is an example of ‘peripheral’?</t>
  </si>
  <si>
    <t>Motherboard</t>
  </si>
  <si>
    <t>Mouse</t>
  </si>
  <si>
    <t>NIC</t>
  </si>
  <si>
    <t>Which one is used in a mobile more than in a PC?</t>
  </si>
  <si>
    <t>Digital Camera</t>
  </si>
  <si>
    <t>Vibrator Motor</t>
  </si>
  <si>
    <t>Power Button</t>
  </si>
  <si>
    <t>Complete: ‘A Smartphone is a   ________   personal computer.’</t>
  </si>
  <si>
    <t>Handheld</t>
  </si>
  <si>
    <t>Device</t>
  </si>
  <si>
    <t>Operating System</t>
  </si>
  <si>
    <t>Choose the wrong multimedia hardware:</t>
  </si>
  <si>
    <t>Goggles</t>
  </si>
  <si>
    <t>Chassis</t>
  </si>
  <si>
    <t>Projector</t>
  </si>
  <si>
    <t>What does MEMS mean?</t>
  </si>
  <si>
    <t>Micro-Electro-Mechanical Systems</t>
  </si>
  <si>
    <t>Micro Electronic Memo Server</t>
  </si>
  <si>
    <t>Multiple Elements Mounted Serial</t>
  </si>
  <si>
    <t>What is the right verb tense in ‘We look forward to ______________ cheaper and faster computers?</t>
  </si>
  <si>
    <t>Have</t>
  </si>
  <si>
    <t>Having</t>
  </si>
  <si>
    <t>Has </t>
  </si>
  <si>
    <t>IT</t>
  </si>
  <si>
    <t>Passive participle: In the office we use laptops ____________ with Wi-Fi to minimize cables.</t>
  </si>
  <si>
    <t>Connected.</t>
  </si>
  <si>
    <t>Connecting.</t>
  </si>
  <si>
    <t>Connet.</t>
  </si>
  <si>
    <t>Give a synonym for cables:</t>
  </si>
  <si>
    <t>Wires</t>
  </si>
  <si>
    <t>Beams</t>
  </si>
  <si>
    <t>Waves</t>
  </si>
  <si>
    <t>Which of the next is NOT a network type?</t>
  </si>
  <si>
    <t>LAN</t>
  </si>
  <si>
    <t>FAN</t>
  </si>
  <si>
    <t>PAN</t>
  </si>
  <si>
    <t>Which of the next is used to refer to the network main component of a computer?</t>
  </si>
  <si>
    <t>Wi-Fi</t>
  </si>
  <si>
    <t>Bluetooth</t>
  </si>
  <si>
    <t>Complete the sentence: “fake news spread like _______________”</t>
  </si>
  <si>
    <t>Wildfire</t>
  </si>
  <si>
    <t>Opinions</t>
  </si>
  <si>
    <t>Problems</t>
  </si>
  <si>
    <t>Choose the best way to say the same ad: “Don’t switch on phones in class”</t>
  </si>
  <si>
    <t>Do not use your mobile phones in class</t>
  </si>
  <si>
    <t>Avoid switching on phones in class</t>
  </si>
  <si>
    <t>Avoid to switch on phones in class</t>
  </si>
  <si>
    <t>The first thing should be checked to choose an ISP is…</t>
  </si>
  <si>
    <t>Up and down speed</t>
  </si>
  <si>
    <t>Reliability</t>
  </si>
  <si>
    <t>Availability in your zone</t>
  </si>
  <si>
    <t>A synonym of dangers…</t>
  </si>
  <si>
    <t>Hazards</t>
  </si>
  <si>
    <t>Difficulties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</si>
  <si>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</si>
  <si>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</si>
  <si>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</si>
  <si>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</si>
  <si>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</si>
  <si>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</si>
  <si>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</si>
  <si>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</si>
  <si>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</si>
  <si>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</si>
  <si>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What does SMTP stands for?</t>
  </si>
  <si>
    <t>Simple Mail Transfer Protocol</t>
  </si>
  <si>
    <t>Structured Mail Transport Protocol</t>
  </si>
  <si>
    <t>Speed Mail Transfer Protocol</t>
  </si>
  <si>
    <t>How many Internet Addresses does a Gateway have?</t>
  </si>
  <si>
    <t>Only one (to avoid duplicities)</t>
  </si>
  <si>
    <t>One on each network connected</t>
  </si>
  <si>
    <t>A lot. Not known by users</t>
  </si>
  <si>
    <t>What was the first content written in an email?</t>
  </si>
  <si>
    <t>qwertyuiop</t>
  </si>
  <si>
    <t>hello world</t>
  </si>
  <si>
    <t>got it!</t>
  </si>
  <si>
    <t>To create a great web page … You _____________ use small images. </t>
  </si>
  <si>
    <t>Mustn’t</t>
  </si>
  <si>
    <t>Should</t>
  </si>
  <si>
    <t>Better have</t>
  </si>
  <si>
    <t>Complete with the most suitable: “__________ the DNS server has found the IP address, it sends the address back to the browser”</t>
  </si>
  <si>
    <t>When</t>
  </si>
  <si>
    <t>Once</t>
  </si>
  <si>
    <t>After</t>
  </si>
  <si>
    <t>Dreamweaver is an example of a…</t>
  </si>
  <si>
    <t>WYSIWYG program</t>
  </si>
  <si>
    <t>Debugger</t>
  </si>
  <si>
    <t>Rich text program</t>
  </si>
  <si>
    <t>Choose the correct one:</t>
  </si>
  <si>
    <t>PHP and HTML can be combined easily. The documents are named with .html extension</t>
  </si>
  <si>
    <t>PHP and HTML can be combined easily. The documents are named with .php extension</t>
  </si>
  <si>
    <t>PHP and HTML must be stored in different documents with different extensions</t>
  </si>
  <si>
    <t>Which tag is not newly used in html5 webpages?</t>
  </si>
  <si>
    <t>header</t>
  </si>
  <si>
    <t>div</t>
  </si>
  <si>
    <t>nav</t>
  </si>
  <si>
    <t>Complete: “In the workplace at the office you __________ smoke”</t>
  </si>
  <si>
    <t>Musn’t</t>
  </si>
  <si>
    <t>Needn’t</t>
  </si>
  <si>
    <t>Shouldn’t</t>
  </si>
  <si>
    <t>An example of software database manager is:</t>
  </si>
  <si>
    <t>MySQL</t>
  </si>
  <si>
    <t>Excell</t>
  </si>
  <si>
    <t>MaryDB</t>
  </si>
  <si>
    <t>The last stage in the data processing cycle is…</t>
  </si>
  <si>
    <t>Processing</t>
  </si>
  <si>
    <t>Output and Interpretation</t>
  </si>
  <si>
    <t>Storage</t>
  </si>
  <si>
    <t>PEC3</t>
  </si>
  <si>
    <t>Keeping</t>
  </si>
  <si>
    <t>Dangerous</t>
  </si>
  <si>
    <t>Thieving</t>
  </si>
  <si>
    <t>Regarding to the introduction of Unit 12: Future of IT, "Thanks to the advances of Information Technology, in the last 10 years businesses have become..."</t>
  </si>
  <si>
    <t>More flexible and cost efficient.</t>
  </si>
  <si>
    <t>Richer due to the personal reduction</t>
  </si>
  <si>
    <t>Are going to fail</t>
  </si>
  <si>
    <t>To reduce computer theft, you shouldn’t…</t>
  </si>
  <si>
    <t>Label your laptop</t>
  </si>
  <si>
    <t>Attach a physical lock</t>
  </si>
  <si>
    <t>Use an evident computer case.</t>
  </si>
  <si>
    <t>By</t>
  </si>
  <si>
    <t>For</t>
  </si>
  <si>
    <t>Before than</t>
  </si>
  <si>
    <t>If you flood a website with more traffic than it was built to handle…</t>
  </si>
  <si>
    <t>It is the Credential Reuse</t>
  </si>
  <si>
    <t>It is the Session Hijacking and Man-in-the-Middle Attacks</t>
  </si>
  <si>
    <t>It is a DoS attack</t>
  </si>
  <si>
    <t>My mobile got lost at the train, but it was found by a nice person so I was able to recover it.</t>
  </si>
  <si>
    <t>My mobile got lost at the train, but it was found by a nice person so I were able to recover it.</t>
  </si>
  <si>
    <t>My mobile got lost at the train, but it was found by a nice person so I could recover it.</t>
  </si>
  <si>
    <t>Hardware Support technician.</t>
  </si>
  <si>
    <t>Software Support technician.</t>
  </si>
  <si>
    <t>Network Administration technician.</t>
  </si>
  <si>
    <t>Never phoning in peak times</t>
  </si>
  <si>
    <t>Better not phone in peak times</t>
  </si>
  <si>
    <t>Never phone in peak times</t>
  </si>
  <si>
    <t>I recommend that you</t>
  </si>
  <si>
    <t>I recommend.</t>
  </si>
  <si>
    <t>I advise you.</t>
  </si>
  <si>
    <t>XSS</t>
  </si>
  <si>
    <t>Government espionage</t>
  </si>
  <si>
    <t>Clinical Data Review</t>
  </si>
  <si>
    <t>Hacktivism</t>
  </si>
  <si>
    <t>What’s true about a Service Desk?</t>
  </si>
  <si>
    <t>It Aims to provide the quickest possible resolution of all inquiries related to IT services</t>
  </si>
  <si>
    <t>It is a software that allows IT support to be organized, focused, effcient, and effective</t>
  </si>
  <si>
    <t>It is a service request (i.e. an email) from an end-user that is received by a ticketing system.</t>
  </si>
  <si>
    <t>People predicted that we will still need to study English.</t>
  </si>
  <si>
    <t>Buildings in the future will be shorter than today’s buildings</t>
  </si>
  <si>
    <t>Experts say people will be living in underwater cities.</t>
  </si>
  <si>
    <t>Only hardware and software</t>
  </si>
  <si>
    <t>Hardware, Software and Firmware</t>
  </si>
  <si>
    <t>Devices and main data</t>
  </si>
  <si>
    <t>A hardware support service can provide…</t>
  </si>
  <si>
    <t>Check the good conditions of network connections.</t>
  </si>
  <si>
    <t>Second level support for upgrading servers and configuration</t>
  </si>
  <si>
    <t>The internal network of a Company is known as:</t>
  </si>
  <si>
    <t>Intranet</t>
  </si>
  <si>
    <t>Internet</t>
  </si>
  <si>
    <t>Moodle</t>
  </si>
  <si>
    <t>What is the CIA triad?</t>
  </si>
  <si>
    <t>Computers, Internet and Automatization</t>
  </si>
  <si>
    <t>Cloud Computing, Information technology and Advanced administration.</t>
  </si>
  <si>
    <t>Availability, Integrity and Confidentiality</t>
  </si>
  <si>
    <t>P3-P4</t>
  </si>
  <si>
    <t>P2-P3</t>
  </si>
  <si>
    <t>P1-P2</t>
  </si>
  <si>
    <t>If you secure your data HD from sudden power peaks, you won’t loss your information</t>
  </si>
  <si>
    <t>You secure your data HD from sudden power peaks because of you won’t loss your information.</t>
  </si>
  <si>
    <t>Unless you secure your data HD form sudden power peaks, you won’t loss your information</t>
  </si>
  <si>
    <t>comprobar</t>
  </si>
  <si>
    <t>x</t>
  </si>
  <si>
    <t>Provided</t>
  </si>
  <si>
    <t>Providing</t>
  </si>
  <si>
    <t>Provides</t>
  </si>
  <si>
    <t>Active participle: We have a router ______________ access to the Internet</t>
  </si>
  <si>
    <r>
      <t>Complete: "If you don’t study hard, you</t>
    </r>
    <r>
      <rPr>
        <b/>
        <sz val="12"/>
        <color rgb="FFFF0000"/>
        <rFont val="Calibri"/>
        <family val="2"/>
        <scheme val="minor"/>
      </rPr>
      <t xml:space="preserve"> ____________</t>
    </r>
    <r>
      <rPr>
        <sz val="12"/>
        <color theme="1"/>
        <rFont val="Calibri"/>
        <family val="2"/>
        <scheme val="minor"/>
      </rPr>
      <t xml:space="preserve"> the exam"</t>
    </r>
  </si>
  <si>
    <t>Provide a synonym for "stealing"</t>
  </si>
  <si>
    <t>Complete: " ________ 2020, The car sharing will be a mass option"</t>
  </si>
  <si>
    <t>Regarding to the security unit,  Which components should you protect in a Company?</t>
  </si>
  <si>
    <t xml:space="preserve">Every kind of security services on the Company. </t>
  </si>
  <si>
    <t>Complete the sentence: "____________ reinstalling the mouse drivers"</t>
  </si>
  <si>
    <t xml:space="preserve">More sociable and Opened </t>
  </si>
  <si>
    <t>The control and management of users and groups Access is provided by:</t>
  </si>
  <si>
    <t xml:space="preserve">Choose the most suitable one:
</t>
  </si>
  <si>
    <t xml:space="preserve">Viruses and Ransomware are considered part of the:
</t>
  </si>
  <si>
    <t>Phising</t>
  </si>
  <si>
    <t>Malware</t>
  </si>
  <si>
    <t xml:space="preserve">Choose the correct cause-effect sentence for the rule: ”Secure your data HD from sudden power peaks”:
</t>
  </si>
  <si>
    <t xml:space="preserve">According to the text about what life will be like in 2116…
</t>
  </si>
  <si>
    <t xml:space="preserve">Which of the next is not a cyberattack?
</t>
  </si>
  <si>
    <t xml:space="preserve">Rewrite: “Avoid phoning in peak times”
</t>
  </si>
  <si>
    <t xml:space="preserve">If there is a network crash in the Company affecting the CPD, what is the priority ticket?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</si>
</sst>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Symbol"/>
      <family val="1"/>
      <charset val="2"/>
    </font>
    <font>
      <sz val="9"/>
      <color theme="1"/>
      <name val="Arial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0" borderId="0">
      <alignment horizontal="center" vertical="center" wrapText="1"/>
    </xf>
  </cellStyleXfs>
  <cellXfs count="65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horizont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0" fillId="6" borderId="2" xfId="0" applyFont="1" applyFill="1" applyBorder="1" applyAlignment="1" applyProtection="1">
      <alignment horizontal="left"/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alignment wrapText="1"/>
      <protection hidden="1"/>
    </xf>
    <xf numFmtId="0" fontId="13" fillId="0" borderId="4" xfId="0" applyFont="1" applyBorder="1" applyAlignment="1">
      <alignment horizontal="left" vertical="center" indent="6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4" fillId="4" borderId="0" xfId="0" applyFont="1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0" fillId="4" borderId="0" xfId="0" applyFont="1" applyFill="1" applyBorder="1" applyAlignment="1" applyProtection="1">
      <protection hidden="1"/>
    </xf>
    <xf numFmtId="3" fontId="0" fillId="0" borderId="11" xfId="0" applyNumberFormat="1" applyFont="1" applyFill="1" applyBorder="1" applyAlignment="1" applyProtection="1">
      <alignment horizontal="left"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6" borderId="1" xfId="0" applyFont="1" applyFill="1" applyBorder="1" applyAlignment="1" applyProtection="1">
      <alignment horizontal="center"/>
      <protection hidden="1"/>
    </xf>
    <xf numFmtId="0" fontId="5" fillId="6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0" fillId="4" borderId="0" xfId="0" applyFont="1" applyFill="1" applyBorder="1" applyAlignment="1" applyProtection="1">
      <alignment horizontal="left" vertical="top" wrapText="1"/>
      <protection hidden="1"/>
    </xf>
    <xf numFmtId="0" fontId="0" fillId="4" borderId="0" xfId="0" applyFont="1" applyFill="1" applyBorder="1" applyAlignment="1" applyProtection="1">
      <alignment horizontal="left" vertical="top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127</xdr:row>
          <xdr:rowOff>76200</xdr:rowOff>
        </xdr:from>
        <xdr:to>
          <xdr:col>2</xdr:col>
          <xdr:colOff>10563225</xdr:colOff>
          <xdr:row>128</xdr:row>
          <xdr:rowOff>66675</xdr:rowOff>
        </xdr:to>
        <xdr:sp macro="" textlink="">
          <xdr:nvSpPr>
            <xdr:cNvPr id="1158" name="Button 134" descr="Borrar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127</xdr:row>
          <xdr:rowOff>76200</xdr:rowOff>
        </xdr:from>
        <xdr:to>
          <xdr:col>2</xdr:col>
          <xdr:colOff>9877425</xdr:colOff>
          <xdr:row>128</xdr:row>
          <xdr:rowOff>66675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251</xdr:row>
          <xdr:rowOff>76200</xdr:rowOff>
        </xdr:from>
        <xdr:to>
          <xdr:col>2</xdr:col>
          <xdr:colOff>10563225</xdr:colOff>
          <xdr:row>252</xdr:row>
          <xdr:rowOff>66675</xdr:rowOff>
        </xdr:to>
        <xdr:sp macro="" textlink="">
          <xdr:nvSpPr>
            <xdr:cNvPr id="1160" name="Button 134" descr="Borrar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251</xdr:row>
          <xdr:rowOff>76200</xdr:rowOff>
        </xdr:from>
        <xdr:to>
          <xdr:col>2</xdr:col>
          <xdr:colOff>9877425</xdr:colOff>
          <xdr:row>252</xdr:row>
          <xdr:rowOff>66675</xdr:rowOff>
        </xdr:to>
        <xdr:sp macro="" textlink="">
          <xdr:nvSpPr>
            <xdr:cNvPr id="1161" name="Button 13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376</xdr:row>
          <xdr:rowOff>76200</xdr:rowOff>
        </xdr:from>
        <xdr:to>
          <xdr:col>2</xdr:col>
          <xdr:colOff>10563225</xdr:colOff>
          <xdr:row>377</xdr:row>
          <xdr:rowOff>66675</xdr:rowOff>
        </xdr:to>
        <xdr:sp macro="" textlink="">
          <xdr:nvSpPr>
            <xdr:cNvPr id="1162" name="Button 134" descr="Borrar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376</xdr:row>
          <xdr:rowOff>76200</xdr:rowOff>
        </xdr:from>
        <xdr:to>
          <xdr:col>2</xdr:col>
          <xdr:colOff>9877425</xdr:colOff>
          <xdr:row>377</xdr:row>
          <xdr:rowOff>66675</xdr:rowOff>
        </xdr:to>
        <xdr:sp macro="" textlink="">
          <xdr:nvSpPr>
            <xdr:cNvPr id="1163" name="Button 13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379"/>
  <sheetViews>
    <sheetView showGridLines="0" tabSelected="1" zoomScale="70" zoomScaleNormal="70" zoomScalePageLayoutView="115" workbookViewId="0">
      <pane xSplit="1" ySplit="5" topLeftCell="B337" activePane="bottomRight" state="frozen"/>
      <selection pane="topRight" activeCell="B1" sqref="B1"/>
      <selection pane="bottomLeft" activeCell="A6" sqref="A6"/>
      <selection pane="bottomRight" activeCell="F378" sqref="F378"/>
    </sheetView>
  </sheetViews>
  <sheetFormatPr baseColWidth="10" defaultColWidth="11" defaultRowHeight="15.75" x14ac:dyDescent="0.25"/>
  <cols>
    <col min="1" max="1" width="2.5" style="4" customWidth="1"/>
    <col min="2" max="2" width="4.875" style="27" customWidth="1"/>
    <col min="3" max="3" width="158.125" style="7" customWidth="1"/>
    <col min="4" max="4" width="5" style="28" customWidth="1"/>
    <col min="5" max="5" width="5.875" style="28" customWidth="1"/>
    <col min="6" max="6" width="15" style="29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8" x14ac:dyDescent="0.25">
      <c r="B1" s="6" t="s">
        <v>0</v>
      </c>
      <c r="D1" s="1"/>
      <c r="E1" s="1"/>
      <c r="F1" s="3"/>
      <c r="G1" s="2"/>
      <c r="H1" s="2" t="b">
        <v>0</v>
      </c>
    </row>
    <row r="2" spans="1:8" x14ac:dyDescent="0.25">
      <c r="B2" s="33" t="s">
        <v>2</v>
      </c>
      <c r="D2" s="1"/>
      <c r="E2" s="1"/>
      <c r="F2" s="3"/>
      <c r="G2" s="2"/>
      <c r="H2" s="2" t="s">
        <v>1</v>
      </c>
    </row>
    <row r="3" spans="1:8" x14ac:dyDescent="0.25">
      <c r="B3" s="33" t="s">
        <v>3</v>
      </c>
      <c r="D3" s="1"/>
      <c r="E3" s="1"/>
      <c r="F3" s="3"/>
      <c r="G3" s="2"/>
      <c r="H3" s="2"/>
    </row>
    <row r="4" spans="1:8" x14ac:dyDescent="0.25">
      <c r="B4" s="33" t="s">
        <v>4</v>
      </c>
      <c r="D4" s="1"/>
      <c r="E4" s="1"/>
      <c r="F4" s="3"/>
      <c r="G4" s="2"/>
      <c r="H4" s="2"/>
    </row>
    <row r="5" spans="1:8" ht="16.5" thickBot="1" x14ac:dyDescent="0.3">
      <c r="D5" s="9"/>
      <c r="E5" s="9"/>
      <c r="F5" s="10"/>
      <c r="G5" s="2"/>
      <c r="H5" s="2"/>
    </row>
    <row r="6" spans="1:8" ht="28.5" x14ac:dyDescent="0.45">
      <c r="B6" s="37" t="s">
        <v>106</v>
      </c>
      <c r="C6" s="41" t="s">
        <v>24</v>
      </c>
      <c r="D6" s="41"/>
      <c r="E6" s="41"/>
      <c r="F6" s="42"/>
    </row>
    <row r="7" spans="1:8" s="14" customFormat="1" x14ac:dyDescent="0.25">
      <c r="A7" s="4"/>
      <c r="B7" s="51" t="s">
        <v>15</v>
      </c>
      <c r="C7" s="45" t="s">
        <v>26</v>
      </c>
      <c r="D7" s="11"/>
      <c r="E7" s="11"/>
      <c r="F7" s="13"/>
      <c r="G7" s="49"/>
      <c r="H7" s="12"/>
    </row>
    <row r="8" spans="1:8" x14ac:dyDescent="0.25">
      <c r="B8" s="43" t="s">
        <v>13</v>
      </c>
      <c r="C8" s="47" t="s">
        <v>27</v>
      </c>
      <c r="D8" s="30"/>
      <c r="E8" s="40" t="s">
        <v>8</v>
      </c>
      <c r="F8" s="17"/>
      <c r="G8" s="22"/>
      <c r="H8" s="18" t="str">
        <f>IF(D9="x",H$2,H$1)</f>
        <v>CORRECTO</v>
      </c>
    </row>
    <row r="9" spans="1:8" x14ac:dyDescent="0.25">
      <c r="B9" s="43" t="s">
        <v>13</v>
      </c>
      <c r="C9" t="s">
        <v>28</v>
      </c>
      <c r="D9" s="30" t="s">
        <v>254</v>
      </c>
      <c r="E9" s="40" t="s">
        <v>9</v>
      </c>
      <c r="F9" s="19" t="str">
        <f>IF(H10=1,IF(H8=H$2,H8,""),"")</f>
        <v>CORRECTO</v>
      </c>
      <c r="G9" s="22"/>
      <c r="H9" s="18">
        <f>IF(E$127="comprobar",COUNTIF(D8:D12,"x"),"")</f>
        <v>1</v>
      </c>
    </row>
    <row r="10" spans="1:8" x14ac:dyDescent="0.25">
      <c r="B10" s="43" t="s">
        <v>13</v>
      </c>
      <c r="C10" s="48" t="s">
        <v>29</v>
      </c>
      <c r="D10" s="30"/>
      <c r="E10" s="40" t="s">
        <v>10</v>
      </c>
      <c r="F10" s="20" t="str">
        <f>IF(H10=-0.33,IF(H8=H$1,H8,""),"")</f>
        <v/>
      </c>
      <c r="G10" s="22"/>
      <c r="H10" s="21">
        <f>IF(H9=1,IF(H8=H$2,1,-0.33),0)</f>
        <v>1</v>
      </c>
    </row>
    <row r="11" spans="1:8" x14ac:dyDescent="0.25">
      <c r="B11" s="43" t="s">
        <v>13</v>
      </c>
      <c r="C11" s="48"/>
      <c r="D11" s="30"/>
      <c r="E11" s="40" t="s">
        <v>11</v>
      </c>
      <c r="F11" s="17"/>
      <c r="G11" s="22"/>
      <c r="H11" s="21"/>
    </row>
    <row r="12" spans="1:8" x14ac:dyDescent="0.25">
      <c r="B12" s="46"/>
      <c r="C12" s="15"/>
      <c r="D12" s="30"/>
      <c r="E12" s="40" t="s">
        <v>12</v>
      </c>
      <c r="F12" s="17"/>
      <c r="G12" s="16"/>
      <c r="H12" s="21"/>
    </row>
    <row r="13" spans="1:8" s="14" customFormat="1" x14ac:dyDescent="0.25">
      <c r="A13" s="4"/>
      <c r="B13" s="44" t="s">
        <v>14</v>
      </c>
      <c r="C13" s="52" t="s">
        <v>30</v>
      </c>
      <c r="D13" s="31"/>
      <c r="E13" s="11"/>
      <c r="F13" s="13"/>
      <c r="G13" s="49"/>
      <c r="H13" s="12"/>
    </row>
    <row r="14" spans="1:8" x14ac:dyDescent="0.25">
      <c r="B14" s="43" t="s">
        <v>13</v>
      </c>
      <c r="C14" s="47" t="s">
        <v>31</v>
      </c>
      <c r="D14" s="30" t="s">
        <v>254</v>
      </c>
      <c r="E14" s="40" t="s">
        <v>8</v>
      </c>
      <c r="F14" s="17"/>
      <c r="G14" s="22"/>
      <c r="H14" s="18" t="str">
        <f>IF(D14="x",H$2,H$1)</f>
        <v>CORRECTO</v>
      </c>
    </row>
    <row r="15" spans="1:8" x14ac:dyDescent="0.25">
      <c r="B15" s="43" t="s">
        <v>13</v>
      </c>
      <c r="C15" t="s">
        <v>32</v>
      </c>
      <c r="D15" s="30"/>
      <c r="E15" s="40" t="s">
        <v>9</v>
      </c>
      <c r="F15" s="19" t="str">
        <f>IF(H16=1,IF(H14=H$2,H14,""),"")</f>
        <v>CORRECTO</v>
      </c>
      <c r="G15" s="22"/>
      <c r="H15" s="18">
        <f>IF(E$127="comprobar",COUNTIF(D14:D18,"x"),"")</f>
        <v>1</v>
      </c>
    </row>
    <row r="16" spans="1:8" x14ac:dyDescent="0.25">
      <c r="B16" s="43" t="s">
        <v>13</v>
      </c>
      <c r="C16" s="48" t="s">
        <v>33</v>
      </c>
      <c r="D16" s="30"/>
      <c r="E16" s="40" t="s">
        <v>10</v>
      </c>
      <c r="F16" s="20" t="str">
        <f>IF(H16=-0.33,IF(H14=H$1,H14,""),"")</f>
        <v/>
      </c>
      <c r="G16" s="22"/>
      <c r="H16" s="21">
        <f t="shared" ref="H16" si="0">IF(H15=1,IF(H14=H$2,1,-0.33),0)</f>
        <v>1</v>
      </c>
    </row>
    <row r="17" spans="1:8" x14ac:dyDescent="0.25">
      <c r="B17" s="43" t="s">
        <v>13</v>
      </c>
      <c r="C17" s="48"/>
      <c r="D17" s="30"/>
      <c r="E17" s="40" t="s">
        <v>11</v>
      </c>
      <c r="F17" s="17"/>
      <c r="G17" s="22"/>
      <c r="H17" s="21"/>
    </row>
    <row r="18" spans="1:8" x14ac:dyDescent="0.25">
      <c r="B18" s="46"/>
      <c r="C18" s="15"/>
      <c r="D18" s="30"/>
      <c r="E18" s="40" t="s">
        <v>12</v>
      </c>
      <c r="F18" s="17"/>
      <c r="G18" s="16"/>
      <c r="H18" s="21"/>
    </row>
    <row r="19" spans="1:8" s="14" customFormat="1" x14ac:dyDescent="0.25">
      <c r="A19" s="4"/>
      <c r="B19" s="44" t="s">
        <v>16</v>
      </c>
      <c r="C19" s="45" t="s">
        <v>34</v>
      </c>
      <c r="D19" s="31"/>
      <c r="E19" s="11"/>
      <c r="F19" s="13"/>
      <c r="G19" s="23"/>
      <c r="H19" s="12"/>
    </row>
    <row r="20" spans="1:8" x14ac:dyDescent="0.25">
      <c r="B20" s="43" t="s">
        <v>13</v>
      </c>
      <c r="C20" s="47" t="s">
        <v>35</v>
      </c>
      <c r="D20" s="30"/>
      <c r="E20" s="40" t="s">
        <v>8</v>
      </c>
      <c r="F20" s="17"/>
      <c r="G20" s="22"/>
      <c r="H20" s="18" t="str">
        <f>IF(D21="x",H$2,H$1)</f>
        <v>CORRECTO</v>
      </c>
    </row>
    <row r="21" spans="1:8" x14ac:dyDescent="0.25">
      <c r="B21" s="43" t="s">
        <v>13</v>
      </c>
      <c r="C21" t="s">
        <v>36</v>
      </c>
      <c r="D21" s="30" t="s">
        <v>254</v>
      </c>
      <c r="E21" s="40" t="s">
        <v>9</v>
      </c>
      <c r="F21" s="19" t="str">
        <f>IF(H22=1,IF(H20=H$2,H20,""),"")</f>
        <v>CORRECTO</v>
      </c>
      <c r="G21" s="22"/>
      <c r="H21" s="18">
        <f>IF(E$127="comprobar",COUNTIF(D20:D24,"x"),"")</f>
        <v>1</v>
      </c>
    </row>
    <row r="22" spans="1:8" x14ac:dyDescent="0.25">
      <c r="B22" s="43" t="s">
        <v>13</v>
      </c>
      <c r="C22" s="48" t="s">
        <v>37</v>
      </c>
      <c r="D22" s="30"/>
      <c r="E22" s="40" t="s">
        <v>10</v>
      </c>
      <c r="F22" s="20" t="str">
        <f>IF(H22=-0.33,IF(H20=H$1,H20,""),"")</f>
        <v/>
      </c>
      <c r="G22" s="22"/>
      <c r="H22" s="21">
        <f t="shared" ref="H22" si="1">IF(H21=1,IF(H20=H$2,1,-0.33),0)</f>
        <v>1</v>
      </c>
    </row>
    <row r="23" spans="1:8" x14ac:dyDescent="0.25">
      <c r="B23" s="43" t="s">
        <v>13</v>
      </c>
      <c r="C23" s="48"/>
      <c r="D23" s="30"/>
      <c r="E23" s="40" t="s">
        <v>11</v>
      </c>
      <c r="F23" s="17"/>
      <c r="G23" s="22"/>
      <c r="H23" s="21"/>
    </row>
    <row r="24" spans="1:8" x14ac:dyDescent="0.25">
      <c r="B24" s="46"/>
      <c r="C24" s="15"/>
      <c r="D24" s="30"/>
      <c r="E24" s="40" t="s">
        <v>12</v>
      </c>
      <c r="F24" s="17"/>
      <c r="G24" s="16"/>
      <c r="H24" s="21"/>
    </row>
    <row r="25" spans="1:8" s="14" customFormat="1" x14ac:dyDescent="0.25">
      <c r="A25" s="4"/>
      <c r="B25" s="44" t="s">
        <v>17</v>
      </c>
      <c r="C25" s="45" t="s">
        <v>42</v>
      </c>
      <c r="D25" s="31"/>
      <c r="E25" s="11"/>
      <c r="F25" s="13"/>
      <c r="G25" s="23"/>
      <c r="H25" s="12"/>
    </row>
    <row r="26" spans="1:8" x14ac:dyDescent="0.25">
      <c r="B26" s="43" t="s">
        <v>13</v>
      </c>
      <c r="C26" s="47" t="s">
        <v>43</v>
      </c>
      <c r="D26" s="30"/>
      <c r="E26" s="40" t="s">
        <v>8</v>
      </c>
      <c r="F26" s="17"/>
      <c r="G26" s="22"/>
      <c r="H26" s="18" t="str">
        <f>IF(D28="x",H$2,H$1)</f>
        <v>CORRECTO</v>
      </c>
    </row>
    <row r="27" spans="1:8" x14ac:dyDescent="0.25">
      <c r="B27" s="43" t="s">
        <v>13</v>
      </c>
      <c r="C27" t="s">
        <v>44</v>
      </c>
      <c r="D27" s="30"/>
      <c r="E27" s="40" t="s">
        <v>9</v>
      </c>
      <c r="F27" s="19" t="str">
        <f>IF(H28=1,IF(H26=H$2,H26,""),"")</f>
        <v>CORRECTO</v>
      </c>
      <c r="G27" s="22"/>
      <c r="H27" s="18">
        <f>IF(E$127="comprobar",COUNTIF(D26:D30,"x"),"")</f>
        <v>1</v>
      </c>
    </row>
    <row r="28" spans="1:8" x14ac:dyDescent="0.25">
      <c r="B28" s="43" t="s">
        <v>13</v>
      </c>
      <c r="C28" s="48" t="s">
        <v>45</v>
      </c>
      <c r="D28" s="30" t="s">
        <v>254</v>
      </c>
      <c r="E28" s="40" t="s">
        <v>10</v>
      </c>
      <c r="F28" s="20" t="str">
        <f>IF(H28=-0.33,IF(H26=H$1,H26,""),"")</f>
        <v/>
      </c>
      <c r="G28" s="22"/>
      <c r="H28" s="21">
        <f t="shared" ref="H28" si="2">IF(H27=1,IF(H26=H$2,1,-0.33),0)</f>
        <v>1</v>
      </c>
    </row>
    <row r="29" spans="1:8" x14ac:dyDescent="0.25">
      <c r="B29" s="43" t="s">
        <v>13</v>
      </c>
      <c r="C29" s="48"/>
      <c r="D29" s="30"/>
      <c r="E29" s="40" t="s">
        <v>11</v>
      </c>
      <c r="F29" s="17"/>
      <c r="G29" s="22"/>
      <c r="H29" s="21"/>
    </row>
    <row r="30" spans="1:8" x14ac:dyDescent="0.25">
      <c r="B30" s="46"/>
      <c r="C30" s="15"/>
      <c r="D30" s="30"/>
      <c r="E30" s="40" t="s">
        <v>12</v>
      </c>
      <c r="F30" s="17"/>
      <c r="G30" s="16"/>
      <c r="H30" s="21"/>
    </row>
    <row r="31" spans="1:8" s="14" customFormat="1" x14ac:dyDescent="0.25">
      <c r="A31" s="4"/>
      <c r="B31" s="44" t="s">
        <v>18</v>
      </c>
      <c r="C31" s="45" t="s">
        <v>38</v>
      </c>
      <c r="D31" s="31"/>
      <c r="E31" s="11"/>
      <c r="F31" s="13"/>
      <c r="G31" s="23"/>
      <c r="H31" s="12"/>
    </row>
    <row r="32" spans="1:8" x14ac:dyDescent="0.25">
      <c r="B32" s="43" t="s">
        <v>13</v>
      </c>
      <c r="C32" s="47" t="s">
        <v>39</v>
      </c>
      <c r="D32" s="30" t="s">
        <v>254</v>
      </c>
      <c r="E32" s="40" t="s">
        <v>8</v>
      </c>
      <c r="F32" s="17"/>
      <c r="G32" s="22"/>
      <c r="H32" s="18" t="str">
        <f>IF(D32="x",H$2,H$1)</f>
        <v>CORRECTO</v>
      </c>
    </row>
    <row r="33" spans="1:8" x14ac:dyDescent="0.25">
      <c r="B33" s="43" t="s">
        <v>13</v>
      </c>
      <c r="C33" t="s">
        <v>40</v>
      </c>
      <c r="D33" s="30"/>
      <c r="E33" s="40" t="s">
        <v>9</v>
      </c>
      <c r="F33" s="19" t="str">
        <f>IF(H34=1,IF(H32=H$2,H32,""),"")</f>
        <v>CORRECTO</v>
      </c>
      <c r="G33" s="22"/>
      <c r="H33" s="18">
        <f>IF(E$127="comprobar",COUNTIF(D32:D36,"x"),"")</f>
        <v>1</v>
      </c>
    </row>
    <row r="34" spans="1:8" x14ac:dyDescent="0.25">
      <c r="B34" s="43" t="s">
        <v>13</v>
      </c>
      <c r="C34" s="48" t="s">
        <v>41</v>
      </c>
      <c r="D34" s="30"/>
      <c r="E34" s="40" t="s">
        <v>10</v>
      </c>
      <c r="F34" s="20" t="str">
        <f>IF(H34=-0.33,IF(H32=H$1,H32,""),"")</f>
        <v/>
      </c>
      <c r="G34" s="22"/>
      <c r="H34" s="21">
        <f t="shared" ref="H34" si="3">IF(H33=1,IF(H32=H$2,1,-0.33),0)</f>
        <v>1</v>
      </c>
    </row>
    <row r="35" spans="1:8" x14ac:dyDescent="0.25">
      <c r="B35" s="43" t="s">
        <v>13</v>
      </c>
      <c r="C35" s="48"/>
      <c r="D35" s="30"/>
      <c r="E35" s="40" t="s">
        <v>11</v>
      </c>
      <c r="F35" s="17"/>
      <c r="G35" s="22"/>
      <c r="H35" s="21"/>
    </row>
    <row r="36" spans="1:8" x14ac:dyDescent="0.25">
      <c r="B36" s="46"/>
      <c r="C36" s="15"/>
      <c r="D36" s="30"/>
      <c r="E36" s="40" t="s">
        <v>12</v>
      </c>
      <c r="F36" s="17"/>
      <c r="G36" s="16"/>
      <c r="H36" s="21"/>
    </row>
    <row r="37" spans="1:8" s="14" customFormat="1" x14ac:dyDescent="0.25">
      <c r="A37" s="4"/>
      <c r="B37" s="44" t="s">
        <v>19</v>
      </c>
      <c r="C37" s="45" t="s">
        <v>46</v>
      </c>
      <c r="D37" s="31"/>
      <c r="E37" s="11"/>
      <c r="F37" s="13"/>
      <c r="G37" s="23"/>
      <c r="H37" s="12"/>
    </row>
    <row r="38" spans="1:8" x14ac:dyDescent="0.25">
      <c r="B38" s="43" t="s">
        <v>13</v>
      </c>
      <c r="C38" s="47" t="s">
        <v>47</v>
      </c>
      <c r="D38" s="30" t="s">
        <v>254</v>
      </c>
      <c r="E38" s="40" t="s">
        <v>8</v>
      </c>
      <c r="F38" s="17"/>
      <c r="G38" s="22"/>
      <c r="H38" s="18" t="str">
        <f>IF(D38="x",H$2,H$1)</f>
        <v>CORRECTO</v>
      </c>
    </row>
    <row r="39" spans="1:8" x14ac:dyDescent="0.25">
      <c r="B39" s="43" t="s">
        <v>13</v>
      </c>
      <c r="C39" t="s">
        <v>48</v>
      </c>
      <c r="D39" s="30"/>
      <c r="E39" s="40" t="s">
        <v>9</v>
      </c>
      <c r="F39" s="19" t="str">
        <f>IF(H40=1,IF(H38=H$2,H38,""),"")</f>
        <v>CORRECTO</v>
      </c>
      <c r="G39" s="22"/>
      <c r="H39" s="18">
        <f>IF(E$127="comprobar",COUNTIF(D38:D42,"x"),"")</f>
        <v>1</v>
      </c>
    </row>
    <row r="40" spans="1:8" x14ac:dyDescent="0.25">
      <c r="B40" s="43" t="s">
        <v>13</v>
      </c>
      <c r="C40" s="48" t="s">
        <v>49</v>
      </c>
      <c r="D40" s="30"/>
      <c r="E40" s="40" t="s">
        <v>10</v>
      </c>
      <c r="F40" s="20" t="str">
        <f>IF(H40=-0.33,IF(H38=H$1,H38,""),"")</f>
        <v/>
      </c>
      <c r="G40" s="22"/>
      <c r="H40" s="21">
        <f t="shared" ref="H40" si="4">IF(H39=1,IF(H38=H$2,1,-0.33),0)</f>
        <v>1</v>
      </c>
    </row>
    <row r="41" spans="1:8" x14ac:dyDescent="0.25">
      <c r="B41" s="43" t="s">
        <v>13</v>
      </c>
      <c r="C41" s="48"/>
      <c r="D41" s="30"/>
      <c r="E41" s="40" t="s">
        <v>11</v>
      </c>
      <c r="F41" s="17"/>
      <c r="G41" s="22"/>
      <c r="H41" s="21"/>
    </row>
    <row r="42" spans="1:8" x14ac:dyDescent="0.25">
      <c r="B42" s="46"/>
      <c r="C42" s="15"/>
      <c r="D42" s="30"/>
      <c r="E42" s="40" t="s">
        <v>12</v>
      </c>
      <c r="F42" s="17"/>
      <c r="G42" s="16"/>
      <c r="H42" s="21"/>
    </row>
    <row r="43" spans="1:8" s="14" customFormat="1" x14ac:dyDescent="0.25">
      <c r="A43" s="4"/>
      <c r="B43" s="44" t="s">
        <v>20</v>
      </c>
      <c r="C43" s="45" t="s">
        <v>50</v>
      </c>
      <c r="D43" s="31"/>
      <c r="E43" s="11"/>
      <c r="F43" s="13"/>
      <c r="G43" s="23"/>
      <c r="H43" s="12"/>
    </row>
    <row r="44" spans="1:8" x14ac:dyDescent="0.25">
      <c r="B44" s="43" t="s">
        <v>13</v>
      </c>
      <c r="C44" s="47" t="s">
        <v>51</v>
      </c>
      <c r="D44" s="30" t="s">
        <v>254</v>
      </c>
      <c r="E44" s="40" t="s">
        <v>8</v>
      </c>
      <c r="F44" s="17"/>
      <c r="G44" s="22"/>
      <c r="H44" s="18" t="str">
        <f>IF(D44="x",H$2,H$1)</f>
        <v>CORRECTO</v>
      </c>
    </row>
    <row r="45" spans="1:8" x14ac:dyDescent="0.25">
      <c r="B45" s="43" t="s">
        <v>13</v>
      </c>
      <c r="C45" t="s">
        <v>52</v>
      </c>
      <c r="D45" s="30"/>
      <c r="E45" s="40" t="s">
        <v>9</v>
      </c>
      <c r="F45" s="19" t="str">
        <f>IF(H46=1,IF(H44=H$2,H44,""),"")</f>
        <v>CORRECTO</v>
      </c>
      <c r="G45" s="22"/>
      <c r="H45" s="18">
        <f>IF(E$127="comprobar",COUNTIF(D44:D48,"x"),"")</f>
        <v>1</v>
      </c>
    </row>
    <row r="46" spans="1:8" x14ac:dyDescent="0.25">
      <c r="B46" s="43" t="s">
        <v>13</v>
      </c>
      <c r="C46" s="48" t="s">
        <v>53</v>
      </c>
      <c r="D46" s="30"/>
      <c r="E46" s="40" t="s">
        <v>10</v>
      </c>
      <c r="F46" s="20" t="str">
        <f>IF(H46=-0.33,IF(H44=H$1,H44,""),"")</f>
        <v/>
      </c>
      <c r="G46" s="22"/>
      <c r="H46" s="21">
        <f t="shared" ref="H46" si="5">IF(H45=1,IF(H44=H$2,1,-0.33),0)</f>
        <v>1</v>
      </c>
    </row>
    <row r="47" spans="1:8" x14ac:dyDescent="0.25">
      <c r="B47" s="43" t="s">
        <v>13</v>
      </c>
      <c r="C47" s="48"/>
      <c r="D47" s="30"/>
      <c r="E47" s="40" t="s">
        <v>11</v>
      </c>
      <c r="F47" s="17"/>
      <c r="G47" s="22"/>
      <c r="H47" s="21"/>
    </row>
    <row r="48" spans="1:8" x14ac:dyDescent="0.25">
      <c r="B48" s="46"/>
      <c r="C48" s="15"/>
      <c r="D48" s="30"/>
      <c r="E48" s="40" t="s">
        <v>12</v>
      </c>
      <c r="F48" s="17"/>
      <c r="G48" s="16"/>
      <c r="H48" s="21"/>
    </row>
    <row r="49" spans="1:9" s="14" customFormat="1" x14ac:dyDescent="0.25">
      <c r="A49" s="4"/>
      <c r="B49" s="44" t="s">
        <v>21</v>
      </c>
      <c r="C49" s="45" t="s">
        <v>54</v>
      </c>
      <c r="D49" s="31"/>
      <c r="E49" s="11"/>
      <c r="F49" s="13"/>
      <c r="G49" s="23"/>
      <c r="H49" s="12"/>
    </row>
    <row r="50" spans="1:9" x14ac:dyDescent="0.25">
      <c r="B50" s="43" t="s">
        <v>13</v>
      </c>
      <c r="C50" s="47" t="s">
        <v>55</v>
      </c>
      <c r="D50" s="30"/>
      <c r="E50" s="40" t="s">
        <v>8</v>
      </c>
      <c r="F50" s="17"/>
      <c r="G50" s="22"/>
      <c r="H50" s="18" t="str">
        <f>IF(D52="x",H$2,H$1)</f>
        <v>CORRECTO</v>
      </c>
    </row>
    <row r="51" spans="1:9" x14ac:dyDescent="0.25">
      <c r="B51" s="43" t="s">
        <v>13</v>
      </c>
      <c r="C51" t="s">
        <v>56</v>
      </c>
      <c r="D51" s="30"/>
      <c r="E51" s="40" t="s">
        <v>9</v>
      </c>
      <c r="F51" s="19" t="str">
        <f>IF(H52=1,IF(H50=H$2,H50,""),"")</f>
        <v>CORRECTO</v>
      </c>
      <c r="G51" s="22"/>
      <c r="H51" s="18">
        <f>IF(E$127="comprobar",COUNTIF(D50:D54,"x"),"")</f>
        <v>1</v>
      </c>
    </row>
    <row r="52" spans="1:9" x14ac:dyDescent="0.25">
      <c r="B52" s="43" t="s">
        <v>13</v>
      </c>
      <c r="C52" s="48" t="s">
        <v>57</v>
      </c>
      <c r="D52" s="30" t="s">
        <v>254</v>
      </c>
      <c r="E52" s="40" t="s">
        <v>10</v>
      </c>
      <c r="F52" s="20" t="str">
        <f>IF(H52=-0.33,IF(H50=H$1,H50,""),"")</f>
        <v/>
      </c>
      <c r="G52" s="22"/>
      <c r="H52" s="21">
        <f t="shared" ref="H52" si="6">IF(H51=1,IF(H50=H$2,1,-0.33),0)</f>
        <v>1</v>
      </c>
    </row>
    <row r="53" spans="1:9" x14ac:dyDescent="0.25">
      <c r="B53" s="43" t="s">
        <v>13</v>
      </c>
      <c r="C53" s="48"/>
      <c r="D53" s="30"/>
      <c r="E53" s="40" t="s">
        <v>11</v>
      </c>
      <c r="F53" s="17"/>
      <c r="G53" s="22"/>
      <c r="H53" s="21"/>
    </row>
    <row r="54" spans="1:9" x14ac:dyDescent="0.25">
      <c r="B54" s="46"/>
      <c r="C54" s="15"/>
      <c r="D54" s="30"/>
      <c r="E54" s="40" t="s">
        <v>12</v>
      </c>
      <c r="F54" s="17"/>
      <c r="G54" s="16"/>
      <c r="H54" s="21"/>
    </row>
    <row r="55" spans="1:9" x14ac:dyDescent="0.25">
      <c r="B55" s="44" t="s">
        <v>23</v>
      </c>
      <c r="C55" s="45" t="s">
        <v>58</v>
      </c>
      <c r="D55" s="31"/>
      <c r="E55" s="11"/>
      <c r="F55" s="13"/>
      <c r="G55" s="23"/>
      <c r="H55" s="12"/>
      <c r="I55" s="14"/>
    </row>
    <row r="56" spans="1:9" x14ac:dyDescent="0.25">
      <c r="B56" s="43" t="s">
        <v>13</v>
      </c>
      <c r="C56" s="47" t="s">
        <v>59</v>
      </c>
      <c r="D56" s="30" t="s">
        <v>254</v>
      </c>
      <c r="E56" s="50" t="s">
        <v>8</v>
      </c>
      <c r="F56" s="17"/>
      <c r="G56" s="22"/>
      <c r="H56" s="18" t="str">
        <f>IF(D56="x",H$2,H$1)</f>
        <v>CORRECTO</v>
      </c>
    </row>
    <row r="57" spans="1:9" x14ac:dyDescent="0.25">
      <c r="B57" s="43" t="s">
        <v>13</v>
      </c>
      <c r="C57" t="s">
        <v>60</v>
      </c>
      <c r="D57" s="30"/>
      <c r="E57" s="50" t="s">
        <v>9</v>
      </c>
      <c r="F57" s="19" t="str">
        <f>IF(H58=1,IF(H56=H$2,H56,""),"")</f>
        <v>CORRECTO</v>
      </c>
      <c r="G57" s="22"/>
      <c r="H57" s="18">
        <f>IF(E$127="comprobar",COUNTIF(D56:D60,"x"),"")</f>
        <v>1</v>
      </c>
    </row>
    <row r="58" spans="1:9" x14ac:dyDescent="0.25">
      <c r="B58" s="43" t="s">
        <v>13</v>
      </c>
      <c r="C58" s="48" t="s">
        <v>61</v>
      </c>
      <c r="D58" s="30"/>
      <c r="E58" s="50" t="s">
        <v>10</v>
      </c>
      <c r="F58" s="20" t="str">
        <f>IF(H58=-0.33,IF(H56=H$1,H56,""),"")</f>
        <v/>
      </c>
      <c r="G58" s="22"/>
      <c r="H58" s="21">
        <f t="shared" ref="H58" si="7">IF(H57=1,IF(H56=H$2,1,-0.33),0)</f>
        <v>1</v>
      </c>
    </row>
    <row r="59" spans="1:9" x14ac:dyDescent="0.25">
      <c r="B59" s="43" t="s">
        <v>13</v>
      </c>
      <c r="C59" s="48"/>
      <c r="D59" s="30"/>
      <c r="E59" s="50" t="s">
        <v>11</v>
      </c>
      <c r="F59" s="17"/>
      <c r="G59" s="22"/>
      <c r="H59" s="21"/>
    </row>
    <row r="60" spans="1:9" x14ac:dyDescent="0.25">
      <c r="B60" s="46"/>
      <c r="C60" s="15"/>
      <c r="D60" s="30"/>
      <c r="E60" s="50" t="s">
        <v>12</v>
      </c>
      <c r="F60" s="17"/>
      <c r="G60" s="16"/>
      <c r="H60" s="21"/>
    </row>
    <row r="61" spans="1:9" x14ac:dyDescent="0.25">
      <c r="B61" s="44" t="s">
        <v>22</v>
      </c>
      <c r="C61" s="45" t="s">
        <v>62</v>
      </c>
      <c r="D61" s="31"/>
      <c r="E61" s="11"/>
      <c r="F61" s="13"/>
      <c r="G61" s="23"/>
      <c r="H61" s="12"/>
      <c r="I61" s="14"/>
    </row>
    <row r="62" spans="1:9" x14ac:dyDescent="0.25">
      <c r="B62" s="43" t="s">
        <v>13</v>
      </c>
      <c r="C62" s="47" t="s">
        <v>63</v>
      </c>
      <c r="D62" s="30"/>
      <c r="E62" s="50" t="s">
        <v>8</v>
      </c>
      <c r="F62" s="17"/>
      <c r="G62" s="22"/>
      <c r="H62" s="18" t="str">
        <f>IF(D64="x",H$2,H$1)</f>
        <v>CORRECTO</v>
      </c>
    </row>
    <row r="63" spans="1:9" x14ac:dyDescent="0.25">
      <c r="B63" s="43" t="s">
        <v>13</v>
      </c>
      <c r="C63" t="s">
        <v>64</v>
      </c>
      <c r="D63" s="30"/>
      <c r="E63" s="50" t="s">
        <v>9</v>
      </c>
      <c r="F63" s="19" t="str">
        <f>IF(H64=1,IF(H62=H$2,H62,""),"")</f>
        <v>CORRECTO</v>
      </c>
      <c r="G63" s="22"/>
      <c r="H63" s="18">
        <f>IF(E$127="comprobar",COUNTIF(D62:D66,"x"),"")</f>
        <v>1</v>
      </c>
    </row>
    <row r="64" spans="1:9" x14ac:dyDescent="0.25">
      <c r="B64" s="43" t="s">
        <v>13</v>
      </c>
      <c r="C64" s="48" t="s">
        <v>65</v>
      </c>
      <c r="D64" s="30" t="s">
        <v>254</v>
      </c>
      <c r="E64" s="50" t="s">
        <v>10</v>
      </c>
      <c r="F64" s="20" t="str">
        <f>IF(H64=-0.33,IF(H62=H$1,H62,""),"")</f>
        <v/>
      </c>
      <c r="G64" s="22"/>
      <c r="H64" s="21">
        <f t="shared" ref="H64" si="8">IF(H63=1,IF(H62=H$2,1,-0.33),0)</f>
        <v>1</v>
      </c>
    </row>
    <row r="65" spans="2:9" x14ac:dyDescent="0.25">
      <c r="B65" s="43" t="s">
        <v>13</v>
      </c>
      <c r="C65" s="48"/>
      <c r="D65" s="30"/>
      <c r="E65" s="50" t="s">
        <v>11</v>
      </c>
      <c r="F65" s="17"/>
      <c r="G65" s="22"/>
      <c r="H65" s="21"/>
    </row>
    <row r="66" spans="2:9" x14ac:dyDescent="0.25">
      <c r="B66" s="46"/>
      <c r="C66" s="15"/>
      <c r="D66" s="30"/>
      <c r="E66" s="50" t="s">
        <v>12</v>
      </c>
      <c r="F66" s="17"/>
      <c r="G66" s="16"/>
      <c r="H66" s="21"/>
    </row>
    <row r="67" spans="2:9" x14ac:dyDescent="0.25">
      <c r="B67" s="44" t="s">
        <v>137</v>
      </c>
      <c r="C67" s="45" t="s">
        <v>66</v>
      </c>
      <c r="D67" s="31"/>
      <c r="E67" s="11"/>
      <c r="F67" s="13"/>
      <c r="G67" s="23"/>
      <c r="H67" s="12"/>
      <c r="I67" s="14"/>
    </row>
    <row r="68" spans="2:9" x14ac:dyDescent="0.25">
      <c r="B68" s="43" t="s">
        <v>13</v>
      </c>
      <c r="C68" s="47" t="s">
        <v>67</v>
      </c>
      <c r="D68" s="30" t="s">
        <v>254</v>
      </c>
      <c r="E68" s="57" t="s">
        <v>8</v>
      </c>
      <c r="F68" s="17"/>
      <c r="G68" s="22"/>
      <c r="H68" s="18" t="str">
        <f>IF(D68="x",H$2,H$1)</f>
        <v>CORRECTO</v>
      </c>
    </row>
    <row r="69" spans="2:9" x14ac:dyDescent="0.25">
      <c r="B69" s="43" t="s">
        <v>13</v>
      </c>
      <c r="C69" t="s">
        <v>68</v>
      </c>
      <c r="D69" s="30"/>
      <c r="E69" s="57" t="s">
        <v>9</v>
      </c>
      <c r="F69" s="19" t="str">
        <f>IF(H70=1,IF(H68=H$2,H68,""),"")</f>
        <v>CORRECTO</v>
      </c>
      <c r="G69" s="22"/>
      <c r="H69" s="18">
        <f>IF(E$127="comprobar",COUNTIF(D68:D72,"x"),"")</f>
        <v>1</v>
      </c>
    </row>
    <row r="70" spans="2:9" x14ac:dyDescent="0.25">
      <c r="B70" s="43" t="s">
        <v>13</v>
      </c>
      <c r="C70" s="48" t="s">
        <v>69</v>
      </c>
      <c r="D70" s="30"/>
      <c r="E70" s="57" t="s">
        <v>10</v>
      </c>
      <c r="F70" s="20" t="str">
        <f>IF(H70=-0.33,IF(H68=H$1,H68,""),"")</f>
        <v/>
      </c>
      <c r="G70" s="22"/>
      <c r="H70" s="21">
        <f t="shared" ref="H70" si="9">IF(H69=1,IF(H68=H$2,1,-0.33),0)</f>
        <v>1</v>
      </c>
    </row>
    <row r="71" spans="2:9" x14ac:dyDescent="0.25">
      <c r="B71" s="43" t="s">
        <v>13</v>
      </c>
      <c r="C71" s="48"/>
      <c r="D71" s="30"/>
      <c r="E71" s="57" t="s">
        <v>11</v>
      </c>
      <c r="F71" s="17"/>
      <c r="G71" s="22"/>
      <c r="H71" s="21"/>
    </row>
    <row r="72" spans="2:9" x14ac:dyDescent="0.25">
      <c r="B72" s="46"/>
      <c r="C72" s="15"/>
      <c r="D72" s="30"/>
      <c r="E72" s="57" t="s">
        <v>12</v>
      </c>
      <c r="F72" s="17"/>
      <c r="G72" s="16"/>
      <c r="H72" s="21"/>
    </row>
    <row r="73" spans="2:9" x14ac:dyDescent="0.25">
      <c r="B73" s="44" t="s">
        <v>138</v>
      </c>
      <c r="C73" s="45" t="s">
        <v>70</v>
      </c>
      <c r="D73" s="31"/>
      <c r="E73" s="11"/>
      <c r="F73" s="13"/>
      <c r="G73" s="23"/>
      <c r="H73" s="12"/>
      <c r="I73" s="14"/>
    </row>
    <row r="74" spans="2:9" x14ac:dyDescent="0.25">
      <c r="B74" s="43" t="s">
        <v>13</v>
      </c>
      <c r="C74" s="47" t="s">
        <v>71</v>
      </c>
      <c r="D74" s="30"/>
      <c r="E74" s="57" t="s">
        <v>8</v>
      </c>
      <c r="F74" s="17"/>
      <c r="G74" s="22"/>
      <c r="H74" s="18" t="str">
        <f>IF(D76="x",H$2,H$1)</f>
        <v>CORRECTO</v>
      </c>
    </row>
    <row r="75" spans="2:9" x14ac:dyDescent="0.25">
      <c r="B75" s="43" t="s">
        <v>13</v>
      </c>
      <c r="C75" t="s">
        <v>72</v>
      </c>
      <c r="D75" s="30"/>
      <c r="E75" s="57" t="s">
        <v>9</v>
      </c>
      <c r="F75" s="19" t="str">
        <f>IF(H76=1,IF(H74=H$2,H74,""),"")</f>
        <v>CORRECTO</v>
      </c>
      <c r="G75" s="22"/>
      <c r="H75" s="18">
        <f>IF(E$127="comprobar",COUNTIF(D74:D78,"x"),"")</f>
        <v>1</v>
      </c>
    </row>
    <row r="76" spans="2:9" x14ac:dyDescent="0.25">
      <c r="B76" s="43" t="s">
        <v>13</v>
      </c>
      <c r="C76" s="48" t="s">
        <v>73</v>
      </c>
      <c r="D76" s="30" t="s">
        <v>254</v>
      </c>
      <c r="E76" s="57" t="s">
        <v>10</v>
      </c>
      <c r="F76" s="20" t="str">
        <f>IF(H76=-0.33,IF(H74=H$1,H74,""),"")</f>
        <v/>
      </c>
      <c r="G76" s="22"/>
      <c r="H76" s="21">
        <f t="shared" ref="H76" si="10">IF(H75=1,IF(H74=H$2,1,-0.33),0)</f>
        <v>1</v>
      </c>
    </row>
    <row r="77" spans="2:9" x14ac:dyDescent="0.25">
      <c r="B77" s="43" t="s">
        <v>13</v>
      </c>
      <c r="C77" s="48"/>
      <c r="D77" s="30"/>
      <c r="E77" s="57" t="s">
        <v>11</v>
      </c>
      <c r="F77" s="17"/>
      <c r="G77" s="22"/>
      <c r="H77" s="21"/>
    </row>
    <row r="78" spans="2:9" x14ac:dyDescent="0.25">
      <c r="B78" s="46"/>
      <c r="C78" s="15"/>
      <c r="D78" s="30"/>
      <c r="E78" s="57" t="s">
        <v>12</v>
      </c>
      <c r="F78" s="17"/>
      <c r="G78" s="16"/>
      <c r="H78" s="21"/>
    </row>
    <row r="79" spans="2:9" x14ac:dyDescent="0.25">
      <c r="B79" s="44" t="s">
        <v>139</v>
      </c>
      <c r="C79" s="45" t="s">
        <v>74</v>
      </c>
      <c r="D79" s="31"/>
      <c r="E79" s="11"/>
      <c r="F79" s="13"/>
      <c r="G79" s="23"/>
      <c r="H79" s="12"/>
      <c r="I79" s="14"/>
    </row>
    <row r="80" spans="2:9" x14ac:dyDescent="0.25">
      <c r="B80" s="43" t="s">
        <v>13</v>
      </c>
      <c r="C80" s="47" t="s">
        <v>75</v>
      </c>
      <c r="D80" s="30"/>
      <c r="E80" s="57" t="s">
        <v>8</v>
      </c>
      <c r="F80" s="17"/>
      <c r="G80" s="22"/>
      <c r="H80" s="18" t="str">
        <f>IF(D82="x",H$2,H$1)</f>
        <v>CORRECTO</v>
      </c>
    </row>
    <row r="81" spans="2:9" x14ac:dyDescent="0.25">
      <c r="B81" s="43" t="s">
        <v>13</v>
      </c>
      <c r="C81" t="s">
        <v>76</v>
      </c>
      <c r="D81" s="30"/>
      <c r="E81" s="57" t="s">
        <v>9</v>
      </c>
      <c r="F81" s="19" t="str">
        <f>IF(H82=1,IF(H80=H$2,H80,""),"")</f>
        <v>CORRECTO</v>
      </c>
      <c r="G81" s="22"/>
      <c r="H81" s="18">
        <f>IF(E$127="comprobar",COUNTIF(D80:D84,"x"),"")</f>
        <v>1</v>
      </c>
    </row>
    <row r="82" spans="2:9" x14ac:dyDescent="0.25">
      <c r="B82" s="43" t="s">
        <v>13</v>
      </c>
      <c r="C82" s="48" t="s">
        <v>77</v>
      </c>
      <c r="D82" s="30" t="s">
        <v>254</v>
      </c>
      <c r="E82" s="57" t="s">
        <v>10</v>
      </c>
      <c r="F82" s="20" t="str">
        <f>IF(H82=-0.33,IF(H80=H$1,H80,""),"")</f>
        <v/>
      </c>
      <c r="G82" s="22"/>
      <c r="H82" s="21">
        <f t="shared" ref="H82" si="11">IF(H81=1,IF(H80=H$2,1,-0.33),0)</f>
        <v>1</v>
      </c>
    </row>
    <row r="83" spans="2:9" x14ac:dyDescent="0.25">
      <c r="B83" s="43" t="s">
        <v>13</v>
      </c>
      <c r="C83" s="48"/>
      <c r="D83" s="30"/>
      <c r="E83" s="57" t="s">
        <v>11</v>
      </c>
      <c r="F83" s="17"/>
      <c r="G83" s="22"/>
      <c r="H83" s="21"/>
    </row>
    <row r="84" spans="2:9" x14ac:dyDescent="0.25">
      <c r="B84" s="46"/>
      <c r="C84" s="15"/>
      <c r="D84" s="30"/>
      <c r="E84" s="57" t="s">
        <v>12</v>
      </c>
      <c r="F84" s="17"/>
      <c r="G84" s="16"/>
      <c r="H84" s="21"/>
    </row>
    <row r="85" spans="2:9" x14ac:dyDescent="0.25">
      <c r="B85" s="44" t="s">
        <v>140</v>
      </c>
      <c r="C85" s="45" t="s">
        <v>78</v>
      </c>
      <c r="D85" s="31"/>
      <c r="E85" s="11"/>
      <c r="F85" s="13"/>
      <c r="G85" s="23"/>
      <c r="H85" s="12"/>
      <c r="I85" s="14"/>
    </row>
    <row r="86" spans="2:9" x14ac:dyDescent="0.25">
      <c r="B86" s="43" t="s">
        <v>13</v>
      </c>
      <c r="C86" s="47" t="s">
        <v>79</v>
      </c>
      <c r="D86" s="30"/>
      <c r="E86" s="57" t="s">
        <v>8</v>
      </c>
      <c r="F86" s="17"/>
      <c r="G86" s="22"/>
      <c r="H86" s="18" t="str">
        <f>IF(D87="x",H$2,H$1)</f>
        <v>CORRECTO</v>
      </c>
    </row>
    <row r="87" spans="2:9" x14ac:dyDescent="0.25">
      <c r="B87" s="43" t="s">
        <v>13</v>
      </c>
      <c r="C87" t="s">
        <v>80</v>
      </c>
      <c r="D87" s="30" t="s">
        <v>254</v>
      </c>
      <c r="E87" s="57" t="s">
        <v>9</v>
      </c>
      <c r="F87" s="19" t="str">
        <f>IF(H88=1,IF(H86=H$2,H86,""),"")</f>
        <v>CORRECTO</v>
      </c>
      <c r="G87" s="22"/>
      <c r="H87" s="18">
        <f>IF(E$127="comprobar",COUNTIF(D86:D90,"x"),"")</f>
        <v>1</v>
      </c>
    </row>
    <row r="88" spans="2:9" x14ac:dyDescent="0.25">
      <c r="B88" s="43" t="s">
        <v>13</v>
      </c>
      <c r="C88" s="48" t="s">
        <v>81</v>
      </c>
      <c r="D88" s="30"/>
      <c r="E88" s="57" t="s">
        <v>10</v>
      </c>
      <c r="F88" s="20" t="str">
        <f>IF(H88=-0.33,IF(H86=H$1,H86,""),"")</f>
        <v/>
      </c>
      <c r="G88" s="22"/>
      <c r="H88" s="21">
        <f t="shared" ref="H88" si="12">IF(H87=1,IF(H86=H$2,1,-0.33),0)</f>
        <v>1</v>
      </c>
    </row>
    <row r="89" spans="2:9" x14ac:dyDescent="0.25">
      <c r="B89" s="43" t="s">
        <v>13</v>
      </c>
      <c r="C89" s="48"/>
      <c r="D89" s="30"/>
      <c r="E89" s="57" t="s">
        <v>11</v>
      </c>
      <c r="F89" s="17"/>
      <c r="G89" s="22"/>
      <c r="H89" s="21"/>
    </row>
    <row r="90" spans="2:9" x14ac:dyDescent="0.25">
      <c r="B90" s="46"/>
      <c r="C90" s="15"/>
      <c r="D90" s="30"/>
      <c r="E90" s="57" t="s">
        <v>12</v>
      </c>
      <c r="F90" s="17"/>
      <c r="G90" s="16"/>
      <c r="H90" s="21"/>
    </row>
    <row r="91" spans="2:9" x14ac:dyDescent="0.25">
      <c r="B91" s="44" t="s">
        <v>141</v>
      </c>
      <c r="C91" s="45" t="s">
        <v>82</v>
      </c>
      <c r="D91" s="31"/>
      <c r="E91" s="11"/>
      <c r="F91" s="13"/>
      <c r="G91" s="23"/>
      <c r="H91" s="12"/>
      <c r="I91" s="14"/>
    </row>
    <row r="92" spans="2:9" x14ac:dyDescent="0.25">
      <c r="B92" s="43" t="s">
        <v>13</v>
      </c>
      <c r="C92" s="47" t="s">
        <v>83</v>
      </c>
      <c r="D92" s="30"/>
      <c r="E92" s="57" t="s">
        <v>8</v>
      </c>
      <c r="F92" s="17"/>
      <c r="G92" s="22"/>
      <c r="H92" s="18" t="str">
        <f>IF(D93="x",H$2,H$1)</f>
        <v>CORRECTO</v>
      </c>
    </row>
    <row r="93" spans="2:9" x14ac:dyDescent="0.25">
      <c r="B93" s="43" t="s">
        <v>13</v>
      </c>
      <c r="C93" t="s">
        <v>84</v>
      </c>
      <c r="D93" s="30" t="s">
        <v>254</v>
      </c>
      <c r="E93" s="57" t="s">
        <v>9</v>
      </c>
      <c r="F93" s="19" t="str">
        <f>IF(H94=1,IF(H92=H$2,H92,""),"")</f>
        <v>CORRECTO</v>
      </c>
      <c r="G93" s="22"/>
      <c r="H93" s="18">
        <f>IF(E$127="comprobar",COUNTIF(D92:D96,"x"),"")</f>
        <v>1</v>
      </c>
    </row>
    <row r="94" spans="2:9" x14ac:dyDescent="0.25">
      <c r="B94" s="43" t="s">
        <v>13</v>
      </c>
      <c r="C94" s="48" t="s">
        <v>85</v>
      </c>
      <c r="D94" s="30"/>
      <c r="E94" s="57" t="s">
        <v>10</v>
      </c>
      <c r="F94" s="20" t="str">
        <f>IF(H94=-0.33,IF(H92=H$1,H92,""),"")</f>
        <v/>
      </c>
      <c r="G94" s="22"/>
      <c r="H94" s="21">
        <f t="shared" ref="H94" si="13">IF(H93=1,IF(H92=H$2,1,-0.33),0)</f>
        <v>1</v>
      </c>
    </row>
    <row r="95" spans="2:9" x14ac:dyDescent="0.25">
      <c r="B95" s="43" t="s">
        <v>13</v>
      </c>
      <c r="C95" s="48"/>
      <c r="D95" s="30"/>
      <c r="E95" s="57" t="s">
        <v>11</v>
      </c>
      <c r="F95" s="17"/>
      <c r="G95" s="22"/>
      <c r="H95" s="21"/>
    </row>
    <row r="96" spans="2:9" x14ac:dyDescent="0.25">
      <c r="B96" s="46"/>
      <c r="C96" s="15"/>
      <c r="D96" s="30"/>
      <c r="E96" s="57" t="s">
        <v>12</v>
      </c>
      <c r="F96" s="17"/>
      <c r="G96" s="16"/>
      <c r="H96" s="21"/>
    </row>
    <row r="97" spans="2:9" x14ac:dyDescent="0.25">
      <c r="B97" s="44" t="s">
        <v>142</v>
      </c>
      <c r="C97" s="45" t="s">
        <v>86</v>
      </c>
      <c r="D97" s="31"/>
      <c r="E97" s="11"/>
      <c r="F97" s="13"/>
      <c r="G97" s="23"/>
      <c r="H97" s="12"/>
      <c r="I97" s="14"/>
    </row>
    <row r="98" spans="2:9" x14ac:dyDescent="0.25">
      <c r="B98" s="43" t="s">
        <v>13</v>
      </c>
      <c r="C98" s="47" t="s">
        <v>87</v>
      </c>
      <c r="D98" s="30"/>
      <c r="E98" s="57" t="s">
        <v>8</v>
      </c>
      <c r="F98" s="17"/>
      <c r="G98" s="22"/>
      <c r="H98" s="18" t="str">
        <f>IF(D99="x",H$2,H$1)</f>
        <v>CORRECTO</v>
      </c>
    </row>
    <row r="99" spans="2:9" x14ac:dyDescent="0.25">
      <c r="B99" s="43" t="s">
        <v>13</v>
      </c>
      <c r="C99" t="s">
        <v>88</v>
      </c>
      <c r="D99" s="30" t="s">
        <v>254</v>
      </c>
      <c r="E99" s="57" t="s">
        <v>9</v>
      </c>
      <c r="F99" s="19" t="str">
        <f>IF(H100=1,IF(H98=H$2,H98,""),"")</f>
        <v>CORRECTO</v>
      </c>
      <c r="G99" s="22"/>
      <c r="H99" s="18">
        <f>IF(E$127="comprobar",COUNTIF(D98:D102,"x"),"")</f>
        <v>1</v>
      </c>
    </row>
    <row r="100" spans="2:9" x14ac:dyDescent="0.25">
      <c r="B100" s="43" t="s">
        <v>13</v>
      </c>
      <c r="C100" s="48" t="s">
        <v>89</v>
      </c>
      <c r="D100" s="30"/>
      <c r="E100" s="57" t="s">
        <v>10</v>
      </c>
      <c r="F100" s="20" t="str">
        <f>IF(H100=-0.33,IF(H98=H$1,H98,""),"")</f>
        <v/>
      </c>
      <c r="G100" s="22"/>
      <c r="H100" s="21">
        <f t="shared" ref="H100" si="14">IF(H99=1,IF(H98=H$2,1,-0.33),0)</f>
        <v>1</v>
      </c>
    </row>
    <row r="101" spans="2:9" x14ac:dyDescent="0.25">
      <c r="B101" s="43" t="s">
        <v>13</v>
      </c>
      <c r="C101" s="48"/>
      <c r="D101" s="30"/>
      <c r="E101" s="57" t="s">
        <v>11</v>
      </c>
      <c r="F101" s="17"/>
      <c r="G101" s="22"/>
      <c r="H101" s="21"/>
    </row>
    <row r="102" spans="2:9" x14ac:dyDescent="0.25">
      <c r="B102" s="46"/>
      <c r="C102" s="15"/>
      <c r="D102" s="30"/>
      <c r="E102" s="57" t="s">
        <v>12</v>
      </c>
      <c r="F102" s="17"/>
      <c r="G102" s="16"/>
      <c r="H102" s="21"/>
    </row>
    <row r="103" spans="2:9" x14ac:dyDescent="0.25">
      <c r="B103" s="44" t="s">
        <v>143</v>
      </c>
      <c r="C103" s="45" t="s">
        <v>90</v>
      </c>
      <c r="D103" s="31"/>
      <c r="E103" s="11"/>
      <c r="F103" s="13"/>
      <c r="G103" s="23"/>
      <c r="H103" s="12"/>
      <c r="I103" s="14"/>
    </row>
    <row r="104" spans="2:9" x14ac:dyDescent="0.25">
      <c r="B104" s="43" t="s">
        <v>13</v>
      </c>
      <c r="C104" s="47" t="s">
        <v>91</v>
      </c>
      <c r="D104" s="30" t="s">
        <v>254</v>
      </c>
      <c r="E104" s="57" t="s">
        <v>8</v>
      </c>
      <c r="F104" s="17"/>
      <c r="G104" s="22"/>
      <c r="H104" s="18" t="str">
        <f>IF(D104="x",H$2,H$1)</f>
        <v>CORRECTO</v>
      </c>
    </row>
    <row r="105" spans="2:9" x14ac:dyDescent="0.25">
      <c r="B105" s="43" t="s">
        <v>13</v>
      </c>
      <c r="C105" t="s">
        <v>92</v>
      </c>
      <c r="D105" s="30"/>
      <c r="E105" s="57" t="s">
        <v>9</v>
      </c>
      <c r="F105" s="19" t="str">
        <f>IF(H106=1,IF(H104=H$2,H104,""),"")</f>
        <v>CORRECTO</v>
      </c>
      <c r="G105" s="22"/>
      <c r="H105" s="18">
        <f>IF(E$127="comprobar",COUNTIF(D104:D108,"x"),"")</f>
        <v>1</v>
      </c>
    </row>
    <row r="106" spans="2:9" x14ac:dyDescent="0.25">
      <c r="B106" s="43" t="s">
        <v>13</v>
      </c>
      <c r="C106" s="48" t="s">
        <v>93</v>
      </c>
      <c r="D106" s="30"/>
      <c r="E106" s="57" t="s">
        <v>10</v>
      </c>
      <c r="F106" s="20" t="str">
        <f>IF(H106=-0.33,IF(H104=H$1,H104,""),"")</f>
        <v/>
      </c>
      <c r="G106" s="22"/>
      <c r="H106" s="21">
        <f t="shared" ref="H106" si="15">IF(H105=1,IF(H104=H$2,1,-0.33),0)</f>
        <v>1</v>
      </c>
    </row>
    <row r="107" spans="2:9" x14ac:dyDescent="0.25">
      <c r="B107" s="43" t="s">
        <v>13</v>
      </c>
      <c r="C107" s="48"/>
      <c r="D107" s="30"/>
      <c r="E107" s="57" t="s">
        <v>11</v>
      </c>
      <c r="F107" s="17"/>
      <c r="G107" s="22"/>
      <c r="H107" s="21"/>
    </row>
    <row r="108" spans="2:9" x14ac:dyDescent="0.25">
      <c r="B108" s="46"/>
      <c r="C108" s="15"/>
      <c r="D108" s="30"/>
      <c r="E108" s="57" t="s">
        <v>12</v>
      </c>
      <c r="F108" s="17"/>
      <c r="G108" s="16"/>
      <c r="H108" s="21"/>
    </row>
    <row r="109" spans="2:9" x14ac:dyDescent="0.25">
      <c r="B109" s="44" t="s">
        <v>144</v>
      </c>
      <c r="C109" s="45" t="s">
        <v>94</v>
      </c>
      <c r="D109" s="31"/>
      <c r="E109" s="11"/>
      <c r="F109" s="13"/>
      <c r="G109" s="23"/>
      <c r="H109" s="12"/>
      <c r="I109" s="14"/>
    </row>
    <row r="110" spans="2:9" x14ac:dyDescent="0.25">
      <c r="B110" s="43" t="s">
        <v>13</v>
      </c>
      <c r="C110" s="47" t="s">
        <v>95</v>
      </c>
      <c r="D110" s="30"/>
      <c r="E110" s="57" t="s">
        <v>8</v>
      </c>
      <c r="F110" s="17"/>
      <c r="G110" s="22"/>
      <c r="H110" s="18" t="str">
        <f>IF(D111="x",H$2,H$1)</f>
        <v>CORRECTO</v>
      </c>
    </row>
    <row r="111" spans="2:9" x14ac:dyDescent="0.25">
      <c r="B111" s="43" t="s">
        <v>13</v>
      </c>
      <c r="C111" t="s">
        <v>96</v>
      </c>
      <c r="D111" s="30" t="s">
        <v>254</v>
      </c>
      <c r="E111" s="57" t="s">
        <v>9</v>
      </c>
      <c r="F111" s="19" t="str">
        <f>IF(H112=1,IF(H110=H$2,H110,""),"")</f>
        <v>CORRECTO</v>
      </c>
      <c r="G111" s="22"/>
      <c r="H111" s="18">
        <f>IF(E$127="comprobar",COUNTIF(D110:D114,"x"),"")</f>
        <v>1</v>
      </c>
    </row>
    <row r="112" spans="2:9" x14ac:dyDescent="0.25">
      <c r="B112" s="43" t="s">
        <v>13</v>
      </c>
      <c r="C112" s="48" t="s">
        <v>97</v>
      </c>
      <c r="D112" s="30"/>
      <c r="E112" s="57" t="s">
        <v>10</v>
      </c>
      <c r="F112" s="20" t="str">
        <f>IF(H112=-0.33,IF(H110=H$1,H110,""),"")</f>
        <v/>
      </c>
      <c r="G112" s="22"/>
      <c r="H112" s="21">
        <f t="shared" ref="H112" si="16">IF(H111=1,IF(H110=H$2,1,-0.33),0)</f>
        <v>1</v>
      </c>
    </row>
    <row r="113" spans="2:9" x14ac:dyDescent="0.25">
      <c r="B113" s="43" t="s">
        <v>13</v>
      </c>
      <c r="C113" s="48"/>
      <c r="D113" s="30"/>
      <c r="E113" s="57" t="s">
        <v>11</v>
      </c>
      <c r="F113" s="17"/>
      <c r="G113" s="22"/>
      <c r="H113" s="21"/>
    </row>
    <row r="114" spans="2:9" x14ac:dyDescent="0.25">
      <c r="B114" s="46"/>
      <c r="C114" s="15"/>
      <c r="D114" s="30"/>
      <c r="E114" s="57" t="s">
        <v>12</v>
      </c>
      <c r="F114" s="17"/>
      <c r="G114" s="16"/>
      <c r="H114" s="21"/>
    </row>
    <row r="115" spans="2:9" x14ac:dyDescent="0.25">
      <c r="B115" s="44" t="s">
        <v>145</v>
      </c>
      <c r="C115" s="45" t="s">
        <v>98</v>
      </c>
      <c r="D115" s="31"/>
      <c r="E115" s="11"/>
      <c r="F115" s="13"/>
      <c r="G115" s="23"/>
      <c r="H115" s="12"/>
      <c r="I115" s="14"/>
    </row>
    <row r="116" spans="2:9" x14ac:dyDescent="0.25">
      <c r="B116" s="43" t="s">
        <v>13</v>
      </c>
      <c r="C116" s="47" t="s">
        <v>99</v>
      </c>
      <c r="D116" s="30" t="s">
        <v>254</v>
      </c>
      <c r="E116" s="57" t="s">
        <v>8</v>
      </c>
      <c r="F116" s="17"/>
      <c r="G116" s="22"/>
      <c r="H116" s="18" t="str">
        <f>IF(D116="x",H$2,H$1)</f>
        <v>CORRECTO</v>
      </c>
    </row>
    <row r="117" spans="2:9" x14ac:dyDescent="0.25">
      <c r="B117" s="43" t="s">
        <v>13</v>
      </c>
      <c r="C117" t="s">
        <v>100</v>
      </c>
      <c r="D117" s="30"/>
      <c r="E117" s="57" t="s">
        <v>9</v>
      </c>
      <c r="F117" s="19" t="str">
        <f>IF(H118=1,IF(H116=H$2,H116,""),"")</f>
        <v>CORRECTO</v>
      </c>
      <c r="G117" s="22"/>
      <c r="H117" s="18">
        <f>IF(E$127="comprobar",COUNTIF(D116:D120,"x"),"")</f>
        <v>1</v>
      </c>
    </row>
    <row r="118" spans="2:9" x14ac:dyDescent="0.25">
      <c r="B118" s="43" t="s">
        <v>13</v>
      </c>
      <c r="C118" s="48" t="s">
        <v>101</v>
      </c>
      <c r="D118" s="30"/>
      <c r="E118" s="57" t="s">
        <v>10</v>
      </c>
      <c r="F118" s="20" t="str">
        <f>IF(H118=-0.33,IF(H116=H$1,H116,""),"")</f>
        <v/>
      </c>
      <c r="G118" s="22"/>
      <c r="H118" s="21">
        <f t="shared" ref="H118" si="17">IF(H117=1,IF(H116=H$2,1,-0.33),0)</f>
        <v>1</v>
      </c>
    </row>
    <row r="119" spans="2:9" x14ac:dyDescent="0.25">
      <c r="B119" s="43" t="s">
        <v>13</v>
      </c>
      <c r="C119" s="48"/>
      <c r="D119" s="30"/>
      <c r="E119" s="57" t="s">
        <v>11</v>
      </c>
      <c r="F119" s="17"/>
      <c r="G119" s="22"/>
      <c r="H119" s="21"/>
    </row>
    <row r="120" spans="2:9" x14ac:dyDescent="0.25">
      <c r="B120" s="46"/>
      <c r="C120" s="15"/>
      <c r="D120" s="30"/>
      <c r="E120" s="57" t="s">
        <v>12</v>
      </c>
      <c r="F120" s="17"/>
      <c r="G120" s="16"/>
      <c r="H120" s="21"/>
    </row>
    <row r="121" spans="2:9" x14ac:dyDescent="0.25">
      <c r="B121" s="44" t="s">
        <v>146</v>
      </c>
      <c r="C121" s="45" t="s">
        <v>102</v>
      </c>
      <c r="D121" s="31"/>
      <c r="E121" s="11"/>
      <c r="F121" s="13"/>
      <c r="G121" s="23"/>
      <c r="H121" s="12"/>
      <c r="I121" s="14"/>
    </row>
    <row r="122" spans="2:9" x14ac:dyDescent="0.25">
      <c r="B122" s="43" t="s">
        <v>13</v>
      </c>
      <c r="C122" s="47" t="s">
        <v>103</v>
      </c>
      <c r="D122" s="30"/>
      <c r="E122" s="57" t="s">
        <v>8</v>
      </c>
      <c r="F122" s="17"/>
      <c r="G122" s="22"/>
      <c r="H122" s="18" t="str">
        <f>IF(D123="x",H$2,H$1)</f>
        <v>CORRECTO</v>
      </c>
    </row>
    <row r="123" spans="2:9" x14ac:dyDescent="0.25">
      <c r="B123" s="43" t="s">
        <v>13</v>
      </c>
      <c r="C123" t="s">
        <v>104</v>
      </c>
      <c r="D123" s="30" t="s">
        <v>254</v>
      </c>
      <c r="E123" s="57" t="s">
        <v>9</v>
      </c>
      <c r="F123" s="19" t="str">
        <f>IF(H124=1,IF(H122=H$2,H122,""),"")</f>
        <v>CORRECTO</v>
      </c>
      <c r="G123" s="22"/>
      <c r="H123" s="18">
        <f>IF(E$127="comprobar",COUNTIF(D122:D126,"x"),"")</f>
        <v>1</v>
      </c>
    </row>
    <row r="124" spans="2:9" x14ac:dyDescent="0.25">
      <c r="B124" s="43" t="s">
        <v>13</v>
      </c>
      <c r="C124" s="48" t="s">
        <v>105</v>
      </c>
      <c r="D124" s="30"/>
      <c r="E124" s="57" t="s">
        <v>10</v>
      </c>
      <c r="F124" s="20" t="str">
        <f>IF(H124=-0.33,IF(H122=H$1,H122,""),"")</f>
        <v/>
      </c>
      <c r="G124" s="22"/>
      <c r="H124" s="21">
        <f t="shared" ref="H124" si="18">IF(H123=1,IF(H122=H$2,1,-0.33),0)</f>
        <v>1</v>
      </c>
    </row>
    <row r="125" spans="2:9" x14ac:dyDescent="0.25">
      <c r="B125" s="43" t="s">
        <v>13</v>
      </c>
      <c r="C125" s="48"/>
      <c r="D125" s="30"/>
      <c r="E125" s="57" t="s">
        <v>11</v>
      </c>
      <c r="F125" s="17"/>
      <c r="G125" s="22"/>
      <c r="H125" s="21"/>
    </row>
    <row r="126" spans="2:9" x14ac:dyDescent="0.25">
      <c r="B126" s="46"/>
      <c r="C126" s="15"/>
      <c r="D126" s="30"/>
      <c r="E126" s="57" t="s">
        <v>12</v>
      </c>
      <c r="F126" s="17"/>
      <c r="G126" s="16"/>
      <c r="H126" s="21"/>
    </row>
    <row r="127" spans="2:9" x14ac:dyDescent="0.25">
      <c r="B127" s="46"/>
      <c r="C127" s="15"/>
      <c r="D127" s="34"/>
      <c r="E127" s="35" t="s">
        <v>253</v>
      </c>
      <c r="F127" s="17"/>
      <c r="G127" s="16"/>
      <c r="H127" s="21"/>
    </row>
    <row r="128" spans="2:9" x14ac:dyDescent="0.25">
      <c r="B128" s="32"/>
      <c r="C128" s="8"/>
      <c r="D128" s="34"/>
      <c r="E128" s="36"/>
      <c r="F128" s="24" t="s">
        <v>7</v>
      </c>
      <c r="G128" s="16" t="s">
        <v>5</v>
      </c>
      <c r="H128" s="16" t="s">
        <v>6</v>
      </c>
    </row>
    <row r="129" spans="2:9" ht="20.25" thickBot="1" x14ac:dyDescent="0.3">
      <c r="B129" s="32"/>
      <c r="C129" s="8"/>
      <c r="D129" s="61"/>
      <c r="E129" s="61"/>
      <c r="F129" s="25">
        <f>IF(E$127="comprobar",H52+H46+H40+H34+H28+H22+H16+H10+H58+H64+H70+H76+H82+H88+H94+H100+H106+H112+H118+H124,"")</f>
        <v>20</v>
      </c>
      <c r="G129" s="16">
        <f>20/2</f>
        <v>10</v>
      </c>
      <c r="H129" s="16"/>
    </row>
    <row r="130" spans="2:9" ht="28.5" x14ac:dyDescent="0.45">
      <c r="B130" s="37" t="s">
        <v>106</v>
      </c>
      <c r="C130" s="55" t="s">
        <v>25</v>
      </c>
      <c r="D130" s="55"/>
      <c r="E130" s="55"/>
      <c r="F130" s="56"/>
    </row>
    <row r="131" spans="2:9" x14ac:dyDescent="0.25">
      <c r="B131" s="51" t="s">
        <v>15</v>
      </c>
      <c r="C131" s="45" t="s">
        <v>107</v>
      </c>
      <c r="D131" s="11"/>
      <c r="E131" s="11"/>
      <c r="F131" s="13"/>
      <c r="G131" s="49"/>
      <c r="H131" s="12"/>
      <c r="I131" s="14"/>
    </row>
    <row r="132" spans="2:9" x14ac:dyDescent="0.25">
      <c r="B132" s="43" t="s">
        <v>13</v>
      </c>
      <c r="C132" s="47" t="s">
        <v>108</v>
      </c>
      <c r="D132" s="30" t="s">
        <v>254</v>
      </c>
      <c r="E132" s="54" t="s">
        <v>8</v>
      </c>
      <c r="F132" s="17"/>
      <c r="G132" s="22"/>
      <c r="H132" s="18" t="str">
        <f>IF(D132="x",H$2,H$1)</f>
        <v>CORRECTO</v>
      </c>
    </row>
    <row r="133" spans="2:9" x14ac:dyDescent="0.25">
      <c r="B133" s="43" t="s">
        <v>13</v>
      </c>
      <c r="C133" t="s">
        <v>109</v>
      </c>
      <c r="D133" s="30"/>
      <c r="E133" s="54" t="s">
        <v>9</v>
      </c>
      <c r="F133" s="19" t="str">
        <f>IF(H134=1,IF(H132=H$2,H132,""),"")</f>
        <v>CORRECTO</v>
      </c>
      <c r="G133" s="22"/>
      <c r="H133" s="18">
        <f>IF(E$251="comprobar",COUNTIF(D132:D136,"x"),"")</f>
        <v>1</v>
      </c>
    </row>
    <row r="134" spans="2:9" x14ac:dyDescent="0.25">
      <c r="B134" s="43" t="s">
        <v>13</v>
      </c>
      <c r="C134" s="48" t="s">
        <v>110</v>
      </c>
      <c r="D134" s="30"/>
      <c r="E134" s="54" t="s">
        <v>10</v>
      </c>
      <c r="F134" s="20" t="str">
        <f>IF(H134=-0.33,IF(H132=H$1,H132,""),"")</f>
        <v/>
      </c>
      <c r="G134" s="22"/>
      <c r="H134" s="21">
        <f>IF(H133=1,IF(H132=H$2,1,-0.33),0)</f>
        <v>1</v>
      </c>
    </row>
    <row r="135" spans="2:9" x14ac:dyDescent="0.25">
      <c r="B135" s="43" t="s">
        <v>13</v>
      </c>
      <c r="C135" s="48"/>
      <c r="D135" s="30"/>
      <c r="E135" s="54" t="s">
        <v>11</v>
      </c>
      <c r="F135" s="17"/>
      <c r="G135" s="22"/>
      <c r="H135" s="21"/>
    </row>
    <row r="136" spans="2:9" x14ac:dyDescent="0.25">
      <c r="B136" s="46"/>
      <c r="C136" s="15"/>
      <c r="D136" s="30"/>
      <c r="E136" s="54" t="s">
        <v>12</v>
      </c>
      <c r="F136" s="17"/>
      <c r="G136" s="16"/>
      <c r="H136" s="21"/>
    </row>
    <row r="137" spans="2:9" x14ac:dyDescent="0.25">
      <c r="B137" s="44" t="s">
        <v>14</v>
      </c>
      <c r="C137" s="45" t="s">
        <v>258</v>
      </c>
      <c r="D137" s="31"/>
      <c r="E137" s="11"/>
      <c r="F137" s="13"/>
      <c r="G137" s="49"/>
      <c r="H137" s="12"/>
      <c r="I137" s="14"/>
    </row>
    <row r="138" spans="2:9" x14ac:dyDescent="0.25">
      <c r="B138" s="43" t="s">
        <v>13</v>
      </c>
      <c r="C138" s="47" t="s">
        <v>255</v>
      </c>
      <c r="D138" s="30"/>
      <c r="E138" s="54" t="s">
        <v>8</v>
      </c>
      <c r="F138" s="17"/>
      <c r="G138" s="22"/>
      <c r="H138" s="18" t="str">
        <f>IF(D139="x",H$2,H$1)</f>
        <v>CORRECTO</v>
      </c>
    </row>
    <row r="139" spans="2:9" x14ac:dyDescent="0.25">
      <c r="B139" s="43" t="s">
        <v>13</v>
      </c>
      <c r="C139" t="s">
        <v>256</v>
      </c>
      <c r="D139" s="30" t="s">
        <v>254</v>
      </c>
      <c r="E139" s="54" t="s">
        <v>9</v>
      </c>
      <c r="F139" s="19" t="str">
        <f>IF(H140=1,IF(H138=H$2,H138,""),"")</f>
        <v>CORRECTO</v>
      </c>
      <c r="G139" s="22"/>
      <c r="H139" s="18">
        <f>IF(E$251="comprobar",COUNTIF(D138:D142,"x"),"")</f>
        <v>1</v>
      </c>
    </row>
    <row r="140" spans="2:9" x14ac:dyDescent="0.25">
      <c r="B140" s="43" t="s">
        <v>13</v>
      </c>
      <c r="C140" s="48" t="s">
        <v>257</v>
      </c>
      <c r="D140" s="30"/>
      <c r="E140" s="54" t="s">
        <v>10</v>
      </c>
      <c r="F140" s="20" t="str">
        <f>IF(H140=-0.33,IF(H138=H$1,H138,""),"")</f>
        <v/>
      </c>
      <c r="G140" s="22"/>
      <c r="H140" s="21">
        <f t="shared" ref="H140" si="19">IF(H139=1,IF(H138=H$2,1,-0.33),0)</f>
        <v>1</v>
      </c>
    </row>
    <row r="141" spans="2:9" x14ac:dyDescent="0.25">
      <c r="B141" s="43" t="s">
        <v>13</v>
      </c>
      <c r="C141" s="48"/>
      <c r="D141" s="30"/>
      <c r="E141" s="54" t="s">
        <v>11</v>
      </c>
      <c r="F141" s="17"/>
      <c r="G141" s="22"/>
      <c r="H141" s="21"/>
    </row>
    <row r="142" spans="2:9" x14ac:dyDescent="0.25">
      <c r="B142" s="46"/>
      <c r="C142" s="48"/>
      <c r="D142" s="30"/>
      <c r="E142" s="54" t="s">
        <v>12</v>
      </c>
      <c r="F142" s="17"/>
      <c r="G142" s="16"/>
      <c r="H142" s="21"/>
    </row>
    <row r="143" spans="2:9" x14ac:dyDescent="0.25">
      <c r="B143" s="44" t="s">
        <v>16</v>
      </c>
      <c r="C143" s="45" t="s">
        <v>111</v>
      </c>
      <c r="D143" s="31"/>
      <c r="E143" s="11"/>
      <c r="F143" s="13"/>
      <c r="G143" s="23"/>
      <c r="H143" s="12"/>
      <c r="I143" s="14"/>
    </row>
    <row r="144" spans="2:9" x14ac:dyDescent="0.25">
      <c r="B144" s="43" t="s">
        <v>13</v>
      </c>
      <c r="C144" s="47" t="s">
        <v>112</v>
      </c>
      <c r="D144" s="30" t="s">
        <v>254</v>
      </c>
      <c r="E144" s="54" t="s">
        <v>8</v>
      </c>
      <c r="F144" s="17"/>
      <c r="G144" s="22"/>
      <c r="H144" s="18" t="str">
        <f>IF(D144="x",H$2,H$1)</f>
        <v>CORRECTO</v>
      </c>
    </row>
    <row r="145" spans="2:9" x14ac:dyDescent="0.25">
      <c r="B145" s="43" t="s">
        <v>13</v>
      </c>
      <c r="C145" t="s">
        <v>113</v>
      </c>
      <c r="D145" s="30"/>
      <c r="E145" s="54" t="s">
        <v>9</v>
      </c>
      <c r="F145" s="19" t="str">
        <f>IF(H146=1,IF(H144=H$2,H144,""),"")</f>
        <v>CORRECTO</v>
      </c>
      <c r="G145" s="22"/>
      <c r="H145" s="18">
        <f>IF(E$251="comprobar",COUNTIF(D144:D148,"x"),"")</f>
        <v>1</v>
      </c>
    </row>
    <row r="146" spans="2:9" x14ac:dyDescent="0.25">
      <c r="B146" s="43" t="s">
        <v>13</v>
      </c>
      <c r="C146" s="48" t="s">
        <v>114</v>
      </c>
      <c r="D146" s="30"/>
      <c r="E146" s="54" t="s">
        <v>10</v>
      </c>
      <c r="F146" s="20" t="str">
        <f>IF(H146=-0.33,IF(H144=H$1,H144,""),"")</f>
        <v/>
      </c>
      <c r="G146" s="22"/>
      <c r="H146" s="21">
        <f t="shared" ref="H146" si="20">IF(H145=1,IF(H144=H$2,1,-0.33),0)</f>
        <v>1</v>
      </c>
    </row>
    <row r="147" spans="2:9" x14ac:dyDescent="0.25">
      <c r="B147" s="43" t="s">
        <v>13</v>
      </c>
      <c r="C147" s="48"/>
      <c r="D147" s="30"/>
      <c r="E147" s="54" t="s">
        <v>11</v>
      </c>
      <c r="F147" s="17"/>
      <c r="G147" s="22"/>
      <c r="H147" s="21"/>
    </row>
    <row r="148" spans="2:9" x14ac:dyDescent="0.25">
      <c r="B148" s="46"/>
      <c r="C148" s="15"/>
      <c r="D148" s="30"/>
      <c r="E148" s="54" t="s">
        <v>12</v>
      </c>
      <c r="F148" s="17"/>
      <c r="G148" s="16"/>
      <c r="H148" s="21"/>
    </row>
    <row r="149" spans="2:9" x14ac:dyDescent="0.25">
      <c r="B149" s="44" t="s">
        <v>17</v>
      </c>
      <c r="C149" s="45" t="s">
        <v>115</v>
      </c>
      <c r="D149" s="31"/>
      <c r="E149" s="11"/>
      <c r="F149" s="13"/>
      <c r="G149" s="23"/>
      <c r="H149" s="12"/>
      <c r="I149" s="14"/>
    </row>
    <row r="150" spans="2:9" x14ac:dyDescent="0.25">
      <c r="B150" s="43" t="s">
        <v>13</v>
      </c>
      <c r="C150" s="47" t="s">
        <v>116</v>
      </c>
      <c r="D150" s="30"/>
      <c r="E150" s="54" t="s">
        <v>8</v>
      </c>
      <c r="F150" s="17"/>
      <c r="G150" s="22"/>
      <c r="H150" s="18" t="str">
        <f>IF(D151="x",H$2,H$1)</f>
        <v>CORRECTO</v>
      </c>
    </row>
    <row r="151" spans="2:9" x14ac:dyDescent="0.25">
      <c r="B151" s="43" t="s">
        <v>13</v>
      </c>
      <c r="C151" t="s">
        <v>117</v>
      </c>
      <c r="D151" s="30" t="s">
        <v>254</v>
      </c>
      <c r="E151" s="54" t="s">
        <v>9</v>
      </c>
      <c r="F151" s="19" t="str">
        <f>IF(H152=1,IF(H150=H$2,H150,""),"")</f>
        <v>CORRECTO</v>
      </c>
      <c r="G151" s="22"/>
      <c r="H151" s="18">
        <f>IF(E$251="comprobar",COUNTIF(D150:D154,"x"),"")</f>
        <v>1</v>
      </c>
    </row>
    <row r="152" spans="2:9" x14ac:dyDescent="0.25">
      <c r="B152" s="43" t="s">
        <v>13</v>
      </c>
      <c r="C152" s="48" t="s">
        <v>118</v>
      </c>
      <c r="D152" s="30"/>
      <c r="E152" s="54" t="s">
        <v>10</v>
      </c>
      <c r="F152" s="20" t="str">
        <f>IF(H152=-0.33,IF(H150=H$1,H150,""),"")</f>
        <v/>
      </c>
      <c r="G152" s="22"/>
      <c r="H152" s="21">
        <f t="shared" ref="H152" si="21">IF(H151=1,IF(H150=H$2,1,-0.33),0)</f>
        <v>1</v>
      </c>
    </row>
    <row r="153" spans="2:9" x14ac:dyDescent="0.25">
      <c r="B153" s="43" t="s">
        <v>13</v>
      </c>
      <c r="C153" s="53"/>
      <c r="D153" s="30"/>
      <c r="E153" s="54" t="s">
        <v>11</v>
      </c>
      <c r="F153" s="17"/>
      <c r="G153" s="22"/>
      <c r="H153" s="21"/>
    </row>
    <row r="154" spans="2:9" x14ac:dyDescent="0.25">
      <c r="B154" s="46"/>
      <c r="C154" s="15"/>
      <c r="D154" s="30"/>
      <c r="E154" s="54" t="s">
        <v>12</v>
      </c>
      <c r="F154" s="17"/>
      <c r="G154" s="16"/>
      <c r="H154" s="21"/>
    </row>
    <row r="155" spans="2:9" x14ac:dyDescent="0.25">
      <c r="B155" s="44" t="s">
        <v>18</v>
      </c>
      <c r="C155" s="45" t="s">
        <v>119</v>
      </c>
      <c r="D155" s="31"/>
      <c r="E155" s="11"/>
      <c r="F155" s="13"/>
      <c r="G155" s="23"/>
      <c r="H155" s="12"/>
      <c r="I155" s="14"/>
    </row>
    <row r="156" spans="2:9" x14ac:dyDescent="0.25">
      <c r="B156" s="43" t="s">
        <v>13</v>
      </c>
      <c r="C156" s="47" t="s">
        <v>120</v>
      </c>
      <c r="D156" s="30"/>
      <c r="E156" s="54" t="s">
        <v>8</v>
      </c>
      <c r="F156" s="17"/>
      <c r="G156" s="22"/>
      <c r="H156" s="18" t="str">
        <f>IF(D157="x",H$2,H$1)</f>
        <v>CORRECTO</v>
      </c>
    </row>
    <row r="157" spans="2:9" x14ac:dyDescent="0.25">
      <c r="B157" s="43" t="s">
        <v>13</v>
      </c>
      <c r="C157" t="s">
        <v>85</v>
      </c>
      <c r="D157" s="30" t="s">
        <v>254</v>
      </c>
      <c r="E157" s="54" t="s">
        <v>9</v>
      </c>
      <c r="F157" s="19" t="str">
        <f>IF(H158=1,IF(H156=H$2,H156,""),"")</f>
        <v>CORRECTO</v>
      </c>
      <c r="G157" s="22"/>
      <c r="H157" s="18">
        <f>IF(E$251="comprobar",COUNTIF(D156:D160,"x"),"")</f>
        <v>1</v>
      </c>
    </row>
    <row r="158" spans="2:9" x14ac:dyDescent="0.25">
      <c r="B158" s="43" t="s">
        <v>13</v>
      </c>
      <c r="C158" s="48" t="s">
        <v>121</v>
      </c>
      <c r="D158" s="30"/>
      <c r="E158" s="54" t="s">
        <v>10</v>
      </c>
      <c r="F158" s="20" t="str">
        <f>IF(H158=-0.33,IF(H156=H$1,H156,""),"")</f>
        <v/>
      </c>
      <c r="G158" s="22"/>
      <c r="H158" s="21">
        <f t="shared" ref="H158" si="22">IF(H157=1,IF(H156=H$2,1,-0.33),0)</f>
        <v>1</v>
      </c>
    </row>
    <row r="159" spans="2:9" x14ac:dyDescent="0.25">
      <c r="B159" s="43" t="s">
        <v>13</v>
      </c>
      <c r="C159" s="48"/>
      <c r="D159" s="30"/>
      <c r="E159" s="54" t="s">
        <v>11</v>
      </c>
      <c r="F159" s="17"/>
      <c r="G159" s="22"/>
      <c r="H159" s="21"/>
    </row>
    <row r="160" spans="2:9" x14ac:dyDescent="0.25">
      <c r="B160" s="46"/>
      <c r="C160" s="15"/>
      <c r="D160" s="30"/>
      <c r="E160" s="54" t="s">
        <v>12</v>
      </c>
      <c r="F160" s="17"/>
      <c r="G160" s="16"/>
      <c r="H160" s="21"/>
    </row>
    <row r="161" spans="2:9" x14ac:dyDescent="0.25">
      <c r="B161" s="44" t="s">
        <v>19</v>
      </c>
      <c r="C161" s="45" t="s">
        <v>122</v>
      </c>
      <c r="D161" s="31"/>
      <c r="E161" s="11"/>
      <c r="F161" s="13"/>
      <c r="G161" s="23"/>
      <c r="H161" s="12"/>
      <c r="I161" s="14"/>
    </row>
    <row r="162" spans="2:9" x14ac:dyDescent="0.25">
      <c r="B162" s="43" t="s">
        <v>13</v>
      </c>
      <c r="C162" s="47" t="s">
        <v>123</v>
      </c>
      <c r="D162" s="30" t="s">
        <v>254</v>
      </c>
      <c r="E162" s="54" t="s">
        <v>8</v>
      </c>
      <c r="F162" s="17"/>
      <c r="G162" s="22"/>
      <c r="H162" s="18" t="str">
        <f>IF(D162="x",H$2,H$1)</f>
        <v>CORRECTO</v>
      </c>
    </row>
    <row r="163" spans="2:9" x14ac:dyDescent="0.25">
      <c r="B163" s="43" t="s">
        <v>13</v>
      </c>
      <c r="C163" t="s">
        <v>124</v>
      </c>
      <c r="D163" s="30"/>
      <c r="E163" s="54" t="s">
        <v>9</v>
      </c>
      <c r="F163" s="19" t="str">
        <f>IF(H164=1,IF(H162=H$2,H162,""),"")</f>
        <v>CORRECTO</v>
      </c>
      <c r="G163" s="22"/>
      <c r="H163" s="18">
        <f>IF(E$251="comprobar",COUNTIF(D162:D166,"x"),"")</f>
        <v>1</v>
      </c>
    </row>
    <row r="164" spans="2:9" x14ac:dyDescent="0.25">
      <c r="B164" s="43" t="s">
        <v>13</v>
      </c>
      <c r="C164" s="48" t="s">
        <v>125</v>
      </c>
      <c r="D164" s="30"/>
      <c r="E164" s="54" t="s">
        <v>10</v>
      </c>
      <c r="F164" s="20" t="str">
        <f>IF(H164=-0.33,IF(H162=H$1,H162,""),"")</f>
        <v/>
      </c>
      <c r="G164" s="22"/>
      <c r="H164" s="21">
        <f t="shared" ref="H164" si="23">IF(H163=1,IF(H162=H$2,1,-0.33),0)</f>
        <v>1</v>
      </c>
    </row>
    <row r="165" spans="2:9" x14ac:dyDescent="0.25">
      <c r="B165" s="43" t="s">
        <v>13</v>
      </c>
      <c r="C165" s="48"/>
      <c r="D165" s="30"/>
      <c r="E165" s="54" t="s">
        <v>11</v>
      </c>
      <c r="F165" s="17"/>
      <c r="G165" s="22"/>
      <c r="H165" s="21"/>
    </row>
    <row r="166" spans="2:9" x14ac:dyDescent="0.25">
      <c r="B166" s="46"/>
      <c r="C166" s="15"/>
      <c r="D166" s="30"/>
      <c r="E166" s="54" t="s">
        <v>12</v>
      </c>
      <c r="F166" s="17"/>
      <c r="G166" s="16"/>
      <c r="H166" s="21"/>
    </row>
    <row r="167" spans="2:9" x14ac:dyDescent="0.25">
      <c r="B167" s="44" t="s">
        <v>20</v>
      </c>
      <c r="C167" s="45" t="s">
        <v>126</v>
      </c>
      <c r="D167" s="31"/>
      <c r="E167" s="11"/>
      <c r="F167" s="13"/>
      <c r="G167" s="23"/>
      <c r="H167" s="12"/>
      <c r="I167" s="14"/>
    </row>
    <row r="168" spans="2:9" x14ac:dyDescent="0.25">
      <c r="B168" s="43" t="s">
        <v>13</v>
      </c>
      <c r="C168" s="47" t="s">
        <v>127</v>
      </c>
      <c r="D168" s="30"/>
      <c r="E168" s="54" t="s">
        <v>8</v>
      </c>
      <c r="F168" s="17"/>
      <c r="G168" s="22"/>
      <c r="H168" s="18" t="str">
        <f>IF(D169="x",H$2,H$1)</f>
        <v>CORRECTO</v>
      </c>
    </row>
    <row r="169" spans="2:9" x14ac:dyDescent="0.25">
      <c r="B169" s="43" t="s">
        <v>13</v>
      </c>
      <c r="C169" t="s">
        <v>128</v>
      </c>
      <c r="D169" s="30" t="s">
        <v>254</v>
      </c>
      <c r="E169" s="54" t="s">
        <v>9</v>
      </c>
      <c r="F169" s="19" t="str">
        <f>IF(H170=1,IF(H168=H$2,H168,""),"")</f>
        <v>CORRECTO</v>
      </c>
      <c r="G169" s="22"/>
      <c r="H169" s="18">
        <f>IF(E$251="comprobar",COUNTIF(D168:D172,"x"),"")</f>
        <v>1</v>
      </c>
    </row>
    <row r="170" spans="2:9" x14ac:dyDescent="0.25">
      <c r="B170" s="43" t="s">
        <v>13</v>
      </c>
      <c r="C170" s="48" t="s">
        <v>129</v>
      </c>
      <c r="D170" s="30"/>
      <c r="E170" s="54" t="s">
        <v>10</v>
      </c>
      <c r="F170" s="20" t="str">
        <f>IF(H170=-0.33,IF(H168=H$1,H168,""),"")</f>
        <v/>
      </c>
      <c r="G170" s="22"/>
      <c r="H170" s="21">
        <f t="shared" ref="H170" si="24">IF(H169=1,IF(H168=H$2,1,-0.33),0)</f>
        <v>1</v>
      </c>
    </row>
    <row r="171" spans="2:9" x14ac:dyDescent="0.25">
      <c r="B171" s="43" t="s">
        <v>13</v>
      </c>
      <c r="C171" s="48"/>
      <c r="D171" s="30"/>
      <c r="E171" s="54" t="s">
        <v>11</v>
      </c>
      <c r="F171" s="17"/>
      <c r="G171" s="22"/>
      <c r="H171" s="21"/>
    </row>
    <row r="172" spans="2:9" x14ac:dyDescent="0.25">
      <c r="B172" s="46"/>
      <c r="C172" s="15"/>
      <c r="D172" s="30"/>
      <c r="E172" s="54" t="s">
        <v>12</v>
      </c>
      <c r="F172" s="17"/>
      <c r="G172" s="16"/>
      <c r="H172" s="21"/>
    </row>
    <row r="173" spans="2:9" x14ac:dyDescent="0.25">
      <c r="B173" s="44" t="s">
        <v>21</v>
      </c>
      <c r="C173" s="45" t="s">
        <v>130</v>
      </c>
      <c r="D173" s="31"/>
      <c r="E173" s="11"/>
      <c r="F173" s="13"/>
      <c r="G173" s="23"/>
      <c r="H173" s="12"/>
      <c r="I173" s="14"/>
    </row>
    <row r="174" spans="2:9" x14ac:dyDescent="0.25">
      <c r="B174" s="43" t="s">
        <v>13</v>
      </c>
      <c r="C174" s="47" t="s">
        <v>131</v>
      </c>
      <c r="D174" s="30"/>
      <c r="E174" s="54" t="s">
        <v>8</v>
      </c>
      <c r="F174" s="17"/>
      <c r="G174" s="22"/>
      <c r="H174" s="18" t="str">
        <f>IF(D176="x",H$2,H$1)</f>
        <v>CORRECTO</v>
      </c>
    </row>
    <row r="175" spans="2:9" x14ac:dyDescent="0.25">
      <c r="B175" s="43" t="s">
        <v>13</v>
      </c>
      <c r="C175" t="s">
        <v>132</v>
      </c>
      <c r="D175" s="30"/>
      <c r="E175" s="54" t="s">
        <v>9</v>
      </c>
      <c r="F175" s="19" t="str">
        <f>IF(H176=1,IF(H174=H$2,H174,""),"")</f>
        <v>CORRECTO</v>
      </c>
      <c r="G175" s="22"/>
      <c r="H175" s="18">
        <f>IF(E$251="comprobar",COUNTIF(D174:D178,"x"),"")</f>
        <v>1</v>
      </c>
    </row>
    <row r="176" spans="2:9" x14ac:dyDescent="0.25">
      <c r="B176" s="43" t="s">
        <v>13</v>
      </c>
      <c r="C176" s="48" t="s">
        <v>133</v>
      </c>
      <c r="D176" s="30" t="s">
        <v>254</v>
      </c>
      <c r="E176" s="54" t="s">
        <v>10</v>
      </c>
      <c r="F176" s="20" t="str">
        <f>IF(H176=-0.33,IF(H174=H$1,H174,""),"")</f>
        <v/>
      </c>
      <c r="G176" s="22"/>
      <c r="H176" s="21">
        <f t="shared" ref="H176" si="25">IF(H175=1,IF(H174=H$2,1,-0.33),0)</f>
        <v>1</v>
      </c>
    </row>
    <row r="177" spans="2:9" x14ac:dyDescent="0.25">
      <c r="B177" s="43" t="s">
        <v>13</v>
      </c>
      <c r="C177" s="48"/>
      <c r="D177" s="30"/>
      <c r="E177" s="54" t="s">
        <v>11</v>
      </c>
      <c r="F177" s="17"/>
      <c r="G177" s="22"/>
      <c r="H177" s="21"/>
    </row>
    <row r="178" spans="2:9" x14ac:dyDescent="0.25">
      <c r="B178" s="46"/>
      <c r="C178" s="15"/>
      <c r="D178" s="30"/>
      <c r="E178" s="54" t="s">
        <v>12</v>
      </c>
      <c r="F178" s="17"/>
      <c r="G178" s="16"/>
      <c r="H178" s="21"/>
    </row>
    <row r="179" spans="2:9" x14ac:dyDescent="0.25">
      <c r="B179" s="44" t="s">
        <v>23</v>
      </c>
      <c r="C179" s="45" t="s">
        <v>134</v>
      </c>
      <c r="D179" s="31"/>
      <c r="E179" s="11"/>
      <c r="F179" s="13"/>
      <c r="G179" s="23"/>
      <c r="H179" s="12"/>
      <c r="I179" s="14"/>
    </row>
    <row r="180" spans="2:9" x14ac:dyDescent="0.25">
      <c r="B180" s="43" t="s">
        <v>13</v>
      </c>
      <c r="C180" s="47" t="s">
        <v>135</v>
      </c>
      <c r="D180" s="30" t="s">
        <v>254</v>
      </c>
      <c r="E180" s="54" t="s">
        <v>8</v>
      </c>
      <c r="F180" s="17"/>
      <c r="G180" s="22"/>
      <c r="H180" s="18" t="str">
        <f>IF(D180="x",H$2,H$1)</f>
        <v>CORRECTO</v>
      </c>
    </row>
    <row r="181" spans="2:9" x14ac:dyDescent="0.25">
      <c r="B181" s="43" t="s">
        <v>13</v>
      </c>
      <c r="C181" t="s">
        <v>136</v>
      </c>
      <c r="D181" s="30"/>
      <c r="E181" s="54" t="s">
        <v>9</v>
      </c>
      <c r="F181" s="19" t="str">
        <f>IF(H182=1,IF(H180=H$2,H180,""),"")</f>
        <v>CORRECTO</v>
      </c>
      <c r="G181" s="22"/>
      <c r="H181" s="18">
        <f>IF(E$251="comprobar",COUNTIF(D180:D184,"x"),"")</f>
        <v>1</v>
      </c>
    </row>
    <row r="182" spans="2:9" x14ac:dyDescent="0.25">
      <c r="B182" s="43" t="s">
        <v>13</v>
      </c>
      <c r="C182" s="48" t="s">
        <v>125</v>
      </c>
      <c r="D182" s="30"/>
      <c r="E182" s="54" t="s">
        <v>10</v>
      </c>
      <c r="F182" s="20" t="str">
        <f>IF(H182=-0.33,IF(H180=H$1,H180,""),"")</f>
        <v/>
      </c>
      <c r="G182" s="22"/>
      <c r="H182" s="21">
        <f t="shared" ref="H182" si="26">IF(H181=1,IF(H180=H$2,1,-0.33),0)</f>
        <v>1</v>
      </c>
    </row>
    <row r="183" spans="2:9" x14ac:dyDescent="0.25">
      <c r="B183" s="43" t="s">
        <v>13</v>
      </c>
      <c r="C183" s="48"/>
      <c r="D183" s="30"/>
      <c r="E183" s="54" t="s">
        <v>11</v>
      </c>
      <c r="F183" s="17"/>
      <c r="G183" s="22"/>
      <c r="H183" s="21"/>
    </row>
    <row r="184" spans="2:9" x14ac:dyDescent="0.25">
      <c r="B184" s="46"/>
      <c r="C184" s="15"/>
      <c r="D184" s="30"/>
      <c r="E184" s="54" t="s">
        <v>12</v>
      </c>
      <c r="F184" s="17"/>
      <c r="G184" s="16"/>
      <c r="H184" s="21"/>
    </row>
    <row r="185" spans="2:9" x14ac:dyDescent="0.25">
      <c r="B185" s="44" t="s">
        <v>22</v>
      </c>
      <c r="C185" s="45" t="s">
        <v>147</v>
      </c>
      <c r="D185" s="31"/>
      <c r="E185" s="11"/>
      <c r="F185" s="13"/>
      <c r="G185" s="23"/>
      <c r="H185" s="12"/>
      <c r="I185" s="14"/>
    </row>
    <row r="186" spans="2:9" x14ac:dyDescent="0.25">
      <c r="B186" s="43" t="s">
        <v>13</v>
      </c>
      <c r="C186" s="47" t="s">
        <v>148</v>
      </c>
      <c r="D186" s="30" t="s">
        <v>254</v>
      </c>
      <c r="E186" s="54" t="s">
        <v>8</v>
      </c>
      <c r="F186" s="17"/>
      <c r="G186" s="22"/>
      <c r="H186" s="18" t="str">
        <f>IF(D186="x",H$2,H$1)</f>
        <v>CORRECTO</v>
      </c>
    </row>
    <row r="187" spans="2:9" x14ac:dyDescent="0.25">
      <c r="B187" s="43" t="s">
        <v>13</v>
      </c>
      <c r="C187" t="s">
        <v>149</v>
      </c>
      <c r="D187" s="30"/>
      <c r="E187" s="54" t="s">
        <v>9</v>
      </c>
      <c r="F187" s="19" t="str">
        <f>IF(H188=1,IF(H186=H$2,H186,""),"")</f>
        <v>CORRECTO</v>
      </c>
      <c r="G187" s="22"/>
      <c r="H187" s="18">
        <f>IF(E$251="comprobar",COUNTIF(D186:D190,"x"),"")</f>
        <v>1</v>
      </c>
    </row>
    <row r="188" spans="2:9" x14ac:dyDescent="0.25">
      <c r="B188" s="43" t="s">
        <v>13</v>
      </c>
      <c r="C188" s="48" t="s">
        <v>150</v>
      </c>
      <c r="D188" s="30"/>
      <c r="E188" s="54" t="s">
        <v>10</v>
      </c>
      <c r="F188" s="20" t="str">
        <f>IF(H188=-0.33,IF(H186=H$1,H186,""),"")</f>
        <v/>
      </c>
      <c r="G188" s="22"/>
      <c r="H188" s="21">
        <f t="shared" ref="H188" si="27">IF(H187=1,IF(H186=H$2,1,-0.33),0)</f>
        <v>1</v>
      </c>
    </row>
    <row r="189" spans="2:9" x14ac:dyDescent="0.25">
      <c r="B189" s="43" t="s">
        <v>13</v>
      </c>
      <c r="C189" s="48"/>
      <c r="D189" s="30"/>
      <c r="E189" s="54" t="s">
        <v>11</v>
      </c>
      <c r="F189" s="17"/>
      <c r="G189" s="22"/>
      <c r="H189" s="21"/>
    </row>
    <row r="190" spans="2:9" x14ac:dyDescent="0.25">
      <c r="B190" s="46"/>
      <c r="C190" s="15"/>
      <c r="D190" s="30"/>
      <c r="E190" s="54" t="s">
        <v>12</v>
      </c>
      <c r="F190" s="17"/>
      <c r="G190" s="16"/>
      <c r="H190" s="21"/>
    </row>
    <row r="191" spans="2:9" x14ac:dyDescent="0.25">
      <c r="B191" s="44" t="s">
        <v>137</v>
      </c>
      <c r="C191" s="45" t="s">
        <v>151</v>
      </c>
      <c r="D191" s="31"/>
      <c r="E191" s="11"/>
      <c r="F191" s="13"/>
      <c r="G191" s="23"/>
      <c r="H191" s="12"/>
      <c r="I191" s="14"/>
    </row>
    <row r="192" spans="2:9" x14ac:dyDescent="0.25">
      <c r="B192" s="43" t="s">
        <v>13</v>
      </c>
      <c r="C192" s="47" t="s">
        <v>152</v>
      </c>
      <c r="D192" s="30"/>
      <c r="E192" s="58" t="s">
        <v>8</v>
      </c>
      <c r="F192" s="17"/>
      <c r="G192" s="22"/>
      <c r="H192" s="18" t="str">
        <f>IF(D193="x",H$2,H$1)</f>
        <v>CORRECTO</v>
      </c>
    </row>
    <row r="193" spans="2:9" x14ac:dyDescent="0.25">
      <c r="B193" s="43" t="s">
        <v>13</v>
      </c>
      <c r="C193" t="s">
        <v>153</v>
      </c>
      <c r="D193" s="30" t="s">
        <v>254</v>
      </c>
      <c r="E193" s="58" t="s">
        <v>9</v>
      </c>
      <c r="F193" s="19" t="str">
        <f>IF(H194=1,IF(H192=H$2,H192,""),"")</f>
        <v>CORRECTO</v>
      </c>
      <c r="G193" s="22"/>
      <c r="H193" s="18">
        <f>IF(E$251="comprobar",COUNTIF(D192:D196,"x"),"")</f>
        <v>1</v>
      </c>
    </row>
    <row r="194" spans="2:9" x14ac:dyDescent="0.25">
      <c r="B194" s="43" t="s">
        <v>13</v>
      </c>
      <c r="C194" s="48" t="s">
        <v>154</v>
      </c>
      <c r="D194" s="30"/>
      <c r="E194" s="58" t="s">
        <v>10</v>
      </c>
      <c r="F194" s="20" t="str">
        <f>IF(H194=-0.33,IF(H192=H$1,H192,""),"")</f>
        <v/>
      </c>
      <c r="G194" s="22"/>
      <c r="H194" s="21">
        <f t="shared" ref="H194" si="28">IF(H193=1,IF(H192=H$2,1,-0.33),0)</f>
        <v>1</v>
      </c>
    </row>
    <row r="195" spans="2:9" x14ac:dyDescent="0.25">
      <c r="B195" s="43" t="s">
        <v>13</v>
      </c>
      <c r="C195" s="48"/>
      <c r="D195" s="30"/>
      <c r="E195" s="58" t="s">
        <v>11</v>
      </c>
      <c r="F195" s="17"/>
      <c r="G195" s="22"/>
      <c r="H195" s="21"/>
    </row>
    <row r="196" spans="2:9" x14ac:dyDescent="0.25">
      <c r="B196" s="46"/>
      <c r="C196" s="15"/>
      <c r="D196" s="30"/>
      <c r="E196" s="58" t="s">
        <v>12</v>
      </c>
      <c r="F196" s="17"/>
      <c r="G196" s="16"/>
      <c r="H196" s="21"/>
    </row>
    <row r="197" spans="2:9" x14ac:dyDescent="0.25">
      <c r="B197" s="44" t="s">
        <v>138</v>
      </c>
      <c r="C197" s="45" t="s">
        <v>155</v>
      </c>
      <c r="D197" s="31"/>
      <c r="E197" s="11"/>
      <c r="F197" s="13"/>
      <c r="G197" s="23"/>
      <c r="H197" s="12"/>
      <c r="I197" s="14"/>
    </row>
    <row r="198" spans="2:9" x14ac:dyDescent="0.25">
      <c r="B198" s="43" t="s">
        <v>13</v>
      </c>
      <c r="C198" s="47" t="s">
        <v>156</v>
      </c>
      <c r="D198" s="30" t="s">
        <v>254</v>
      </c>
      <c r="E198" s="58" t="s">
        <v>8</v>
      </c>
      <c r="F198" s="17"/>
      <c r="G198" s="22"/>
      <c r="H198" s="18" t="str">
        <f>IF(D198="x",H$2,H$1)</f>
        <v>CORRECTO</v>
      </c>
    </row>
    <row r="199" spans="2:9" x14ac:dyDescent="0.25">
      <c r="B199" s="43" t="s">
        <v>13</v>
      </c>
      <c r="C199" t="s">
        <v>157</v>
      </c>
      <c r="D199" s="30"/>
      <c r="E199" s="58" t="s">
        <v>9</v>
      </c>
      <c r="F199" s="19" t="str">
        <f>IF(H200=1,IF(H198=H$2,H198,""),"")</f>
        <v>CORRECTO</v>
      </c>
      <c r="G199" s="22"/>
      <c r="H199" s="18">
        <f>IF(E$251="comprobar",COUNTIF(D198:D202,"x"),"")</f>
        <v>1</v>
      </c>
    </row>
    <row r="200" spans="2:9" x14ac:dyDescent="0.25">
      <c r="B200" s="43" t="s">
        <v>13</v>
      </c>
      <c r="C200" s="48" t="s">
        <v>158</v>
      </c>
      <c r="D200" s="30"/>
      <c r="E200" s="58" t="s">
        <v>10</v>
      </c>
      <c r="F200" s="20" t="str">
        <f>IF(H200=-0.33,IF(H198=H$1,H198,""),"")</f>
        <v/>
      </c>
      <c r="G200" s="22"/>
      <c r="H200" s="21">
        <f t="shared" ref="H200" si="29">IF(H199=1,IF(H198=H$2,1,-0.33),0)</f>
        <v>1</v>
      </c>
    </row>
    <row r="201" spans="2:9" x14ac:dyDescent="0.25">
      <c r="B201" s="43" t="s">
        <v>13</v>
      </c>
      <c r="C201" s="48"/>
      <c r="D201" s="30"/>
      <c r="E201" s="58" t="s">
        <v>11</v>
      </c>
      <c r="F201" s="17"/>
      <c r="G201" s="22"/>
      <c r="H201" s="21"/>
    </row>
    <row r="202" spans="2:9" x14ac:dyDescent="0.25">
      <c r="B202" s="46"/>
      <c r="C202" s="15"/>
      <c r="D202" s="30"/>
      <c r="E202" s="58" t="s">
        <v>12</v>
      </c>
      <c r="F202" s="17"/>
      <c r="G202" s="16"/>
      <c r="H202" s="21"/>
    </row>
    <row r="203" spans="2:9" x14ac:dyDescent="0.25">
      <c r="B203" s="44" t="s">
        <v>139</v>
      </c>
      <c r="C203" s="45" t="s">
        <v>159</v>
      </c>
      <c r="D203" s="31"/>
      <c r="E203" s="11"/>
      <c r="F203" s="13"/>
      <c r="G203" s="23"/>
      <c r="H203" s="12"/>
      <c r="I203" s="14"/>
    </row>
    <row r="204" spans="2:9" x14ac:dyDescent="0.25">
      <c r="B204" s="43" t="s">
        <v>13</v>
      </c>
      <c r="C204" s="47" t="s">
        <v>160</v>
      </c>
      <c r="D204" s="30"/>
      <c r="E204" s="58" t="s">
        <v>8</v>
      </c>
      <c r="F204" s="17"/>
      <c r="G204" s="22"/>
      <c r="H204" s="18" t="str">
        <f>IF(D205="x",H$2,H$1)</f>
        <v>CORRECTO</v>
      </c>
    </row>
    <row r="205" spans="2:9" x14ac:dyDescent="0.25">
      <c r="B205" s="43" t="s">
        <v>13</v>
      </c>
      <c r="C205" t="s">
        <v>161</v>
      </c>
      <c r="D205" s="30" t="s">
        <v>254</v>
      </c>
      <c r="E205" s="58" t="s">
        <v>9</v>
      </c>
      <c r="F205" s="19" t="str">
        <f>IF(H206=1,IF(H204=H$2,H204,""),"")</f>
        <v>CORRECTO</v>
      </c>
      <c r="G205" s="22"/>
      <c r="H205" s="18">
        <f>IF(E$251="comprobar",COUNTIF(D204:D208,"x"),"")</f>
        <v>1</v>
      </c>
    </row>
    <row r="206" spans="2:9" x14ac:dyDescent="0.25">
      <c r="B206" s="43" t="s">
        <v>13</v>
      </c>
      <c r="C206" s="48" t="s">
        <v>162</v>
      </c>
      <c r="D206" s="30"/>
      <c r="E206" s="58" t="s">
        <v>10</v>
      </c>
      <c r="F206" s="20" t="str">
        <f>IF(H206=-0.33,IF(H204=H$1,H204,""),"")</f>
        <v/>
      </c>
      <c r="G206" s="22"/>
      <c r="H206" s="21">
        <f t="shared" ref="H206" si="30">IF(H205=1,IF(H204=H$2,1,-0.33),0)</f>
        <v>1</v>
      </c>
    </row>
    <row r="207" spans="2:9" x14ac:dyDescent="0.25">
      <c r="B207" s="43" t="s">
        <v>13</v>
      </c>
      <c r="C207" s="48"/>
      <c r="D207" s="30"/>
      <c r="E207" s="58" t="s">
        <v>11</v>
      </c>
      <c r="F207" s="17"/>
      <c r="G207" s="22"/>
      <c r="H207" s="21"/>
    </row>
    <row r="208" spans="2:9" x14ac:dyDescent="0.25">
      <c r="B208" s="46"/>
      <c r="C208" s="15"/>
      <c r="D208" s="30"/>
      <c r="E208" s="58" t="s">
        <v>12</v>
      </c>
      <c r="F208" s="17"/>
      <c r="G208" s="16"/>
      <c r="H208" s="21"/>
    </row>
    <row r="209" spans="2:9" x14ac:dyDescent="0.25">
      <c r="B209" s="44" t="s">
        <v>140</v>
      </c>
      <c r="C209" s="45" t="s">
        <v>163</v>
      </c>
      <c r="D209" s="31"/>
      <c r="E209" s="11"/>
      <c r="F209" s="13"/>
      <c r="G209" s="23"/>
      <c r="H209" s="12"/>
      <c r="I209" s="14"/>
    </row>
    <row r="210" spans="2:9" x14ac:dyDescent="0.25">
      <c r="B210" s="43" t="s">
        <v>13</v>
      </c>
      <c r="C210" s="47" t="s">
        <v>164</v>
      </c>
      <c r="D210" s="30"/>
      <c r="E210" s="58" t="s">
        <v>8</v>
      </c>
      <c r="F210" s="17"/>
      <c r="G210" s="22"/>
      <c r="H210" s="18" t="str">
        <f>IF(D211="x",H$2,H$1)</f>
        <v>CORRECTO</v>
      </c>
    </row>
    <row r="211" spans="2:9" x14ac:dyDescent="0.25">
      <c r="B211" s="43" t="s">
        <v>13</v>
      </c>
      <c r="C211" t="s">
        <v>165</v>
      </c>
      <c r="D211" s="30" t="s">
        <v>254</v>
      </c>
      <c r="E211" s="58" t="s">
        <v>9</v>
      </c>
      <c r="F211" s="19" t="str">
        <f>IF(H212=1,IF(H210=H$2,H210,""),"")</f>
        <v>CORRECTO</v>
      </c>
      <c r="G211" s="22"/>
      <c r="H211" s="18">
        <f>IF(E$251="comprobar",COUNTIF(D210:D214,"x"),"")</f>
        <v>1</v>
      </c>
    </row>
    <row r="212" spans="2:9" x14ac:dyDescent="0.25">
      <c r="B212" s="43" t="s">
        <v>13</v>
      </c>
      <c r="C212" s="48" t="s">
        <v>166</v>
      </c>
      <c r="D212" s="30"/>
      <c r="E212" s="58" t="s">
        <v>10</v>
      </c>
      <c r="F212" s="20" t="str">
        <f>IF(H212=-0.33,IF(H210=H$1,H210,""),"")</f>
        <v/>
      </c>
      <c r="G212" s="22"/>
      <c r="H212" s="21">
        <f t="shared" ref="H212" si="31">IF(H211=1,IF(H210=H$2,1,-0.33),0)</f>
        <v>1</v>
      </c>
    </row>
    <row r="213" spans="2:9" x14ac:dyDescent="0.25">
      <c r="B213" s="43" t="s">
        <v>13</v>
      </c>
      <c r="C213" s="48"/>
      <c r="D213" s="30"/>
      <c r="E213" s="58" t="s">
        <v>11</v>
      </c>
      <c r="F213" s="17"/>
      <c r="G213" s="22"/>
      <c r="H213" s="21"/>
    </row>
    <row r="214" spans="2:9" x14ac:dyDescent="0.25">
      <c r="B214" s="46"/>
      <c r="C214" s="15"/>
      <c r="D214" s="30"/>
      <c r="E214" s="58" t="s">
        <v>12</v>
      </c>
      <c r="F214" s="17"/>
      <c r="G214" s="16"/>
      <c r="H214" s="21"/>
    </row>
    <row r="215" spans="2:9" x14ac:dyDescent="0.25">
      <c r="B215" s="44" t="s">
        <v>141</v>
      </c>
      <c r="C215" s="45" t="s">
        <v>167</v>
      </c>
      <c r="D215" s="31"/>
      <c r="E215" s="11"/>
      <c r="F215" s="13"/>
      <c r="G215" s="23"/>
      <c r="H215" s="12"/>
      <c r="I215" s="14"/>
    </row>
    <row r="216" spans="2:9" x14ac:dyDescent="0.25">
      <c r="B216" s="43" t="s">
        <v>13</v>
      </c>
      <c r="C216" s="47" t="s">
        <v>168</v>
      </c>
      <c r="D216" s="30" t="s">
        <v>254</v>
      </c>
      <c r="E216" s="58" t="s">
        <v>8</v>
      </c>
      <c r="F216" s="17"/>
      <c r="G216" s="22"/>
      <c r="H216" s="18" t="str">
        <f>IF(D216="x",H$2,H$1)</f>
        <v>CORRECTO</v>
      </c>
    </row>
    <row r="217" spans="2:9" x14ac:dyDescent="0.25">
      <c r="B217" s="43" t="s">
        <v>13</v>
      </c>
      <c r="C217" t="s">
        <v>169</v>
      </c>
      <c r="D217" s="30"/>
      <c r="E217" s="58" t="s">
        <v>9</v>
      </c>
      <c r="F217" s="19" t="str">
        <f>IF(H218=1,IF(H216=H$2,H216,""),"")</f>
        <v>CORRECTO</v>
      </c>
      <c r="G217" s="22"/>
      <c r="H217" s="18">
        <f>IF(E$251="comprobar",COUNTIF(D216:D220,"x"),"")</f>
        <v>1</v>
      </c>
    </row>
    <row r="218" spans="2:9" x14ac:dyDescent="0.25">
      <c r="B218" s="43" t="s">
        <v>13</v>
      </c>
      <c r="C218" s="48" t="s">
        <v>170</v>
      </c>
      <c r="D218" s="30"/>
      <c r="E218" s="58" t="s">
        <v>10</v>
      </c>
      <c r="F218" s="20" t="str">
        <f>IF(H218=-0.33,IF(H216=H$1,H216,""),"")</f>
        <v/>
      </c>
      <c r="G218" s="22"/>
      <c r="H218" s="21">
        <f t="shared" ref="H218" si="32">IF(H217=1,IF(H216=H$2,1,-0.33),0)</f>
        <v>1</v>
      </c>
    </row>
    <row r="219" spans="2:9" x14ac:dyDescent="0.25">
      <c r="B219" s="43" t="s">
        <v>13</v>
      </c>
      <c r="C219" s="48"/>
      <c r="D219" s="30"/>
      <c r="E219" s="58" t="s">
        <v>11</v>
      </c>
      <c r="F219" s="17"/>
      <c r="G219" s="22"/>
      <c r="H219" s="21"/>
    </row>
    <row r="220" spans="2:9" x14ac:dyDescent="0.25">
      <c r="B220" s="46"/>
      <c r="C220" s="15"/>
      <c r="D220" s="30"/>
      <c r="E220" s="58" t="s">
        <v>12</v>
      </c>
      <c r="F220" s="17"/>
      <c r="G220" s="16"/>
      <c r="H220" s="21"/>
    </row>
    <row r="221" spans="2:9" x14ac:dyDescent="0.25">
      <c r="B221" s="44" t="s">
        <v>142</v>
      </c>
      <c r="C221" s="45" t="s">
        <v>171</v>
      </c>
      <c r="D221" s="31"/>
      <c r="E221" s="11"/>
      <c r="F221" s="13"/>
      <c r="G221" s="23"/>
      <c r="H221" s="12"/>
      <c r="I221" s="14"/>
    </row>
    <row r="222" spans="2:9" x14ac:dyDescent="0.25">
      <c r="B222" s="43" t="s">
        <v>13</v>
      </c>
      <c r="C222" s="47" t="s">
        <v>172</v>
      </c>
      <c r="D222" s="30"/>
      <c r="E222" s="58" t="s">
        <v>8</v>
      </c>
      <c r="F222" s="17"/>
      <c r="G222" s="22"/>
      <c r="H222" s="18" t="str">
        <f>IF(D223="x",H$2,H$1)</f>
        <v>CORRECTO</v>
      </c>
    </row>
    <row r="223" spans="2:9" x14ac:dyDescent="0.25">
      <c r="B223" s="43" t="s">
        <v>13</v>
      </c>
      <c r="C223" t="s">
        <v>173</v>
      </c>
      <c r="D223" s="30" t="s">
        <v>254</v>
      </c>
      <c r="E223" s="58" t="s">
        <v>9</v>
      </c>
      <c r="F223" s="19" t="str">
        <f>IF(H224=1,IF(H222=H$2,H222,""),"")</f>
        <v>CORRECTO</v>
      </c>
      <c r="G223" s="22"/>
      <c r="H223" s="18">
        <f>IF(E$251="comprobar",COUNTIF(D222:D226,"x"),"")</f>
        <v>1</v>
      </c>
    </row>
    <row r="224" spans="2:9" x14ac:dyDescent="0.25">
      <c r="B224" s="43" t="s">
        <v>13</v>
      </c>
      <c r="C224" s="48" t="s">
        <v>174</v>
      </c>
      <c r="D224" s="30"/>
      <c r="E224" s="58" t="s">
        <v>10</v>
      </c>
      <c r="F224" s="20" t="str">
        <f>IF(H224=-0.33,IF(H222=H$1,H222,""),"")</f>
        <v/>
      </c>
      <c r="G224" s="22"/>
      <c r="H224" s="21">
        <f t="shared" ref="H224" si="33">IF(H223=1,IF(H222=H$2,1,-0.33),0)</f>
        <v>1</v>
      </c>
    </row>
    <row r="225" spans="2:9" x14ac:dyDescent="0.25">
      <c r="B225" s="43" t="s">
        <v>13</v>
      </c>
      <c r="C225" s="48"/>
      <c r="D225" s="30"/>
      <c r="E225" s="58" t="s">
        <v>11</v>
      </c>
      <c r="F225" s="17"/>
      <c r="G225" s="22"/>
      <c r="H225" s="21"/>
    </row>
    <row r="226" spans="2:9" x14ac:dyDescent="0.25">
      <c r="B226" s="46"/>
      <c r="C226" s="15"/>
      <c r="D226" s="30"/>
      <c r="E226" s="58" t="s">
        <v>12</v>
      </c>
      <c r="F226" s="17"/>
      <c r="G226" s="16"/>
      <c r="H226" s="21"/>
    </row>
    <row r="227" spans="2:9" x14ac:dyDescent="0.25">
      <c r="B227" s="44" t="s">
        <v>143</v>
      </c>
      <c r="C227" s="45" t="s">
        <v>175</v>
      </c>
      <c r="D227" s="31"/>
      <c r="E227" s="11"/>
      <c r="F227" s="13"/>
      <c r="G227" s="23"/>
      <c r="H227" s="12"/>
      <c r="I227" s="14"/>
    </row>
    <row r="228" spans="2:9" x14ac:dyDescent="0.25">
      <c r="B228" s="43" t="s">
        <v>13</v>
      </c>
      <c r="C228" s="47" t="s">
        <v>176</v>
      </c>
      <c r="D228" s="30"/>
      <c r="E228" s="58" t="s">
        <v>8</v>
      </c>
      <c r="F228" s="17"/>
      <c r="G228" s="22"/>
      <c r="H228" s="18" t="str">
        <f>IF(D229="x",H$2,H$1)</f>
        <v>CORRECTO</v>
      </c>
    </row>
    <row r="229" spans="2:9" x14ac:dyDescent="0.25">
      <c r="B229" s="43" t="s">
        <v>13</v>
      </c>
      <c r="C229" t="s">
        <v>177</v>
      </c>
      <c r="D229" s="30" t="s">
        <v>254</v>
      </c>
      <c r="E229" s="58" t="s">
        <v>9</v>
      </c>
      <c r="F229" s="19" t="str">
        <f>IF(H230=1,IF(H228=H$2,H228,""),"")</f>
        <v>CORRECTO</v>
      </c>
      <c r="G229" s="22"/>
      <c r="H229" s="18">
        <f>IF(E$251="comprobar",COUNTIF(D228:D232,"x"),"")</f>
        <v>1</v>
      </c>
    </row>
    <row r="230" spans="2:9" x14ac:dyDescent="0.25">
      <c r="B230" s="43" t="s">
        <v>13</v>
      </c>
      <c r="C230" s="48" t="s">
        <v>178</v>
      </c>
      <c r="D230" s="30"/>
      <c r="E230" s="58" t="s">
        <v>10</v>
      </c>
      <c r="F230" s="20" t="str">
        <f>IF(H230=-0.33,IF(H228=H$1,H228,""),"")</f>
        <v/>
      </c>
      <c r="G230" s="22"/>
      <c r="H230" s="21">
        <f t="shared" ref="H230" si="34">IF(H229=1,IF(H228=H$2,1,-0.33),0)</f>
        <v>1</v>
      </c>
    </row>
    <row r="231" spans="2:9" x14ac:dyDescent="0.25">
      <c r="B231" s="43" t="s">
        <v>13</v>
      </c>
      <c r="C231" s="48"/>
      <c r="D231" s="30"/>
      <c r="E231" s="58" t="s">
        <v>11</v>
      </c>
      <c r="F231" s="17"/>
      <c r="G231" s="22"/>
      <c r="H231" s="21"/>
    </row>
    <row r="232" spans="2:9" x14ac:dyDescent="0.25">
      <c r="B232" s="46"/>
      <c r="C232" s="15"/>
      <c r="D232" s="30"/>
      <c r="E232" s="58" t="s">
        <v>12</v>
      </c>
      <c r="F232" s="17"/>
      <c r="G232" s="16"/>
      <c r="H232" s="21"/>
    </row>
    <row r="233" spans="2:9" x14ac:dyDescent="0.25">
      <c r="B233" s="44" t="s">
        <v>144</v>
      </c>
      <c r="C233" s="45" t="s">
        <v>179</v>
      </c>
      <c r="D233" s="31"/>
      <c r="E233" s="11"/>
      <c r="F233" s="13"/>
      <c r="G233" s="23"/>
      <c r="H233" s="12"/>
      <c r="I233" s="14"/>
    </row>
    <row r="234" spans="2:9" x14ac:dyDescent="0.25">
      <c r="B234" s="43" t="s">
        <v>13</v>
      </c>
      <c r="C234" s="47" t="s">
        <v>180</v>
      </c>
      <c r="D234" s="30" t="s">
        <v>254</v>
      </c>
      <c r="E234" s="58" t="s">
        <v>8</v>
      </c>
      <c r="F234" s="17"/>
      <c r="G234" s="22"/>
      <c r="H234" s="18" t="str">
        <f>IF(D234="x",H$2,H$1)</f>
        <v>CORRECTO</v>
      </c>
    </row>
    <row r="235" spans="2:9" x14ac:dyDescent="0.25">
      <c r="B235" s="43" t="s">
        <v>13</v>
      </c>
      <c r="C235" t="s">
        <v>181</v>
      </c>
      <c r="D235" s="30"/>
      <c r="E235" s="58" t="s">
        <v>9</v>
      </c>
      <c r="F235" s="19" t="str">
        <f>IF(H236=1,IF(H234=H$2,H234,""),"")</f>
        <v>CORRECTO</v>
      </c>
      <c r="G235" s="22"/>
      <c r="H235" s="18">
        <f>IF(E$251="comprobar",COUNTIF(D234:D238,"x"),"")</f>
        <v>1</v>
      </c>
    </row>
    <row r="236" spans="2:9" x14ac:dyDescent="0.25">
      <c r="B236" s="43" t="s">
        <v>13</v>
      </c>
      <c r="C236" s="48" t="s">
        <v>182</v>
      </c>
      <c r="D236" s="30"/>
      <c r="E236" s="58" t="s">
        <v>10</v>
      </c>
      <c r="F236" s="20" t="str">
        <f>IF(H236=-0.33,IF(H234=H$1,H234,""),"")</f>
        <v/>
      </c>
      <c r="G236" s="22"/>
      <c r="H236" s="21">
        <f t="shared" ref="H236" si="35">IF(H235=1,IF(H234=H$2,1,-0.33),0)</f>
        <v>1</v>
      </c>
    </row>
    <row r="237" spans="2:9" x14ac:dyDescent="0.25">
      <c r="B237" s="43" t="s">
        <v>13</v>
      </c>
      <c r="C237" s="48"/>
      <c r="D237" s="30"/>
      <c r="E237" s="58" t="s">
        <v>11</v>
      </c>
      <c r="F237" s="17"/>
      <c r="G237" s="22"/>
      <c r="H237" s="21"/>
    </row>
    <row r="238" spans="2:9" x14ac:dyDescent="0.25">
      <c r="B238" s="46"/>
      <c r="C238" s="15"/>
      <c r="D238" s="30"/>
      <c r="E238" s="58" t="s">
        <v>12</v>
      </c>
      <c r="F238" s="17"/>
      <c r="G238" s="16"/>
      <c r="H238" s="21"/>
    </row>
    <row r="239" spans="2:9" x14ac:dyDescent="0.25">
      <c r="B239" s="44" t="s">
        <v>145</v>
      </c>
      <c r="C239" s="45" t="s">
        <v>183</v>
      </c>
      <c r="D239" s="31"/>
      <c r="E239" s="11"/>
      <c r="F239" s="13"/>
      <c r="G239" s="23"/>
      <c r="H239" s="12"/>
      <c r="I239" s="14"/>
    </row>
    <row r="240" spans="2:9" x14ac:dyDescent="0.25">
      <c r="B240" s="43" t="s">
        <v>13</v>
      </c>
      <c r="C240" s="47" t="s">
        <v>184</v>
      </c>
      <c r="D240" s="30" t="s">
        <v>254</v>
      </c>
      <c r="E240" s="58" t="s">
        <v>8</v>
      </c>
      <c r="F240" s="17"/>
      <c r="G240" s="22"/>
      <c r="H240" s="18" t="str">
        <f>IF(D240="x",H$2,H$1)</f>
        <v>CORRECTO</v>
      </c>
    </row>
    <row r="241" spans="2:9" x14ac:dyDescent="0.25">
      <c r="B241" s="43" t="s">
        <v>13</v>
      </c>
      <c r="C241" t="s">
        <v>185</v>
      </c>
      <c r="D241" s="30"/>
      <c r="E241" s="58" t="s">
        <v>9</v>
      </c>
      <c r="F241" s="19" t="str">
        <f>IF(H242=1,IF(H240=H$2,H240,""),"")</f>
        <v>CORRECTO</v>
      </c>
      <c r="G241" s="22"/>
      <c r="H241" s="18">
        <f>IF(E$251="comprobar",COUNTIF(D240:D244,"x"),"")</f>
        <v>1</v>
      </c>
    </row>
    <row r="242" spans="2:9" x14ac:dyDescent="0.25">
      <c r="B242" s="43" t="s">
        <v>13</v>
      </c>
      <c r="C242" s="48" t="s">
        <v>186</v>
      </c>
      <c r="D242" s="30"/>
      <c r="E242" s="58" t="s">
        <v>10</v>
      </c>
      <c r="F242" s="20" t="str">
        <f>IF(H242=-0.33,IF(H240=H$1,H240,""),"")</f>
        <v/>
      </c>
      <c r="G242" s="22"/>
      <c r="H242" s="21">
        <f t="shared" ref="H242" si="36">IF(H241=1,IF(H240=H$2,1,-0.33),0)</f>
        <v>1</v>
      </c>
    </row>
    <row r="243" spans="2:9" x14ac:dyDescent="0.25">
      <c r="B243" s="43" t="s">
        <v>13</v>
      </c>
      <c r="C243" s="48"/>
      <c r="D243" s="30"/>
      <c r="E243" s="58" t="s">
        <v>11</v>
      </c>
      <c r="F243" s="17"/>
      <c r="G243" s="22"/>
      <c r="H243" s="21"/>
    </row>
    <row r="244" spans="2:9" x14ac:dyDescent="0.25">
      <c r="B244" s="46"/>
      <c r="C244" s="15"/>
      <c r="D244" s="30"/>
      <c r="E244" s="58" t="s">
        <v>12</v>
      </c>
      <c r="F244" s="17"/>
      <c r="G244" s="16"/>
      <c r="H244" s="21"/>
    </row>
    <row r="245" spans="2:9" x14ac:dyDescent="0.25">
      <c r="B245" s="44" t="s">
        <v>146</v>
      </c>
      <c r="C245" s="45" t="s">
        <v>187</v>
      </c>
      <c r="D245" s="31"/>
      <c r="E245" s="11"/>
      <c r="F245" s="13"/>
      <c r="G245" s="23"/>
      <c r="H245" s="12"/>
      <c r="I245" s="14"/>
    </row>
    <row r="246" spans="2:9" x14ac:dyDescent="0.25">
      <c r="B246" s="43" t="s">
        <v>13</v>
      </c>
      <c r="C246" s="47" t="s">
        <v>188</v>
      </c>
      <c r="D246" s="30"/>
      <c r="E246" s="58" t="s">
        <v>8</v>
      </c>
      <c r="F246" s="17"/>
      <c r="G246" s="22"/>
      <c r="H246" s="18" t="str">
        <f>IF(D248="x",H$2,H$1)</f>
        <v>CORRECTO</v>
      </c>
    </row>
    <row r="247" spans="2:9" x14ac:dyDescent="0.25">
      <c r="B247" s="43" t="s">
        <v>13</v>
      </c>
      <c r="C247" t="s">
        <v>189</v>
      </c>
      <c r="D247" s="30"/>
      <c r="E247" s="58" t="s">
        <v>9</v>
      </c>
      <c r="F247" s="19" t="str">
        <f>IF(H248=1,IF(H246=H$2,H246,""),"")</f>
        <v>CORRECTO</v>
      </c>
      <c r="G247" s="22"/>
      <c r="H247" s="18">
        <f>IF(E$251="comprobar",COUNTIF(D246:D250,"x"),"")</f>
        <v>1</v>
      </c>
    </row>
    <row r="248" spans="2:9" x14ac:dyDescent="0.25">
      <c r="B248" s="43" t="s">
        <v>13</v>
      </c>
      <c r="C248" s="48" t="s">
        <v>190</v>
      </c>
      <c r="D248" s="30" t="s">
        <v>254</v>
      </c>
      <c r="E248" s="58" t="s">
        <v>10</v>
      </c>
      <c r="F248" s="20" t="str">
        <f>IF(H248=-0.33,IF(H246=H$1,H246,""),"")</f>
        <v/>
      </c>
      <c r="G248" s="22"/>
      <c r="H248" s="21">
        <f t="shared" ref="H248" si="37">IF(H247=1,IF(H246=H$2,1,-0.33),0)</f>
        <v>1</v>
      </c>
    </row>
    <row r="249" spans="2:9" x14ac:dyDescent="0.25">
      <c r="B249" s="43" t="s">
        <v>13</v>
      </c>
      <c r="C249" s="48"/>
      <c r="D249" s="30"/>
      <c r="E249" s="58" t="s">
        <v>11</v>
      </c>
      <c r="F249" s="17"/>
      <c r="G249" s="22"/>
      <c r="H249" s="21"/>
    </row>
    <row r="250" spans="2:9" x14ac:dyDescent="0.25">
      <c r="B250" s="46"/>
      <c r="C250" s="15"/>
      <c r="D250" s="30"/>
      <c r="E250" s="58" t="s">
        <v>12</v>
      </c>
      <c r="F250" s="17"/>
      <c r="G250" s="16"/>
      <c r="H250" s="21"/>
    </row>
    <row r="251" spans="2:9" x14ac:dyDescent="0.25">
      <c r="B251" s="46"/>
      <c r="C251" s="15"/>
      <c r="D251" s="34"/>
      <c r="E251" s="35" t="s">
        <v>253</v>
      </c>
      <c r="F251" s="17"/>
      <c r="G251" s="16"/>
      <c r="H251" s="21"/>
    </row>
    <row r="252" spans="2:9" x14ac:dyDescent="0.25">
      <c r="B252" s="32"/>
      <c r="C252" s="8"/>
      <c r="D252" s="34"/>
      <c r="E252" s="36"/>
      <c r="F252" s="24" t="s">
        <v>7</v>
      </c>
      <c r="G252" s="16" t="s">
        <v>5</v>
      </c>
      <c r="H252" s="16" t="s">
        <v>6</v>
      </c>
    </row>
    <row r="253" spans="2:9" ht="19.5" x14ac:dyDescent="0.25">
      <c r="B253" s="32"/>
      <c r="C253" s="8"/>
      <c r="D253" s="61"/>
      <c r="E253" s="61"/>
      <c r="F253" s="25">
        <f>IF(E$251="comprobar",H176+H170+H164+H158+H152+H146+H140+H134+H182+H188+H194+H200+H206+H212+H218+H224+H230+H236+H242+H248,"")</f>
        <v>20</v>
      </c>
      <c r="G253" s="16">
        <f>20/2</f>
        <v>10</v>
      </c>
      <c r="H253" s="16"/>
    </row>
    <row r="254" spans="2:9" ht="16.5" thickBot="1" x14ac:dyDescent="0.3">
      <c r="B254" s="32"/>
      <c r="C254" s="8"/>
      <c r="D254" s="59"/>
      <c r="E254" s="59"/>
      <c r="F254" s="17"/>
      <c r="G254" s="16"/>
      <c r="H254" s="16"/>
    </row>
    <row r="255" spans="2:9" ht="28.5" x14ac:dyDescent="0.45">
      <c r="B255" s="37" t="s">
        <v>106</v>
      </c>
      <c r="C255" s="55" t="s">
        <v>191</v>
      </c>
      <c r="D255" s="55"/>
      <c r="E255" s="55"/>
      <c r="F255" s="56"/>
    </row>
    <row r="256" spans="2:9" x14ac:dyDescent="0.25">
      <c r="B256" s="51" t="s">
        <v>15</v>
      </c>
      <c r="C256" s="45" t="s">
        <v>226</v>
      </c>
      <c r="D256" s="11"/>
      <c r="E256" s="11"/>
      <c r="F256" s="13"/>
      <c r="G256" s="49"/>
      <c r="H256" s="12"/>
    </row>
    <row r="257" spans="2:8" x14ac:dyDescent="0.25">
      <c r="B257" s="43" t="s">
        <v>13</v>
      </c>
      <c r="C257" s="47" t="s">
        <v>229</v>
      </c>
      <c r="D257" s="30"/>
      <c r="E257" s="59" t="s">
        <v>8</v>
      </c>
      <c r="F257" s="17"/>
      <c r="G257" s="22"/>
      <c r="H257" s="18" t="str">
        <f>IF(D259="x",H$2,H$1)</f>
        <v>CORRECTO</v>
      </c>
    </row>
    <row r="258" spans="2:8" x14ac:dyDescent="0.25">
      <c r="B258" s="43" t="s">
        <v>13</v>
      </c>
      <c r="C258" t="s">
        <v>228</v>
      </c>
      <c r="D258" s="30"/>
      <c r="E258" s="59" t="s">
        <v>9</v>
      </c>
      <c r="F258" s="19" t="str">
        <f>IF(H259=1,IF(H257=H$2,H257,""),"")</f>
        <v>CORRECTO</v>
      </c>
      <c r="G258" s="22"/>
      <c r="H258" s="18">
        <f>IF(E$376="comprobar",COUNTIF(D257:D261,"x"),"")</f>
        <v>1</v>
      </c>
    </row>
    <row r="259" spans="2:8" x14ac:dyDescent="0.25">
      <c r="B259" s="43" t="s">
        <v>13</v>
      </c>
      <c r="C259" s="48" t="s">
        <v>227</v>
      </c>
      <c r="D259" s="30" t="s">
        <v>254</v>
      </c>
      <c r="E259" s="59" t="s">
        <v>10</v>
      </c>
      <c r="F259" s="20" t="str">
        <f>IF(H259=-0.33,IF(H257=H$1,H257,""),"")</f>
        <v/>
      </c>
      <c r="G259" s="22"/>
      <c r="H259" s="21">
        <f>IF(H258=1,IF(H257=H$2,1,-0.33),0)</f>
        <v>1</v>
      </c>
    </row>
    <row r="260" spans="2:8" x14ac:dyDescent="0.25">
      <c r="B260" s="43" t="s">
        <v>13</v>
      </c>
      <c r="C260" s="48"/>
      <c r="D260" s="30"/>
      <c r="E260" s="59" t="s">
        <v>11</v>
      </c>
      <c r="F260" s="17"/>
      <c r="G260" s="22"/>
      <c r="H260" s="21"/>
    </row>
    <row r="261" spans="2:8" x14ac:dyDescent="0.25">
      <c r="B261" s="46"/>
      <c r="C261" s="15"/>
      <c r="D261" s="30"/>
      <c r="E261" s="59" t="s">
        <v>12</v>
      </c>
      <c r="F261" s="17"/>
      <c r="G261" s="16"/>
      <c r="H261" s="21"/>
    </row>
    <row r="262" spans="2:8" x14ac:dyDescent="0.25">
      <c r="B262" s="44" t="s">
        <v>14</v>
      </c>
      <c r="C262" s="45" t="s">
        <v>259</v>
      </c>
      <c r="D262" s="31"/>
      <c r="E262" s="11"/>
      <c r="F262" s="13"/>
      <c r="G262" s="49"/>
      <c r="H262" s="12"/>
    </row>
    <row r="263" spans="2:8" x14ac:dyDescent="0.25">
      <c r="B263" s="43" t="s">
        <v>13</v>
      </c>
      <c r="C263" s="47" t="s">
        <v>198</v>
      </c>
      <c r="D263" s="30" t="s">
        <v>254</v>
      </c>
      <c r="E263" s="59" t="s">
        <v>8</v>
      </c>
      <c r="F263" s="17"/>
      <c r="G263" s="22"/>
      <c r="H263" s="18" t="str">
        <f>IF(D263="x",H$2,H$1)</f>
        <v>CORRECTO</v>
      </c>
    </row>
    <row r="264" spans="2:8" x14ac:dyDescent="0.25">
      <c r="B264" s="43" t="s">
        <v>13</v>
      </c>
      <c r="C264" s="62" t="s">
        <v>193</v>
      </c>
      <c r="D264" s="30"/>
      <c r="E264" s="59" t="s">
        <v>9</v>
      </c>
      <c r="F264" s="19" t="str">
        <f>IF(H265=1,IF(H263=H$2,H263,""),"")</f>
        <v>CORRECTO</v>
      </c>
      <c r="G264" s="22"/>
      <c r="H264" s="18">
        <f>IF(E$376="comprobar",COUNTIF(D263:D267,"x"),"")</f>
        <v>1</v>
      </c>
    </row>
    <row r="265" spans="2:8" x14ac:dyDescent="0.25">
      <c r="B265" s="43" t="s">
        <v>13</v>
      </c>
      <c r="C265" s="48" t="s">
        <v>192</v>
      </c>
      <c r="D265" s="30"/>
      <c r="E265" s="59" t="s">
        <v>10</v>
      </c>
      <c r="F265" s="20" t="str">
        <f>IF(H265=-0.33,IF(H263=H$1,H263,""),"")</f>
        <v/>
      </c>
      <c r="G265" s="22"/>
      <c r="H265" s="21">
        <f t="shared" ref="H265" si="38">IF(H264=1,IF(H263=H$2,1,-0.33),0)</f>
        <v>1</v>
      </c>
    </row>
    <row r="266" spans="2:8" x14ac:dyDescent="0.25">
      <c r="B266" s="43" t="s">
        <v>13</v>
      </c>
      <c r="C266" s="48"/>
      <c r="D266" s="30"/>
      <c r="E266" s="59" t="s">
        <v>11</v>
      </c>
      <c r="F266" s="17"/>
      <c r="G266" s="22"/>
      <c r="H266" s="21"/>
    </row>
    <row r="267" spans="2:8" x14ac:dyDescent="0.25">
      <c r="B267" s="46"/>
      <c r="C267" s="15"/>
      <c r="D267" s="30"/>
      <c r="E267" s="59" t="s">
        <v>12</v>
      </c>
      <c r="F267" s="17"/>
      <c r="G267" s="16"/>
      <c r="H267" s="21"/>
    </row>
    <row r="268" spans="2:8" x14ac:dyDescent="0.25">
      <c r="B268" s="44" t="s">
        <v>16</v>
      </c>
      <c r="C268" s="45" t="s">
        <v>260</v>
      </c>
      <c r="D268" s="31"/>
      <c r="E268" s="11"/>
      <c r="F268" s="13"/>
      <c r="G268" s="23"/>
      <c r="H268" s="12"/>
    </row>
    <row r="269" spans="2:8" x14ac:dyDescent="0.25">
      <c r="B269" s="43" t="s">
        <v>13</v>
      </c>
      <c r="C269" s="47" t="s">
        <v>194</v>
      </c>
      <c r="D269" s="30" t="s">
        <v>254</v>
      </c>
      <c r="E269" s="59" t="s">
        <v>8</v>
      </c>
      <c r="F269" s="17"/>
      <c r="G269" s="22"/>
      <c r="H269" s="18" t="str">
        <f>IF(D269="x",H$2,H$1)</f>
        <v>CORRECTO</v>
      </c>
    </row>
    <row r="270" spans="2:8" x14ac:dyDescent="0.25">
      <c r="B270" s="43" t="s">
        <v>13</v>
      </c>
      <c r="C270" s="62" t="s">
        <v>193</v>
      </c>
      <c r="D270" s="30"/>
      <c r="E270" s="59" t="s">
        <v>9</v>
      </c>
      <c r="F270" s="19" t="str">
        <f>IF(H271=1,IF(H269=H$2,H269,""),"")</f>
        <v>CORRECTO</v>
      </c>
      <c r="G270" s="22"/>
      <c r="H270" s="18">
        <f>IF(E$376="comprobar",COUNTIF(D269:D273,"x"),"")</f>
        <v>1</v>
      </c>
    </row>
    <row r="271" spans="2:8" x14ac:dyDescent="0.25">
      <c r="B271" s="43" t="s">
        <v>13</v>
      </c>
      <c r="C271" s="48" t="s">
        <v>192</v>
      </c>
      <c r="D271" s="30"/>
      <c r="E271" s="59" t="s">
        <v>10</v>
      </c>
      <c r="F271" s="20" t="str">
        <f>IF(H271=-0.33,IF(H269=H$1,H269,""),"")</f>
        <v/>
      </c>
      <c r="G271" s="22"/>
      <c r="H271" s="21">
        <f t="shared" ref="H271" si="39">IF(H270=1,IF(H269=H$2,1,-0.33),0)</f>
        <v>1</v>
      </c>
    </row>
    <row r="272" spans="2:8" x14ac:dyDescent="0.25">
      <c r="B272" s="43" t="s">
        <v>13</v>
      </c>
      <c r="C272" s="48"/>
      <c r="D272" s="30"/>
      <c r="E272" s="59" t="s">
        <v>11</v>
      </c>
      <c r="F272" s="17"/>
      <c r="G272" s="22"/>
      <c r="H272" s="21"/>
    </row>
    <row r="273" spans="2:8" x14ac:dyDescent="0.25">
      <c r="B273" s="46"/>
      <c r="C273" s="15"/>
      <c r="D273" s="30"/>
      <c r="E273" s="59" t="s">
        <v>12</v>
      </c>
      <c r="F273" s="17"/>
      <c r="G273" s="16"/>
      <c r="H273" s="21"/>
    </row>
    <row r="274" spans="2:8" x14ac:dyDescent="0.25">
      <c r="B274" s="44" t="s">
        <v>17</v>
      </c>
      <c r="C274" s="45" t="s">
        <v>261</v>
      </c>
      <c r="D274" s="31"/>
      <c r="E274" s="11"/>
      <c r="F274" s="13"/>
      <c r="G274" s="23"/>
      <c r="H274" s="12"/>
    </row>
    <row r="275" spans="2:8" x14ac:dyDescent="0.25">
      <c r="B275" s="43" t="s">
        <v>13</v>
      </c>
      <c r="C275" s="47" t="s">
        <v>203</v>
      </c>
      <c r="D275" s="30" t="s">
        <v>254</v>
      </c>
      <c r="E275" s="59" t="s">
        <v>8</v>
      </c>
      <c r="F275" s="17"/>
      <c r="G275" s="22"/>
      <c r="H275" s="18" t="str">
        <f>IF(D275="x",H$2,H$1)</f>
        <v>CORRECTO</v>
      </c>
    </row>
    <row r="276" spans="2:8" x14ac:dyDescent="0.25">
      <c r="B276" s="43" t="s">
        <v>13</v>
      </c>
      <c r="C276" s="62" t="s">
        <v>205</v>
      </c>
      <c r="D276" s="30"/>
      <c r="E276" s="59" t="s">
        <v>9</v>
      </c>
      <c r="F276" s="19" t="str">
        <f>IF(H277=1,IF(H275=H$2,H275,""),"")</f>
        <v>CORRECTO</v>
      </c>
      <c r="G276" s="22"/>
      <c r="H276" s="18">
        <f>IF(E$376="comprobar",COUNTIF(D275:D279,"x"),"")</f>
        <v>1</v>
      </c>
    </row>
    <row r="277" spans="2:8" x14ac:dyDescent="0.25">
      <c r="B277" s="43" t="s">
        <v>13</v>
      </c>
      <c r="C277" s="48" t="s">
        <v>204</v>
      </c>
      <c r="D277" s="30"/>
      <c r="E277" s="59" t="s">
        <v>10</v>
      </c>
      <c r="F277" s="20" t="str">
        <f>IF(H277=-0.33,IF(H275=H$1,H275,""),"")</f>
        <v/>
      </c>
      <c r="G277" s="22"/>
      <c r="H277" s="21">
        <f t="shared" ref="H277" si="40">IF(H276=1,IF(H275=H$2,1,-0.33),0)</f>
        <v>1</v>
      </c>
    </row>
    <row r="278" spans="2:8" x14ac:dyDescent="0.25">
      <c r="B278" s="43" t="s">
        <v>13</v>
      </c>
      <c r="C278" s="48"/>
      <c r="D278" s="30"/>
      <c r="E278" s="59" t="s">
        <v>11</v>
      </c>
      <c r="F278" s="17"/>
      <c r="G278" s="22"/>
      <c r="H278" s="21"/>
    </row>
    <row r="279" spans="2:8" x14ac:dyDescent="0.25">
      <c r="B279" s="46"/>
      <c r="C279" s="15"/>
      <c r="D279" s="30"/>
      <c r="E279" s="59" t="s">
        <v>12</v>
      </c>
      <c r="F279" s="17"/>
      <c r="G279" s="16"/>
      <c r="H279" s="21"/>
    </row>
    <row r="280" spans="2:8" x14ac:dyDescent="0.25">
      <c r="B280" s="44" t="s">
        <v>18</v>
      </c>
      <c r="C280" s="45" t="s">
        <v>199</v>
      </c>
      <c r="D280" s="31"/>
      <c r="E280" s="11"/>
      <c r="F280" s="13"/>
      <c r="G280" s="23"/>
      <c r="H280" s="12"/>
    </row>
    <row r="281" spans="2:8" x14ac:dyDescent="0.25">
      <c r="B281" s="43" t="s">
        <v>13</v>
      </c>
      <c r="C281" s="47" t="s">
        <v>200</v>
      </c>
      <c r="D281" s="30"/>
      <c r="E281" s="59" t="s">
        <v>8</v>
      </c>
      <c r="F281" s="17"/>
      <c r="G281" s="22"/>
      <c r="H281" s="18" t="str">
        <f>IF(D282="x",H$2,H$1)</f>
        <v>CORRECTO</v>
      </c>
    </row>
    <row r="282" spans="2:8" x14ac:dyDescent="0.25">
      <c r="B282" s="43" t="s">
        <v>13</v>
      </c>
      <c r="C282" s="62" t="s">
        <v>202</v>
      </c>
      <c r="D282" s="30" t="s">
        <v>254</v>
      </c>
      <c r="E282" s="59" t="s">
        <v>9</v>
      </c>
      <c r="F282" s="19" t="str">
        <f>IF(H283=1,IF(H281=H$2,H281,""),"")</f>
        <v>CORRECTO</v>
      </c>
      <c r="G282" s="22"/>
      <c r="H282" s="18">
        <f>IF(E$376="comprobar",COUNTIF(D281:D285,"x"),"")</f>
        <v>1</v>
      </c>
    </row>
    <row r="283" spans="2:8" x14ac:dyDescent="0.25">
      <c r="B283" s="43" t="s">
        <v>13</v>
      </c>
      <c r="C283" s="48" t="s">
        <v>201</v>
      </c>
      <c r="D283" s="30"/>
      <c r="E283" s="59" t="s">
        <v>10</v>
      </c>
      <c r="F283" s="20" t="str">
        <f>IF(H283=-0.33,IF(H281=H$1,H281,""),"")</f>
        <v/>
      </c>
      <c r="G283" s="22"/>
      <c r="H283" s="21">
        <f t="shared" ref="H283" si="41">IF(H282=1,IF(H281=H$2,1,-0.33),0)</f>
        <v>1</v>
      </c>
    </row>
    <row r="284" spans="2:8" x14ac:dyDescent="0.25">
      <c r="B284" s="43" t="s">
        <v>13</v>
      </c>
      <c r="C284" s="48"/>
      <c r="D284" s="30"/>
      <c r="E284" s="59" t="s">
        <v>11</v>
      </c>
      <c r="F284" s="17"/>
      <c r="G284" s="22"/>
      <c r="H284" s="21"/>
    </row>
    <row r="285" spans="2:8" x14ac:dyDescent="0.25">
      <c r="B285" s="46"/>
      <c r="C285" s="15"/>
      <c r="D285" s="30"/>
      <c r="E285" s="59" t="s">
        <v>12</v>
      </c>
      <c r="F285" s="17"/>
      <c r="G285" s="16"/>
      <c r="H285" s="21"/>
    </row>
    <row r="286" spans="2:8" x14ac:dyDescent="0.25">
      <c r="B286" s="44" t="s">
        <v>19</v>
      </c>
      <c r="C286" s="45" t="s">
        <v>262</v>
      </c>
      <c r="D286" s="31"/>
      <c r="E286" s="11"/>
      <c r="F286" s="13"/>
      <c r="G286" s="23"/>
      <c r="H286" s="12"/>
    </row>
    <row r="287" spans="2:8" x14ac:dyDescent="0.25">
      <c r="B287" s="43" t="s">
        <v>13</v>
      </c>
      <c r="C287" s="47" t="s">
        <v>234</v>
      </c>
      <c r="D287" s="30" t="s">
        <v>254</v>
      </c>
      <c r="E287" s="59" t="s">
        <v>8</v>
      </c>
      <c r="F287" s="17"/>
      <c r="G287" s="22"/>
      <c r="H287" s="18" t="str">
        <f>IF(D287="x",H$2,H$1)</f>
        <v>CORRECTO</v>
      </c>
    </row>
    <row r="288" spans="2:8" x14ac:dyDescent="0.25">
      <c r="B288" s="43" t="s">
        <v>13</v>
      </c>
      <c r="C288" s="62" t="s">
        <v>235</v>
      </c>
      <c r="D288" s="30"/>
      <c r="E288" s="59" t="s">
        <v>9</v>
      </c>
      <c r="F288" s="19" t="str">
        <f>IF(H289=1,IF(H287=H$2,H287,""),"")</f>
        <v>CORRECTO</v>
      </c>
      <c r="G288" s="22"/>
      <c r="H288" s="18">
        <f>IF(E$376="comprobar",COUNTIF(D287:D291,"x"),"")</f>
        <v>1</v>
      </c>
    </row>
    <row r="289" spans="2:8" x14ac:dyDescent="0.25">
      <c r="B289" s="43" t="s">
        <v>13</v>
      </c>
      <c r="C289" s="48" t="s">
        <v>233</v>
      </c>
      <c r="D289" s="30"/>
      <c r="E289" s="59" t="s">
        <v>10</v>
      </c>
      <c r="F289" s="20" t="str">
        <f>IF(H289=-0.33,IF(H287=H$1,H287,""),"")</f>
        <v/>
      </c>
      <c r="G289" s="22"/>
      <c r="H289" s="21">
        <f t="shared" ref="H289" si="42">IF(H288=1,IF(H287=H$2,1,-0.33),0)</f>
        <v>1</v>
      </c>
    </row>
    <row r="290" spans="2:8" x14ac:dyDescent="0.25">
      <c r="B290" s="43" t="s">
        <v>13</v>
      </c>
      <c r="C290" s="48"/>
      <c r="D290" s="30"/>
      <c r="E290" s="59" t="s">
        <v>11</v>
      </c>
      <c r="F290" s="17"/>
      <c r="G290" s="22"/>
      <c r="H290" s="21"/>
    </row>
    <row r="291" spans="2:8" x14ac:dyDescent="0.25">
      <c r="B291" s="46"/>
      <c r="C291" s="15"/>
      <c r="D291" s="30"/>
      <c r="E291" s="59" t="s">
        <v>12</v>
      </c>
      <c r="F291" s="17"/>
      <c r="G291" s="16"/>
      <c r="H291" s="21"/>
    </row>
    <row r="292" spans="2:8" x14ac:dyDescent="0.25">
      <c r="B292" s="44" t="s">
        <v>20</v>
      </c>
      <c r="C292" s="45" t="s">
        <v>236</v>
      </c>
      <c r="D292" s="31"/>
      <c r="E292" s="11"/>
      <c r="F292" s="13"/>
      <c r="G292" s="23"/>
      <c r="H292" s="12"/>
    </row>
    <row r="293" spans="2:8" x14ac:dyDescent="0.25">
      <c r="B293" s="43" t="s">
        <v>13</v>
      </c>
      <c r="C293" s="47" t="s">
        <v>238</v>
      </c>
      <c r="D293" s="30"/>
      <c r="E293" s="59" t="s">
        <v>8</v>
      </c>
      <c r="F293" s="17"/>
      <c r="G293" s="22"/>
      <c r="H293" s="18" t="str">
        <f>IF(D295="x",H$2,H$1)</f>
        <v>CORRECTO</v>
      </c>
    </row>
    <row r="294" spans="2:8" x14ac:dyDescent="0.25">
      <c r="B294" s="43" t="s">
        <v>13</v>
      </c>
      <c r="C294" s="62" t="s">
        <v>263</v>
      </c>
      <c r="D294" s="30"/>
      <c r="E294" s="59" t="s">
        <v>9</v>
      </c>
      <c r="F294" s="19" t="str">
        <f>IF(H295=1,IF(H293=H$2,H293,""),"")</f>
        <v>CORRECTO</v>
      </c>
      <c r="G294" s="22"/>
      <c r="H294" s="18">
        <f>IF(E$376="comprobar",COUNTIF(D293:D297,"x"),"")</f>
        <v>1</v>
      </c>
    </row>
    <row r="295" spans="2:8" x14ac:dyDescent="0.25">
      <c r="B295" s="43" t="s">
        <v>13</v>
      </c>
      <c r="C295" s="48" t="s">
        <v>237</v>
      </c>
      <c r="D295" s="30" t="s">
        <v>254</v>
      </c>
      <c r="E295" s="59" t="s">
        <v>10</v>
      </c>
      <c r="F295" s="20" t="str">
        <f>IF(H295=-0.33,IF(H293=H$1,H293,""),"")</f>
        <v/>
      </c>
      <c r="G295" s="22"/>
      <c r="H295" s="21">
        <f t="shared" ref="H295" si="43">IF(H294=1,IF(H293=H$2,1,-0.33),0)</f>
        <v>1</v>
      </c>
    </row>
    <row r="296" spans="2:8" x14ac:dyDescent="0.25">
      <c r="B296" s="43" t="s">
        <v>13</v>
      </c>
      <c r="C296" s="48"/>
      <c r="D296" s="30"/>
      <c r="E296" s="59" t="s">
        <v>11</v>
      </c>
      <c r="F296" s="17"/>
      <c r="G296" s="22"/>
      <c r="H296" s="21"/>
    </row>
    <row r="297" spans="2:8" x14ac:dyDescent="0.25">
      <c r="B297" s="46"/>
      <c r="C297" s="15"/>
      <c r="D297" s="30"/>
      <c r="E297" s="59" t="s">
        <v>12</v>
      </c>
      <c r="F297" s="17"/>
      <c r="G297" s="16"/>
      <c r="H297" s="21"/>
    </row>
    <row r="298" spans="2:8" x14ac:dyDescent="0.25">
      <c r="B298" s="44" t="s">
        <v>21</v>
      </c>
      <c r="C298" s="45" t="s">
        <v>264</v>
      </c>
      <c r="D298" s="31"/>
      <c r="E298" s="11"/>
      <c r="F298" s="13"/>
      <c r="G298" s="23"/>
      <c r="H298" s="12"/>
    </row>
    <row r="299" spans="2:8" x14ac:dyDescent="0.25">
      <c r="B299" s="43" t="s">
        <v>13</v>
      </c>
      <c r="C299" s="47" t="s">
        <v>220</v>
      </c>
      <c r="D299" s="30" t="s">
        <v>254</v>
      </c>
      <c r="E299" s="59" t="s">
        <v>8</v>
      </c>
      <c r="F299" s="17"/>
      <c r="G299" s="22"/>
      <c r="H299" s="18" t="str">
        <f>IF(D299="x",H$2,H$1)</f>
        <v>CORRECTO</v>
      </c>
    </row>
    <row r="300" spans="2:8" x14ac:dyDescent="0.25">
      <c r="B300" s="43" t="s">
        <v>13</v>
      </c>
      <c r="C300" s="62" t="s">
        <v>219</v>
      </c>
      <c r="D300" s="30"/>
      <c r="E300" s="59" t="s">
        <v>9</v>
      </c>
      <c r="F300" s="19" t="str">
        <f>IF(H301=1,IF(H299=H$2,H299,""),"")</f>
        <v>CORRECTO</v>
      </c>
      <c r="G300" s="22"/>
      <c r="H300" s="18">
        <f>IF(E$376="comprobar",COUNTIF(D299:D303,"x"),"")</f>
        <v>1</v>
      </c>
    </row>
    <row r="301" spans="2:8" x14ac:dyDescent="0.25">
      <c r="B301" s="43" t="s">
        <v>13</v>
      </c>
      <c r="C301" s="48" t="s">
        <v>221</v>
      </c>
      <c r="D301" s="30"/>
      <c r="E301" s="59" t="s">
        <v>10</v>
      </c>
      <c r="F301" s="20" t="str">
        <f>IF(H301=-0.33,IF(H299=H$1,H299,""),"")</f>
        <v/>
      </c>
      <c r="G301" s="22"/>
      <c r="H301" s="21">
        <f t="shared" ref="H301" si="44">IF(H300=1,IF(H299=H$2,1,-0.33),0)</f>
        <v>1</v>
      </c>
    </row>
    <row r="302" spans="2:8" x14ac:dyDescent="0.25">
      <c r="B302" s="43" t="s">
        <v>13</v>
      </c>
      <c r="C302" s="48"/>
      <c r="D302" s="30"/>
      <c r="E302" s="59" t="s">
        <v>11</v>
      </c>
      <c r="F302" s="17"/>
      <c r="G302" s="22"/>
      <c r="H302" s="21"/>
    </row>
    <row r="303" spans="2:8" x14ac:dyDescent="0.25">
      <c r="B303" s="46"/>
      <c r="C303" s="15"/>
      <c r="D303" s="30"/>
      <c r="E303" s="59" t="s">
        <v>12</v>
      </c>
      <c r="F303" s="17"/>
      <c r="G303" s="16"/>
      <c r="H303" s="21"/>
    </row>
    <row r="304" spans="2:8" x14ac:dyDescent="0.25">
      <c r="B304" s="44" t="s">
        <v>23</v>
      </c>
      <c r="C304" s="45" t="s">
        <v>195</v>
      </c>
      <c r="D304" s="31"/>
      <c r="E304" s="11"/>
      <c r="F304" s="13"/>
      <c r="G304" s="23"/>
      <c r="H304" s="12"/>
    </row>
    <row r="305" spans="2:8" x14ac:dyDescent="0.25">
      <c r="B305" s="43" t="s">
        <v>13</v>
      </c>
      <c r="C305" s="47" t="s">
        <v>196</v>
      </c>
      <c r="D305" s="30" t="s">
        <v>254</v>
      </c>
      <c r="E305" s="59" t="s">
        <v>8</v>
      </c>
      <c r="F305" s="17"/>
      <c r="G305" s="22"/>
      <c r="H305" s="18" t="str">
        <f>IF(D305="x",H$2,H$1)</f>
        <v>CORRECTO</v>
      </c>
    </row>
    <row r="306" spans="2:8" x14ac:dyDescent="0.25">
      <c r="B306" s="43" t="s">
        <v>13</v>
      </c>
      <c r="C306" s="62" t="s">
        <v>197</v>
      </c>
      <c r="D306" s="30"/>
      <c r="E306" s="59" t="s">
        <v>9</v>
      </c>
      <c r="F306" s="19" t="str">
        <f>IF(H307=1,IF(H305=H$2,H305,""),"")</f>
        <v>CORRECTO</v>
      </c>
      <c r="G306" s="22"/>
      <c r="H306" s="18">
        <f>IF(E$376="comprobar",COUNTIF(D305:D309,"x"),"")</f>
        <v>1</v>
      </c>
    </row>
    <row r="307" spans="2:8" x14ac:dyDescent="0.25">
      <c r="B307" s="43" t="s">
        <v>13</v>
      </c>
      <c r="C307" s="48" t="s">
        <v>265</v>
      </c>
      <c r="D307" s="30"/>
      <c r="E307" s="59" t="s">
        <v>10</v>
      </c>
      <c r="F307" s="20" t="str">
        <f>IF(H307=-0.33,IF(H305=H$1,H305,""),"")</f>
        <v/>
      </c>
      <c r="G307" s="22"/>
      <c r="H307" s="21">
        <f t="shared" ref="H307" si="45">IF(H306=1,IF(H305=H$2,1,-0.33),0)</f>
        <v>1</v>
      </c>
    </row>
    <row r="308" spans="2:8" x14ac:dyDescent="0.25">
      <c r="B308" s="43" t="s">
        <v>13</v>
      </c>
      <c r="C308" s="48"/>
      <c r="D308" s="30"/>
      <c r="E308" s="59" t="s">
        <v>11</v>
      </c>
      <c r="F308" s="17"/>
      <c r="G308" s="22"/>
      <c r="H308" s="21"/>
    </row>
    <row r="309" spans="2:8" x14ac:dyDescent="0.25">
      <c r="B309" s="46"/>
      <c r="C309" s="15"/>
      <c r="D309" s="30"/>
      <c r="E309" s="59" t="s">
        <v>12</v>
      </c>
      <c r="F309" s="17"/>
      <c r="G309" s="16"/>
      <c r="H309" s="21"/>
    </row>
    <row r="310" spans="2:8" x14ac:dyDescent="0.25">
      <c r="B310" s="44" t="s">
        <v>22</v>
      </c>
      <c r="C310" s="45" t="s">
        <v>239</v>
      </c>
      <c r="D310" s="31"/>
      <c r="E310" s="11"/>
      <c r="F310" s="13"/>
      <c r="G310" s="23"/>
      <c r="H310" s="12"/>
    </row>
    <row r="311" spans="2:8" x14ac:dyDescent="0.25">
      <c r="B311" s="43" t="s">
        <v>13</v>
      </c>
      <c r="C311" s="47" t="s">
        <v>240</v>
      </c>
      <c r="D311" s="30" t="s">
        <v>254</v>
      </c>
      <c r="E311" s="59" t="s">
        <v>8</v>
      </c>
      <c r="F311" s="17"/>
      <c r="G311" s="22"/>
      <c r="H311" s="18" t="str">
        <f>IF(D311="x",H$2,H$1)</f>
        <v>CORRECTO</v>
      </c>
    </row>
    <row r="312" spans="2:8" x14ac:dyDescent="0.25">
      <c r="B312" s="43" t="s">
        <v>13</v>
      </c>
      <c r="C312" s="62" t="s">
        <v>241</v>
      </c>
      <c r="D312" s="30"/>
      <c r="E312" s="59" t="s">
        <v>9</v>
      </c>
      <c r="F312" s="19" t="str">
        <f>IF(H313=1,IF(H311=H$2,H311,""),"")</f>
        <v>CORRECTO</v>
      </c>
      <c r="G312" s="22"/>
      <c r="H312" s="18">
        <f>IF(E$376="comprobar",COUNTIF(D311:D315,"x"),"")</f>
        <v>1</v>
      </c>
    </row>
    <row r="313" spans="2:8" x14ac:dyDescent="0.25">
      <c r="B313" s="43" t="s">
        <v>13</v>
      </c>
      <c r="C313" s="48" t="s">
        <v>242</v>
      </c>
      <c r="D313" s="30"/>
      <c r="E313" s="59" t="s">
        <v>10</v>
      </c>
      <c r="F313" s="20" t="str">
        <f>IF(H313=-0.33,IF(H311=H$1,H311,""),"")</f>
        <v/>
      </c>
      <c r="G313" s="22"/>
      <c r="H313" s="21">
        <f t="shared" ref="H313" si="46">IF(H312=1,IF(H311=H$2,1,-0.33),0)</f>
        <v>1</v>
      </c>
    </row>
    <row r="314" spans="2:8" x14ac:dyDescent="0.25">
      <c r="B314" s="43" t="s">
        <v>13</v>
      </c>
      <c r="C314" s="48"/>
      <c r="D314" s="30"/>
      <c r="E314" s="59" t="s">
        <v>11</v>
      </c>
      <c r="F314" s="17"/>
      <c r="G314" s="22"/>
      <c r="H314" s="21"/>
    </row>
    <row r="315" spans="2:8" x14ac:dyDescent="0.25">
      <c r="B315" s="46"/>
      <c r="C315" s="15"/>
      <c r="D315" s="30"/>
      <c r="E315" s="59" t="s">
        <v>12</v>
      </c>
      <c r="F315" s="17"/>
      <c r="G315" s="16"/>
      <c r="H315" s="21"/>
    </row>
    <row r="316" spans="2:8" x14ac:dyDescent="0.25">
      <c r="B316" s="44" t="s">
        <v>137</v>
      </c>
      <c r="C316" s="45" t="s">
        <v>266</v>
      </c>
      <c r="D316" s="31"/>
      <c r="E316" s="11"/>
      <c r="F316" s="13"/>
      <c r="G316" s="23"/>
      <c r="H316" s="12"/>
    </row>
    <row r="317" spans="2:8" x14ac:dyDescent="0.25">
      <c r="B317" s="43" t="s">
        <v>13</v>
      </c>
      <c r="C317" s="47" t="s">
        <v>214</v>
      </c>
      <c r="D317" s="30"/>
      <c r="E317" s="59" t="s">
        <v>8</v>
      </c>
      <c r="F317" s="17"/>
      <c r="G317" s="22"/>
      <c r="H317" s="18" t="str">
        <f>IF(D318="x",H$2,H$1)</f>
        <v>CORRECTO</v>
      </c>
    </row>
    <row r="318" spans="2:8" x14ac:dyDescent="0.25">
      <c r="B318" s="43" t="s">
        <v>13</v>
      </c>
      <c r="C318" s="62" t="s">
        <v>215</v>
      </c>
      <c r="D318" s="30" t="s">
        <v>254</v>
      </c>
      <c r="E318" s="59" t="s">
        <v>9</v>
      </c>
      <c r="F318" s="19" t="str">
        <f>IF(H319=1,IF(H317=H$2,H317,""),"")</f>
        <v>CORRECTO</v>
      </c>
      <c r="G318" s="22"/>
      <c r="H318" s="18">
        <f>IF(E$376="comprobar",COUNTIF(D317:D321,"x"),"")</f>
        <v>1</v>
      </c>
    </row>
    <row r="319" spans="2:8" x14ac:dyDescent="0.25">
      <c r="B319" s="43" t="s">
        <v>13</v>
      </c>
      <c r="C319" s="48" t="s">
        <v>213</v>
      </c>
      <c r="D319" s="30"/>
      <c r="E319" s="59" t="s">
        <v>10</v>
      </c>
      <c r="F319" s="20" t="str">
        <f>IF(H319=-0.33,IF(H317=H$1,H317,""),"")</f>
        <v/>
      </c>
      <c r="G319" s="22"/>
      <c r="H319" s="21">
        <f t="shared" ref="H319" si="47">IF(H318=1,IF(H317=H$2,1,-0.33),0)</f>
        <v>1</v>
      </c>
    </row>
    <row r="320" spans="2:8" x14ac:dyDescent="0.25">
      <c r="B320" s="43" t="s">
        <v>13</v>
      </c>
      <c r="C320" s="48"/>
      <c r="D320" s="30"/>
      <c r="E320" s="59" t="s">
        <v>11</v>
      </c>
      <c r="F320" s="17"/>
      <c r="G320" s="22"/>
      <c r="H320" s="21"/>
    </row>
    <row r="321" spans="2:8" x14ac:dyDescent="0.25">
      <c r="B321" s="46"/>
      <c r="C321" s="15"/>
      <c r="D321" s="30"/>
      <c r="E321" s="59" t="s">
        <v>12</v>
      </c>
      <c r="F321" s="17"/>
      <c r="G321" s="16"/>
      <c r="H321" s="21"/>
    </row>
    <row r="322" spans="2:8" x14ac:dyDescent="0.25">
      <c r="B322" s="44" t="s">
        <v>138</v>
      </c>
      <c r="C322" s="45" t="s">
        <v>243</v>
      </c>
      <c r="D322" s="31"/>
      <c r="E322" s="11"/>
      <c r="F322" s="13"/>
      <c r="G322" s="23"/>
      <c r="H322" s="12"/>
    </row>
    <row r="323" spans="2:8" x14ac:dyDescent="0.25">
      <c r="B323" s="43" t="s">
        <v>13</v>
      </c>
      <c r="C323" s="47" t="s">
        <v>244</v>
      </c>
      <c r="D323" s="30"/>
      <c r="E323" s="59" t="s">
        <v>8</v>
      </c>
      <c r="F323" s="17"/>
      <c r="G323" s="22"/>
      <c r="H323" s="18" t="str">
        <f>IF(D324="x",H$2,H$1)</f>
        <v>CORRECTO</v>
      </c>
    </row>
    <row r="324" spans="2:8" x14ac:dyDescent="0.25">
      <c r="B324" s="43" t="s">
        <v>13</v>
      </c>
      <c r="C324" s="62" t="s">
        <v>246</v>
      </c>
      <c r="D324" s="30" t="s">
        <v>254</v>
      </c>
      <c r="E324" s="59" t="s">
        <v>9</v>
      </c>
      <c r="F324" s="19" t="str">
        <f>IF(H325=1,IF(H323=H$2,H323,""),"")</f>
        <v>CORRECTO</v>
      </c>
      <c r="G324" s="22"/>
      <c r="H324" s="18">
        <f>IF(E$376="comprobar",COUNTIF(D323:D327,"x"),"")</f>
        <v>1</v>
      </c>
    </row>
    <row r="325" spans="2:8" x14ac:dyDescent="0.25">
      <c r="B325" s="43" t="s">
        <v>13</v>
      </c>
      <c r="C325" s="48" t="s">
        <v>245</v>
      </c>
      <c r="D325" s="30"/>
      <c r="E325" s="59" t="s">
        <v>10</v>
      </c>
      <c r="F325" s="20" t="str">
        <f>IF(H325=-0.33,IF(H323=H$1,H323,""),"")</f>
        <v/>
      </c>
      <c r="G325" s="22"/>
      <c r="H325" s="21">
        <f t="shared" ref="H325" si="48">IF(H324=1,IF(H323=H$2,1,-0.33),0)</f>
        <v>1</v>
      </c>
    </row>
    <row r="326" spans="2:8" x14ac:dyDescent="0.25">
      <c r="B326" s="43" t="s">
        <v>13</v>
      </c>
      <c r="C326" s="48"/>
      <c r="D326" s="30"/>
      <c r="E326" s="59" t="s">
        <v>11</v>
      </c>
      <c r="F326" s="17"/>
      <c r="G326" s="22"/>
      <c r="H326" s="21"/>
    </row>
    <row r="327" spans="2:8" x14ac:dyDescent="0.25">
      <c r="B327" s="46"/>
      <c r="C327" s="15"/>
      <c r="D327" s="30"/>
      <c r="E327" s="59" t="s">
        <v>12</v>
      </c>
      <c r="F327" s="17"/>
      <c r="G327" s="16"/>
      <c r="H327" s="21"/>
    </row>
    <row r="328" spans="2:8" ht="18.75" customHeight="1" x14ac:dyDescent="0.25">
      <c r="B328" s="44" t="s">
        <v>139</v>
      </c>
      <c r="C328" s="63" t="s">
        <v>267</v>
      </c>
      <c r="D328" s="31"/>
      <c r="E328" s="11"/>
      <c r="F328" s="13"/>
      <c r="G328" s="23"/>
      <c r="H328" s="12"/>
    </row>
    <row r="329" spans="2:8" x14ac:dyDescent="0.25">
      <c r="B329" s="43" t="s">
        <v>13</v>
      </c>
      <c r="C329" s="47" t="s">
        <v>212</v>
      </c>
      <c r="D329" s="30"/>
      <c r="E329" s="59" t="s">
        <v>8</v>
      </c>
      <c r="F329" s="17"/>
      <c r="G329" s="22"/>
      <c r="H329" s="18" t="str">
        <f>IF(D330="x",H$2,H$1)</f>
        <v>CORRECTO</v>
      </c>
    </row>
    <row r="330" spans="2:8" x14ac:dyDescent="0.25">
      <c r="B330" s="43" t="s">
        <v>13</v>
      </c>
      <c r="C330" s="62" t="s">
        <v>210</v>
      </c>
      <c r="D330" s="30" t="s">
        <v>254</v>
      </c>
      <c r="E330" s="59" t="s">
        <v>9</v>
      </c>
      <c r="F330" s="19" t="str">
        <f>IF(H331=1,IF(H329=H$2,H329,""),"")</f>
        <v>CORRECTO</v>
      </c>
      <c r="G330" s="22"/>
      <c r="H330" s="18">
        <f>IF(E$376="comprobar",COUNTIF(D329:D333,"x"),"")</f>
        <v>1</v>
      </c>
    </row>
    <row r="331" spans="2:8" x14ac:dyDescent="0.25">
      <c r="B331" s="43" t="s">
        <v>13</v>
      </c>
      <c r="C331" s="48" t="s">
        <v>211</v>
      </c>
      <c r="D331" s="30"/>
      <c r="E331" s="59" t="s">
        <v>10</v>
      </c>
      <c r="F331" s="20" t="str">
        <f>IF(H331=-0.33,IF(H329=H$1,H329,""),"")</f>
        <v/>
      </c>
      <c r="G331" s="22"/>
      <c r="H331" s="21">
        <f t="shared" ref="H331" si="49">IF(H330=1,IF(H329=H$2,1,-0.33),0)</f>
        <v>1</v>
      </c>
    </row>
    <row r="332" spans="2:8" x14ac:dyDescent="0.25">
      <c r="B332" s="43" t="s">
        <v>13</v>
      </c>
      <c r="C332" s="48"/>
      <c r="D332" s="30"/>
      <c r="E332" s="59" t="s">
        <v>11</v>
      </c>
      <c r="F332" s="17"/>
      <c r="G332" s="22"/>
      <c r="H332" s="21"/>
    </row>
    <row r="333" spans="2:8" x14ac:dyDescent="0.25">
      <c r="B333" s="46"/>
      <c r="C333" s="15"/>
      <c r="D333" s="30"/>
      <c r="E333" s="59" t="s">
        <v>12</v>
      </c>
      <c r="F333" s="17"/>
      <c r="G333" s="16"/>
      <c r="H333" s="21"/>
    </row>
    <row r="334" spans="2:8" x14ac:dyDescent="0.25">
      <c r="B334" s="44" t="s">
        <v>140</v>
      </c>
      <c r="C334" s="45" t="s">
        <v>206</v>
      </c>
      <c r="D334" s="31"/>
      <c r="E334" s="11"/>
      <c r="F334" s="13"/>
      <c r="G334" s="23"/>
      <c r="H334" s="12"/>
    </row>
    <row r="335" spans="2:8" x14ac:dyDescent="0.25">
      <c r="B335" s="43" t="s">
        <v>13</v>
      </c>
      <c r="C335" s="47" t="s">
        <v>207</v>
      </c>
      <c r="D335" s="30"/>
      <c r="E335" s="59" t="s">
        <v>8</v>
      </c>
      <c r="F335" s="17"/>
      <c r="G335" s="22"/>
      <c r="H335" s="18" t="str">
        <f>IF(D336="x",H$2,H$1)</f>
        <v>CORRECTO</v>
      </c>
    </row>
    <row r="336" spans="2:8" x14ac:dyDescent="0.25">
      <c r="B336" s="43" t="s">
        <v>13</v>
      </c>
      <c r="C336" s="62" t="s">
        <v>209</v>
      </c>
      <c r="D336" s="30" t="s">
        <v>254</v>
      </c>
      <c r="E336" s="59" t="s">
        <v>9</v>
      </c>
      <c r="F336" s="19" t="str">
        <f>IF(H337=1,IF(H335=H$2,H335,""),"")</f>
        <v>CORRECTO</v>
      </c>
      <c r="G336" s="22"/>
      <c r="H336" s="18">
        <f>IF(E$376="comprobar",COUNTIF(D335:D339,"x"),"")</f>
        <v>1</v>
      </c>
    </row>
    <row r="337" spans="2:8" x14ac:dyDescent="0.25">
      <c r="B337" s="43" t="s">
        <v>13</v>
      </c>
      <c r="C337" s="48" t="s">
        <v>208</v>
      </c>
      <c r="D337" s="30"/>
      <c r="E337" s="59" t="s">
        <v>10</v>
      </c>
      <c r="F337" s="20" t="str">
        <f>IF(H337=-0.33,IF(H335=H$1,H335,""),"")</f>
        <v/>
      </c>
      <c r="G337" s="22"/>
      <c r="H337" s="21">
        <f t="shared" ref="H337" si="50">IF(H336=1,IF(H335=H$2,1,-0.33),0)</f>
        <v>1</v>
      </c>
    </row>
    <row r="338" spans="2:8" x14ac:dyDescent="0.25">
      <c r="B338" s="43" t="s">
        <v>13</v>
      </c>
      <c r="C338" s="48"/>
      <c r="D338" s="30"/>
      <c r="E338" s="59" t="s">
        <v>11</v>
      </c>
      <c r="F338" s="17"/>
      <c r="G338" s="22"/>
      <c r="H338" s="21"/>
    </row>
    <row r="339" spans="2:8" x14ac:dyDescent="0.25">
      <c r="B339" s="46"/>
      <c r="C339" s="15"/>
      <c r="D339" s="30"/>
      <c r="E339" s="59" t="s">
        <v>12</v>
      </c>
      <c r="F339" s="17"/>
      <c r="G339" s="16"/>
      <c r="H339" s="21"/>
    </row>
    <row r="340" spans="2:8" ht="16.5" customHeight="1" x14ac:dyDescent="0.25">
      <c r="B340" s="44" t="s">
        <v>141</v>
      </c>
      <c r="C340" s="64" t="s">
        <v>268</v>
      </c>
      <c r="D340" s="31"/>
      <c r="E340" s="11"/>
      <c r="F340" s="13"/>
      <c r="G340" s="23"/>
      <c r="H340" s="12"/>
    </row>
    <row r="341" spans="2:8" x14ac:dyDescent="0.25">
      <c r="B341" s="43" t="s">
        <v>13</v>
      </c>
      <c r="C341" s="47" t="s">
        <v>222</v>
      </c>
      <c r="D341" s="30"/>
      <c r="E341" s="59" t="s">
        <v>8</v>
      </c>
      <c r="F341" s="17"/>
      <c r="G341" s="22"/>
      <c r="H341" s="18" t="str">
        <f>IF(D343="x",H$2,H$1)</f>
        <v>CORRECTO</v>
      </c>
    </row>
    <row r="342" spans="2:8" x14ac:dyDescent="0.25">
      <c r="B342" s="43" t="s">
        <v>13</v>
      </c>
      <c r="C342" s="62" t="s">
        <v>269</v>
      </c>
      <c r="D342" s="30"/>
      <c r="E342" s="59" t="s">
        <v>9</v>
      </c>
      <c r="F342" s="19" t="str">
        <f>IF(H343=1,IF(H341=H$2,H341,""),"")</f>
        <v>CORRECTO</v>
      </c>
      <c r="G342" s="22"/>
      <c r="H342" s="18">
        <f>IF(E$376="comprobar",COUNTIF(D341:D345,"x"),"")</f>
        <v>1</v>
      </c>
    </row>
    <row r="343" spans="2:8" x14ac:dyDescent="0.25">
      <c r="B343" s="43" t="s">
        <v>13</v>
      </c>
      <c r="C343" s="48" t="s">
        <v>270</v>
      </c>
      <c r="D343" s="30" t="s">
        <v>254</v>
      </c>
      <c r="E343" s="59" t="s">
        <v>10</v>
      </c>
      <c r="F343" s="20" t="str">
        <f>IF(H343=-0.33,IF(H341=H$1,H341,""),"")</f>
        <v/>
      </c>
      <c r="G343" s="22"/>
      <c r="H343" s="21">
        <f t="shared" ref="H343" si="51">IF(H342=1,IF(H341=H$2,1,-0.33),0)</f>
        <v>1</v>
      </c>
    </row>
    <row r="344" spans="2:8" x14ac:dyDescent="0.25">
      <c r="B344" s="43" t="s">
        <v>13</v>
      </c>
      <c r="C344" s="48"/>
      <c r="D344" s="30"/>
      <c r="E344" s="59" t="s">
        <v>11</v>
      </c>
      <c r="F344" s="17"/>
      <c r="G344" s="22"/>
      <c r="H344" s="21"/>
    </row>
    <row r="345" spans="2:8" x14ac:dyDescent="0.25">
      <c r="B345" s="46"/>
      <c r="C345" s="15"/>
      <c r="D345" s="30"/>
      <c r="E345" s="59" t="s">
        <v>12</v>
      </c>
      <c r="F345" s="17"/>
      <c r="G345" s="16"/>
      <c r="H345" s="21"/>
    </row>
    <row r="346" spans="2:8" x14ac:dyDescent="0.25">
      <c r="B346" s="44" t="s">
        <v>142</v>
      </c>
      <c r="C346" s="52" t="s">
        <v>271</v>
      </c>
      <c r="D346" s="31"/>
      <c r="E346" s="11"/>
      <c r="F346" s="13"/>
      <c r="G346" s="23"/>
      <c r="H346" s="12"/>
    </row>
    <row r="347" spans="2:8" x14ac:dyDescent="0.25">
      <c r="B347" s="43" t="s">
        <v>13</v>
      </c>
      <c r="C347" s="47" t="s">
        <v>252</v>
      </c>
      <c r="D347" s="30"/>
      <c r="E347" s="59" t="s">
        <v>8</v>
      </c>
      <c r="F347" s="17"/>
      <c r="G347" s="22"/>
      <c r="H347" s="18" t="str">
        <f>IF(D349="x",H$2,H$1)</f>
        <v>CORRECTO</v>
      </c>
    </row>
    <row r="348" spans="2:8" x14ac:dyDescent="0.25">
      <c r="B348" s="43" t="s">
        <v>13</v>
      </c>
      <c r="C348" s="62" t="s">
        <v>251</v>
      </c>
      <c r="D348" s="30"/>
      <c r="E348" s="59" t="s">
        <v>9</v>
      </c>
      <c r="F348" s="19" t="str">
        <f>IF(H349=1,IF(H347=H$2,H347,""),"")</f>
        <v>CORRECTO</v>
      </c>
      <c r="G348" s="22"/>
      <c r="H348" s="18">
        <f>IF(E$376="comprobar",COUNTIF(D347:D351,"x"),"")</f>
        <v>1</v>
      </c>
    </row>
    <row r="349" spans="2:8" x14ac:dyDescent="0.25">
      <c r="B349" s="43" t="s">
        <v>13</v>
      </c>
      <c r="C349" s="48" t="s">
        <v>250</v>
      </c>
      <c r="D349" s="30" t="s">
        <v>254</v>
      </c>
      <c r="E349" s="59" t="s">
        <v>10</v>
      </c>
      <c r="F349" s="20" t="str">
        <f>IF(H349=-0.33,IF(H347=H$1,H347,""),"")</f>
        <v/>
      </c>
      <c r="G349" s="22"/>
      <c r="H349" s="21">
        <f t="shared" ref="H349" si="52">IF(H348=1,IF(H347=H$2,1,-0.33),0)</f>
        <v>1</v>
      </c>
    </row>
    <row r="350" spans="2:8" x14ac:dyDescent="0.25">
      <c r="B350" s="43" t="s">
        <v>13</v>
      </c>
      <c r="C350" s="48"/>
      <c r="D350" s="30"/>
      <c r="E350" s="59" t="s">
        <v>11</v>
      </c>
      <c r="F350" s="17"/>
      <c r="G350" s="22"/>
      <c r="H350" s="21"/>
    </row>
    <row r="351" spans="2:8" x14ac:dyDescent="0.25">
      <c r="B351" s="46"/>
      <c r="C351" s="15"/>
      <c r="D351" s="30"/>
      <c r="E351" s="59" t="s">
        <v>12</v>
      </c>
      <c r="F351" s="17"/>
      <c r="G351" s="16"/>
      <c r="H351" s="21"/>
    </row>
    <row r="352" spans="2:8" x14ac:dyDescent="0.25">
      <c r="B352" s="44" t="s">
        <v>143</v>
      </c>
      <c r="C352" s="64" t="s">
        <v>272</v>
      </c>
      <c r="D352" s="31"/>
      <c r="E352" s="11"/>
      <c r="F352" s="13"/>
      <c r="G352" s="23"/>
      <c r="H352" s="12"/>
    </row>
    <row r="353" spans="2:8" x14ac:dyDescent="0.25">
      <c r="B353" s="43" t="s">
        <v>13</v>
      </c>
      <c r="C353" s="47" t="s">
        <v>232</v>
      </c>
      <c r="D353" s="30" t="s">
        <v>254</v>
      </c>
      <c r="E353" s="59" t="s">
        <v>8</v>
      </c>
      <c r="F353" s="17"/>
      <c r="G353" s="22"/>
      <c r="H353" s="18" t="str">
        <f>IF(D353="x",H$2,H$1)</f>
        <v>CORRECTO</v>
      </c>
    </row>
    <row r="354" spans="2:8" x14ac:dyDescent="0.25">
      <c r="B354" s="43" t="s">
        <v>13</v>
      </c>
      <c r="C354" s="62" t="s">
        <v>230</v>
      </c>
      <c r="D354" s="30"/>
      <c r="E354" s="59" t="s">
        <v>9</v>
      </c>
      <c r="F354" s="19" t="str">
        <f>IF(H355=1,IF(H353=H$2,H353,""),"")</f>
        <v>CORRECTO</v>
      </c>
      <c r="G354" s="22"/>
      <c r="H354" s="18">
        <f>IF(E$376="comprobar",COUNTIF(D353:D357,"x"),"")</f>
        <v>1</v>
      </c>
    </row>
    <row r="355" spans="2:8" x14ac:dyDescent="0.25">
      <c r="B355" s="43" t="s">
        <v>13</v>
      </c>
      <c r="C355" s="48" t="s">
        <v>231</v>
      </c>
      <c r="D355" s="30"/>
      <c r="E355" s="59" t="s">
        <v>10</v>
      </c>
      <c r="F355" s="20" t="str">
        <f>IF(H355=-0.33,IF(H353=H$1,H353,""),"")</f>
        <v/>
      </c>
      <c r="G355" s="22"/>
      <c r="H355" s="21">
        <f t="shared" ref="H355" si="53">IF(H354=1,IF(H353=H$2,1,-0.33),0)</f>
        <v>1</v>
      </c>
    </row>
    <row r="356" spans="2:8" x14ac:dyDescent="0.25">
      <c r="B356" s="43" t="s">
        <v>13</v>
      </c>
      <c r="C356" s="48"/>
      <c r="D356" s="30"/>
      <c r="E356" s="59" t="s">
        <v>11</v>
      </c>
      <c r="F356" s="17"/>
      <c r="G356" s="22"/>
      <c r="H356" s="21"/>
    </row>
    <row r="357" spans="2:8" x14ac:dyDescent="0.25">
      <c r="B357" s="46"/>
      <c r="C357" s="15"/>
      <c r="D357" s="30"/>
      <c r="E357" s="59" t="s">
        <v>12</v>
      </c>
      <c r="F357" s="17"/>
      <c r="G357" s="16"/>
      <c r="H357" s="21"/>
    </row>
    <row r="358" spans="2:8" x14ac:dyDescent="0.25">
      <c r="B358" s="44" t="s">
        <v>144</v>
      </c>
      <c r="C358" s="64" t="s">
        <v>273</v>
      </c>
      <c r="D358" s="31"/>
      <c r="E358" s="11"/>
      <c r="F358" s="13"/>
      <c r="G358" s="23"/>
      <c r="H358" s="12"/>
    </row>
    <row r="359" spans="2:8" x14ac:dyDescent="0.25">
      <c r="B359" s="43" t="s">
        <v>13</v>
      </c>
      <c r="C359" s="47" t="s">
        <v>223</v>
      </c>
      <c r="D359" s="30"/>
      <c r="E359" s="59" t="s">
        <v>8</v>
      </c>
      <c r="F359" s="17"/>
      <c r="G359" s="22"/>
      <c r="H359" s="18" t="str">
        <f>IF(D360="x",H$2,H$1)</f>
        <v>CORRECTO</v>
      </c>
    </row>
    <row r="360" spans="2:8" x14ac:dyDescent="0.25">
      <c r="B360" s="43" t="s">
        <v>13</v>
      </c>
      <c r="C360" s="62" t="s">
        <v>224</v>
      </c>
      <c r="D360" s="30" t="s">
        <v>254</v>
      </c>
      <c r="E360" s="59" t="s">
        <v>9</v>
      </c>
      <c r="F360" s="19" t="str">
        <f>IF(H361=1,IF(H359=H$2,H359,""),"")</f>
        <v>CORRECTO</v>
      </c>
      <c r="G360" s="22"/>
      <c r="H360" s="18">
        <f>IF(E$376="comprobar",COUNTIF(D359:D363,"x"),"")</f>
        <v>1</v>
      </c>
    </row>
    <row r="361" spans="2:8" x14ac:dyDescent="0.25">
      <c r="B361" s="43" t="s">
        <v>13</v>
      </c>
      <c r="C361" s="48" t="s">
        <v>225</v>
      </c>
      <c r="D361" s="30"/>
      <c r="E361" s="59" t="s">
        <v>10</v>
      </c>
      <c r="F361" s="20" t="str">
        <f>IF(H361=-0.33,IF(H359=H$1,H359,""),"")</f>
        <v/>
      </c>
      <c r="G361" s="22"/>
      <c r="H361" s="21">
        <f t="shared" ref="H361" si="54">IF(H360=1,IF(H359=H$2,1,-0.33),0)</f>
        <v>1</v>
      </c>
    </row>
    <row r="362" spans="2:8" x14ac:dyDescent="0.25">
      <c r="B362" s="43" t="s">
        <v>13</v>
      </c>
      <c r="C362" s="48"/>
      <c r="D362" s="30"/>
      <c r="E362" s="59" t="s">
        <v>11</v>
      </c>
      <c r="F362" s="17"/>
      <c r="G362" s="22"/>
      <c r="H362" s="21"/>
    </row>
    <row r="363" spans="2:8" x14ac:dyDescent="0.25">
      <c r="B363" s="46"/>
      <c r="C363" s="15"/>
      <c r="D363" s="30"/>
      <c r="E363" s="59" t="s">
        <v>12</v>
      </c>
      <c r="F363" s="17"/>
      <c r="G363" s="16"/>
      <c r="H363" s="21"/>
    </row>
    <row r="364" spans="2:8" x14ac:dyDescent="0.25">
      <c r="B364" s="44" t="s">
        <v>145</v>
      </c>
      <c r="C364" s="64" t="s">
        <v>274</v>
      </c>
      <c r="D364" s="31"/>
      <c r="E364" s="11"/>
      <c r="F364" s="13"/>
      <c r="G364" s="23"/>
      <c r="H364" s="12"/>
    </row>
    <row r="365" spans="2:8" x14ac:dyDescent="0.25">
      <c r="B365" s="43" t="s">
        <v>13</v>
      </c>
      <c r="C365" s="47" t="s">
        <v>216</v>
      </c>
      <c r="D365" s="30"/>
      <c r="E365" s="59" t="s">
        <v>8</v>
      </c>
      <c r="F365" s="17"/>
      <c r="G365" s="22"/>
      <c r="H365" s="18" t="str">
        <f>IF(D366="x",H$2,H$1)</f>
        <v>CORRECTO</v>
      </c>
    </row>
    <row r="366" spans="2:8" x14ac:dyDescent="0.25">
      <c r="B366" s="43" t="s">
        <v>13</v>
      </c>
      <c r="C366" s="62" t="s">
        <v>218</v>
      </c>
      <c r="D366" s="30" t="s">
        <v>254</v>
      </c>
      <c r="E366" s="59" t="s">
        <v>9</v>
      </c>
      <c r="F366" s="19" t="str">
        <f>IF(H367=1,IF(H365=H$2,H365,""),"")</f>
        <v>CORRECTO</v>
      </c>
      <c r="G366" s="22"/>
      <c r="H366" s="18">
        <f>IF(E$376="comprobar",COUNTIF(D365:D369,"x"),"")</f>
        <v>1</v>
      </c>
    </row>
    <row r="367" spans="2:8" x14ac:dyDescent="0.25">
      <c r="B367" s="43" t="s">
        <v>13</v>
      </c>
      <c r="C367" s="48" t="s">
        <v>217</v>
      </c>
      <c r="D367" s="30"/>
      <c r="E367" s="59" t="s">
        <v>10</v>
      </c>
      <c r="F367" s="20" t="str">
        <f>IF(H367=-0.33,IF(H365=H$1,H365,""),"")</f>
        <v/>
      </c>
      <c r="G367" s="22"/>
      <c r="H367" s="21">
        <f t="shared" ref="H367" si="55">IF(H366=1,IF(H365=H$2,1,-0.33),0)</f>
        <v>1</v>
      </c>
    </row>
    <row r="368" spans="2:8" x14ac:dyDescent="0.25">
      <c r="B368" s="43" t="s">
        <v>13</v>
      </c>
      <c r="C368" s="48"/>
      <c r="D368" s="30"/>
      <c r="E368" s="59" t="s">
        <v>11</v>
      </c>
      <c r="F368" s="17"/>
      <c r="G368" s="22"/>
      <c r="H368" s="21"/>
    </row>
    <row r="369" spans="2:8" x14ac:dyDescent="0.25">
      <c r="B369" s="46"/>
      <c r="C369" s="15"/>
      <c r="D369" s="30"/>
      <c r="E369" s="59" t="s">
        <v>12</v>
      </c>
      <c r="F369" s="17"/>
      <c r="G369" s="16"/>
      <c r="H369" s="21"/>
    </row>
    <row r="370" spans="2:8" x14ac:dyDescent="0.25">
      <c r="B370" s="44" t="s">
        <v>146</v>
      </c>
      <c r="C370" s="64" t="s">
        <v>275</v>
      </c>
      <c r="D370" s="31"/>
      <c r="E370" s="11"/>
      <c r="F370" s="13"/>
      <c r="G370" s="23"/>
      <c r="H370" s="12"/>
    </row>
    <row r="371" spans="2:8" x14ac:dyDescent="0.25">
      <c r="B371" s="43" t="s">
        <v>13</v>
      </c>
      <c r="C371" s="47" t="s">
        <v>249</v>
      </c>
      <c r="D371" s="30" t="s">
        <v>254</v>
      </c>
      <c r="E371" s="59" t="s">
        <v>8</v>
      </c>
      <c r="F371" s="17"/>
      <c r="G371" s="22"/>
      <c r="H371" s="18" t="str">
        <f>IF(D371="x",H$2,H$1)</f>
        <v>CORRECTO</v>
      </c>
    </row>
    <row r="372" spans="2:8" x14ac:dyDescent="0.25">
      <c r="B372" s="43" t="s">
        <v>13</v>
      </c>
      <c r="C372" s="62" t="s">
        <v>247</v>
      </c>
      <c r="D372" s="30"/>
      <c r="E372" s="59" t="s">
        <v>9</v>
      </c>
      <c r="F372" s="19" t="str">
        <f>IF(H373=1,IF(H371=H$2,H371,""),"")</f>
        <v>CORRECTO</v>
      </c>
      <c r="G372" s="22"/>
      <c r="H372" s="18">
        <f>IF(E$376="comprobar",COUNTIF(D371:D375,"x"),"")</f>
        <v>1</v>
      </c>
    </row>
    <row r="373" spans="2:8" x14ac:dyDescent="0.25">
      <c r="B373" s="43" t="s">
        <v>13</v>
      </c>
      <c r="C373" s="48" t="s">
        <v>248</v>
      </c>
      <c r="D373" s="30"/>
      <c r="E373" s="59" t="s">
        <v>10</v>
      </c>
      <c r="F373" s="20" t="str">
        <f>IF(H373=-0.33,IF(H371=H$1,H371,""),"")</f>
        <v/>
      </c>
      <c r="G373" s="22"/>
      <c r="H373" s="21">
        <f t="shared" ref="H373" si="56">IF(H372=1,IF(H371=H$2,1,-0.33),0)</f>
        <v>1</v>
      </c>
    </row>
    <row r="374" spans="2:8" x14ac:dyDescent="0.25">
      <c r="B374" s="43" t="s">
        <v>13</v>
      </c>
      <c r="C374" s="48"/>
      <c r="D374" s="30"/>
      <c r="E374" s="59" t="s">
        <v>11</v>
      </c>
      <c r="F374" s="17"/>
      <c r="G374" s="22"/>
      <c r="H374" s="21"/>
    </row>
    <row r="375" spans="2:8" x14ac:dyDescent="0.25">
      <c r="B375" s="46"/>
      <c r="C375" s="15"/>
      <c r="D375" s="30"/>
      <c r="E375" s="59" t="s">
        <v>12</v>
      </c>
      <c r="F375" s="17"/>
      <c r="G375" s="16"/>
      <c r="H375" s="21"/>
    </row>
    <row r="376" spans="2:8" x14ac:dyDescent="0.25">
      <c r="B376" s="46"/>
      <c r="C376" s="15"/>
      <c r="D376" s="34"/>
      <c r="E376" s="35" t="s">
        <v>253</v>
      </c>
      <c r="F376" s="17"/>
      <c r="G376" s="16"/>
      <c r="H376" s="21"/>
    </row>
    <row r="377" spans="2:8" x14ac:dyDescent="0.25">
      <c r="B377" s="32"/>
      <c r="C377" s="8"/>
      <c r="D377" s="34"/>
      <c r="E377" s="36"/>
      <c r="F377" s="24" t="s">
        <v>7</v>
      </c>
      <c r="G377" s="16" t="s">
        <v>5</v>
      </c>
      <c r="H377" s="16" t="s">
        <v>6</v>
      </c>
    </row>
    <row r="378" spans="2:8" ht="19.5" x14ac:dyDescent="0.25">
      <c r="B378" s="32"/>
      <c r="C378" s="8"/>
      <c r="D378" s="61"/>
      <c r="E378" s="61"/>
      <c r="F378" s="25">
        <f>IF(E$376="comprobar",H301+H295+H289+H283+H277+H271+H265+H259+H307+H313+H319+H325+H331+H337+H343+H349+H355+H361+H367+H373,"")</f>
        <v>20</v>
      </c>
      <c r="G378" s="16">
        <f>20/2</f>
        <v>10</v>
      </c>
      <c r="H378" s="16"/>
    </row>
    <row r="379" spans="2:8" ht="16.5" thickBot="1" x14ac:dyDescent="0.3">
      <c r="B379" s="38"/>
      <c r="C379" s="39"/>
      <c r="D379" s="26"/>
      <c r="E379" s="26"/>
      <c r="F379" s="60"/>
      <c r="G379" s="16"/>
      <c r="H379" s="16"/>
    </row>
  </sheetData>
  <mergeCells count="3">
    <mergeCell ref="D253:E253"/>
    <mergeCell ref="D129:E129"/>
    <mergeCell ref="D378:E378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8" r:id="rId4" name="Button 134">
              <controlPr defaultSize="0" autoFill="0" autoPict="0" macro="[0]!Módulo8.PEC1_BORRAR" altText="Borrar">
                <anchor moveWithCells="1" sizeWithCells="1">
                  <from>
                    <xdr:col>2</xdr:col>
                    <xdr:colOff>9953625</xdr:colOff>
                    <xdr:row>127</xdr:row>
                    <xdr:rowOff>76200</xdr:rowOff>
                  </from>
                  <to>
                    <xdr:col>2</xdr:col>
                    <xdr:colOff>10563225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" name="Button 135">
              <controlPr defaultSize="0" autoFill="0" autoPict="0" macro="[0]!Módulo8.PEC1_COMPRO">
                <anchor moveWithCells="1" sizeWithCells="1">
                  <from>
                    <xdr:col>2</xdr:col>
                    <xdr:colOff>8572500</xdr:colOff>
                    <xdr:row>127</xdr:row>
                    <xdr:rowOff>76200</xdr:rowOff>
                  </from>
                  <to>
                    <xdr:col>2</xdr:col>
                    <xdr:colOff>9877425</xdr:colOff>
                    <xdr:row>128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" name="Button 136">
              <controlPr defaultSize="0" autoFill="0" autoPict="0" macro="[0]!Módulo8.PEC2_BORRAR" altText="Borrar">
                <anchor moveWithCells="1" sizeWithCells="1">
                  <from>
                    <xdr:col>2</xdr:col>
                    <xdr:colOff>9953625</xdr:colOff>
                    <xdr:row>251</xdr:row>
                    <xdr:rowOff>76200</xdr:rowOff>
                  </from>
                  <to>
                    <xdr:col>2</xdr:col>
                    <xdr:colOff>10563225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7" name="Button 137">
              <controlPr defaultSize="0" autoFill="0" autoPict="0" macro="[0]!Módulo8.PEC2_COMPRO">
                <anchor moveWithCells="1" sizeWithCells="1">
                  <from>
                    <xdr:col>2</xdr:col>
                    <xdr:colOff>8572500</xdr:colOff>
                    <xdr:row>251</xdr:row>
                    <xdr:rowOff>76200</xdr:rowOff>
                  </from>
                  <to>
                    <xdr:col>2</xdr:col>
                    <xdr:colOff>9877425</xdr:colOff>
                    <xdr:row>252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8" name="Button 138">
              <controlPr defaultSize="0" autoFill="0" autoPict="0" macro="[0]!PEC3_BORRAR" altText="Borrar">
                <anchor moveWithCells="1" sizeWithCells="1">
                  <from>
                    <xdr:col>2</xdr:col>
                    <xdr:colOff>9953625</xdr:colOff>
                    <xdr:row>376</xdr:row>
                    <xdr:rowOff>76200</xdr:rowOff>
                  </from>
                  <to>
                    <xdr:col>2</xdr:col>
                    <xdr:colOff>10563225</xdr:colOff>
                    <xdr:row>377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" name="Button 139">
              <controlPr defaultSize="0" autoFill="0" autoPict="0" macro="[0]!Módulo4.PEC3_COMPRO">
                <anchor moveWithCells="1" sizeWithCells="1">
                  <from>
                    <xdr:col>2</xdr:col>
                    <xdr:colOff>8572500</xdr:colOff>
                    <xdr:row>376</xdr:row>
                    <xdr:rowOff>76200</xdr:rowOff>
                  </from>
                  <to>
                    <xdr:col>2</xdr:col>
                    <xdr:colOff>9877425</xdr:colOff>
                    <xdr:row>377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Ingles</vt:lpstr>
      <vt:lpstr>Ingles!Área_de_impresión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2018-05-18T18:39:58Z</dcterms:modified>
  <cp:category/>
  <cp:contentStatus/>
</cp:coreProperties>
</file>