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0CB46050-61B4-4BC3-9A20-FFDD3B458C26}" xr6:coauthVersionLast="31" xr6:coauthVersionMax="31" xr10:uidLastSave="{00000000-0000-0000-0000-000000000000}"/>
  <bookViews>
    <workbookView xWindow="0" yWindow="465" windowWidth="5340" windowHeight="3750" tabRatio="500" xr2:uid="{00000000-000D-0000-FFFF-FFFF00000000}"/>
  </bookViews>
  <sheets>
    <sheet name="SSOO" sheetId="6" r:id="rId1"/>
  </sheets>
  <definedNames>
    <definedName name="_xlnm.Print_Area" localSheetId="0">SSOO!$B$1:$H$70</definedName>
    <definedName name="OLE_LINK2" localSheetId="0">SSOO!$B$72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78" i="6" l="1"/>
  <c r="H972" i="6"/>
  <c r="H966" i="6"/>
  <c r="H954" i="6"/>
  <c r="H948" i="6"/>
  <c r="H936" i="6"/>
  <c r="H930" i="6"/>
  <c r="H924" i="6"/>
  <c r="H925" i="6"/>
  <c r="H931" i="6"/>
  <c r="H937" i="6"/>
  <c r="H943" i="6"/>
  <c r="H949" i="6"/>
  <c r="H961" i="6"/>
  <c r="H955" i="6"/>
  <c r="H967" i="6"/>
  <c r="H973" i="6"/>
  <c r="H979" i="6"/>
  <c r="H968" i="6"/>
  <c r="H974" i="6"/>
  <c r="H980" i="6"/>
  <c r="H956" i="6"/>
  <c r="H960" i="6"/>
  <c r="H962" i="6"/>
  <c r="H950" i="6"/>
  <c r="H942" i="6"/>
  <c r="H944" i="6"/>
  <c r="H938" i="6"/>
  <c r="H932" i="6"/>
  <c r="H926" i="6"/>
  <c r="F985" i="6"/>
  <c r="H913" i="6"/>
  <c r="H907" i="6"/>
  <c r="H901" i="6"/>
  <c r="H895" i="6"/>
  <c r="H877" i="6"/>
  <c r="H859" i="6"/>
  <c r="H860" i="6"/>
  <c r="H866" i="6"/>
  <c r="H872" i="6"/>
  <c r="H878" i="6"/>
  <c r="H884" i="6"/>
  <c r="H890" i="6"/>
  <c r="H896" i="6"/>
  <c r="H902" i="6"/>
  <c r="H908" i="6"/>
  <c r="H914" i="6"/>
  <c r="H848" i="6"/>
  <c r="H842" i="6"/>
  <c r="H836" i="6"/>
  <c r="H830" i="6"/>
  <c r="H824" i="6"/>
  <c r="H812" i="6"/>
  <c r="H806" i="6"/>
  <c r="H800" i="6"/>
  <c r="H794" i="6"/>
  <c r="H795" i="6"/>
  <c r="H801" i="6"/>
  <c r="H807" i="6"/>
  <c r="H813" i="6"/>
  <c r="H819" i="6"/>
  <c r="H825" i="6"/>
  <c r="H831" i="6"/>
  <c r="H837" i="6"/>
  <c r="H843" i="6"/>
  <c r="H849" i="6"/>
  <c r="H850" i="6"/>
  <c r="H844" i="6"/>
  <c r="H838" i="6"/>
  <c r="H832" i="6"/>
  <c r="H826" i="6"/>
  <c r="H818" i="6"/>
  <c r="H820" i="6"/>
  <c r="H814" i="6"/>
  <c r="H808" i="6"/>
  <c r="H802" i="6"/>
  <c r="H796" i="6"/>
  <c r="F855" i="6"/>
  <c r="H783" i="6"/>
  <c r="H777" i="6"/>
  <c r="H771" i="6"/>
  <c r="H765" i="6"/>
  <c r="H759" i="6"/>
  <c r="H747" i="6"/>
  <c r="H741" i="6"/>
  <c r="H735" i="6"/>
  <c r="H729" i="6"/>
  <c r="H730" i="6"/>
  <c r="H736" i="6"/>
  <c r="H742" i="6"/>
  <c r="H748" i="6"/>
  <c r="H754" i="6"/>
  <c r="H760" i="6"/>
  <c r="H766" i="6"/>
  <c r="H772" i="6"/>
  <c r="H778" i="6"/>
  <c r="H784" i="6"/>
  <c r="H785" i="6"/>
  <c r="H779" i="6"/>
  <c r="H773" i="6"/>
  <c r="H767" i="6"/>
  <c r="H761" i="6"/>
  <c r="H753" i="6"/>
  <c r="H755" i="6"/>
  <c r="H749" i="6"/>
  <c r="H743" i="6"/>
  <c r="H737" i="6"/>
  <c r="H731" i="6"/>
  <c r="F790" i="6"/>
  <c r="G985" i="6"/>
  <c r="F986" i="6"/>
  <c r="F980" i="6"/>
  <c r="F979" i="6"/>
  <c r="F974" i="6"/>
  <c r="F973" i="6"/>
  <c r="F968" i="6"/>
  <c r="F967" i="6"/>
  <c r="F962" i="6"/>
  <c r="F961" i="6"/>
  <c r="F956" i="6"/>
  <c r="F955" i="6"/>
  <c r="F950" i="6"/>
  <c r="F949" i="6"/>
  <c r="F944" i="6"/>
  <c r="F943" i="6"/>
  <c r="F938" i="6"/>
  <c r="F937" i="6"/>
  <c r="F932" i="6"/>
  <c r="F931" i="6"/>
  <c r="F926" i="6"/>
  <c r="F925" i="6"/>
  <c r="H903" i="6"/>
  <c r="H897" i="6"/>
  <c r="H889" i="6"/>
  <c r="H891" i="6"/>
  <c r="H883" i="6"/>
  <c r="H885" i="6"/>
  <c r="H879" i="6"/>
  <c r="H871" i="6"/>
  <c r="H873" i="6"/>
  <c r="H865" i="6"/>
  <c r="H867" i="6"/>
  <c r="H861" i="6"/>
  <c r="H909" i="6"/>
  <c r="H915" i="6"/>
  <c r="F920" i="6"/>
  <c r="G920" i="6"/>
  <c r="F921" i="6"/>
  <c r="F915" i="6"/>
  <c r="F914" i="6"/>
  <c r="F909" i="6"/>
  <c r="F908" i="6"/>
  <c r="F903" i="6"/>
  <c r="F902" i="6"/>
  <c r="F897" i="6"/>
  <c r="F896" i="6"/>
  <c r="F891" i="6"/>
  <c r="F890" i="6"/>
  <c r="F885" i="6"/>
  <c r="F884" i="6"/>
  <c r="F879" i="6"/>
  <c r="F878" i="6"/>
  <c r="F873" i="6"/>
  <c r="F872" i="6"/>
  <c r="F867" i="6"/>
  <c r="F866" i="6"/>
  <c r="F861" i="6"/>
  <c r="F860" i="6"/>
  <c r="G855" i="6"/>
  <c r="F856" i="6"/>
  <c r="F850" i="6"/>
  <c r="F849" i="6"/>
  <c r="F844" i="6"/>
  <c r="F843" i="6"/>
  <c r="F838" i="6"/>
  <c r="F837" i="6"/>
  <c r="F832" i="6"/>
  <c r="F831" i="6"/>
  <c r="F826" i="6"/>
  <c r="F825" i="6"/>
  <c r="F820" i="6"/>
  <c r="F819" i="6"/>
  <c r="F814" i="6"/>
  <c r="F813" i="6"/>
  <c r="F808" i="6"/>
  <c r="F807" i="6"/>
  <c r="F802" i="6"/>
  <c r="F801" i="6"/>
  <c r="F796" i="6"/>
  <c r="F795" i="6"/>
  <c r="H718" i="6"/>
  <c r="H712" i="6"/>
  <c r="H706" i="6"/>
  <c r="H700" i="6"/>
  <c r="H694" i="6"/>
  <c r="H688" i="6"/>
  <c r="H682" i="6"/>
  <c r="H676" i="6"/>
  <c r="H664" i="6"/>
  <c r="H653" i="6"/>
  <c r="H641" i="6"/>
  <c r="H635" i="6"/>
  <c r="H629" i="6"/>
  <c r="H623" i="6"/>
  <c r="H617" i="6"/>
  <c r="H611" i="6"/>
  <c r="H605" i="6"/>
  <c r="H588" i="6"/>
  <c r="H582" i="6"/>
  <c r="H576" i="6"/>
  <c r="H564" i="6"/>
  <c r="H552" i="6"/>
  <c r="H534" i="6"/>
  <c r="H523" i="6"/>
  <c r="H517" i="6"/>
  <c r="H511" i="6"/>
  <c r="H505" i="6"/>
  <c r="H499" i="6"/>
  <c r="H493" i="6"/>
  <c r="H487" i="6"/>
  <c r="H481" i="6"/>
  <c r="H475" i="6"/>
  <c r="H469" i="6"/>
  <c r="H458" i="6"/>
  <c r="H452" i="6"/>
  <c r="H446" i="6"/>
  <c r="H440" i="6"/>
  <c r="H434" i="6"/>
  <c r="H428" i="6"/>
  <c r="H416" i="6"/>
  <c r="H393" i="6"/>
  <c r="H387" i="6"/>
  <c r="H381" i="6"/>
  <c r="H369" i="6"/>
  <c r="H363" i="6"/>
  <c r="H345" i="6"/>
  <c r="H272" i="6"/>
  <c r="H279" i="6"/>
  <c r="H285" i="6"/>
  <c r="H291" i="6"/>
  <c r="H297" i="6"/>
  <c r="H303" i="6"/>
  <c r="H309" i="6"/>
  <c r="H315" i="6"/>
  <c r="H321" i="6"/>
  <c r="H327" i="6"/>
  <c r="H326" i="6"/>
  <c r="H328" i="6"/>
  <c r="H320" i="6"/>
  <c r="H322" i="6"/>
  <c r="H314" i="6"/>
  <c r="H316" i="6"/>
  <c r="H308" i="6"/>
  <c r="H310" i="6"/>
  <c r="H302" i="6"/>
  <c r="H304" i="6"/>
  <c r="H296" i="6"/>
  <c r="H298" i="6"/>
  <c r="H290" i="6"/>
  <c r="H292" i="6"/>
  <c r="H284" i="6"/>
  <c r="H286" i="6"/>
  <c r="H278" i="6"/>
  <c r="H280" i="6"/>
  <c r="H271" i="6"/>
  <c r="H273" i="6"/>
  <c r="F333" i="6"/>
  <c r="G264" i="6"/>
  <c r="H257" i="6"/>
  <c r="H251" i="6"/>
  <c r="H245" i="6"/>
  <c r="H239" i="6"/>
  <c r="H233" i="6"/>
  <c r="H227" i="6"/>
  <c r="H215" i="6"/>
  <c r="H209" i="6"/>
  <c r="H192" i="6"/>
  <c r="H174" i="6"/>
  <c r="H168" i="6"/>
  <c r="H156" i="6"/>
  <c r="H150" i="6"/>
  <c r="H144" i="6"/>
  <c r="H143" i="6"/>
  <c r="H138" i="6"/>
  <c r="H115" i="6"/>
  <c r="H109" i="6"/>
  <c r="H97" i="6"/>
  <c r="H91" i="6"/>
  <c r="H85" i="6"/>
  <c r="H62" i="6"/>
  <c r="H56" i="6"/>
  <c r="H44" i="6"/>
  <c r="H38" i="6"/>
  <c r="H32" i="6"/>
  <c r="H26" i="6"/>
  <c r="H20" i="6"/>
  <c r="H14" i="6"/>
  <c r="H670" i="6"/>
  <c r="H719" i="6"/>
  <c r="H713" i="6"/>
  <c r="H707" i="6"/>
  <c r="H701" i="6"/>
  <c r="H695" i="6"/>
  <c r="H689" i="6"/>
  <c r="H683" i="6"/>
  <c r="H677" i="6"/>
  <c r="H671" i="6"/>
  <c r="H665" i="6"/>
  <c r="H708" i="6"/>
  <c r="H702" i="6"/>
  <c r="H696" i="6"/>
  <c r="H690" i="6"/>
  <c r="H684" i="6"/>
  <c r="H678" i="6"/>
  <c r="H672" i="6"/>
  <c r="H666" i="6"/>
  <c r="H714" i="6"/>
  <c r="H720" i="6"/>
  <c r="F725" i="6"/>
  <c r="H599" i="6"/>
  <c r="H654" i="6"/>
  <c r="H648" i="6"/>
  <c r="H642" i="6"/>
  <c r="H636" i="6"/>
  <c r="H630" i="6"/>
  <c r="H624" i="6"/>
  <c r="H618" i="6"/>
  <c r="H612" i="6"/>
  <c r="H606" i="6"/>
  <c r="H600" i="6"/>
  <c r="H643" i="6"/>
  <c r="H637" i="6"/>
  <c r="H631" i="6"/>
  <c r="H625" i="6"/>
  <c r="H619" i="6"/>
  <c r="H613" i="6"/>
  <c r="H607" i="6"/>
  <c r="H601" i="6"/>
  <c r="H647" i="6"/>
  <c r="H649" i="6"/>
  <c r="H655" i="6"/>
  <c r="F660" i="6"/>
  <c r="H570" i="6"/>
  <c r="H558" i="6"/>
  <c r="H546" i="6"/>
  <c r="H540" i="6"/>
  <c r="H589" i="6"/>
  <c r="H583" i="6"/>
  <c r="H577" i="6"/>
  <c r="H571" i="6"/>
  <c r="H565" i="6"/>
  <c r="H559" i="6"/>
  <c r="H553" i="6"/>
  <c r="H547" i="6"/>
  <c r="H541" i="6"/>
  <c r="H535" i="6"/>
  <c r="H584" i="6"/>
  <c r="H578" i="6"/>
  <c r="H572" i="6"/>
  <c r="H566" i="6"/>
  <c r="H560" i="6"/>
  <c r="H554" i="6"/>
  <c r="H548" i="6"/>
  <c r="H542" i="6"/>
  <c r="H536" i="6"/>
  <c r="H590" i="6"/>
  <c r="F595" i="6"/>
  <c r="H410" i="6"/>
  <c r="H404" i="6"/>
  <c r="H351" i="6"/>
  <c r="H339" i="6"/>
  <c r="G333" i="6"/>
  <c r="H221" i="6"/>
  <c r="H180" i="6"/>
  <c r="H162" i="6"/>
  <c r="H127" i="6"/>
  <c r="H121" i="6"/>
  <c r="H103" i="6"/>
  <c r="H73" i="6"/>
  <c r="H50" i="6"/>
  <c r="H8" i="6"/>
  <c r="G790" i="6"/>
  <c r="F791" i="6"/>
  <c r="F785" i="6"/>
  <c r="F784" i="6"/>
  <c r="F779" i="6"/>
  <c r="F778" i="6"/>
  <c r="F773" i="6"/>
  <c r="F772" i="6"/>
  <c r="F767" i="6"/>
  <c r="F766" i="6"/>
  <c r="F761" i="6"/>
  <c r="F760" i="6"/>
  <c r="F755" i="6"/>
  <c r="F754" i="6"/>
  <c r="F749" i="6"/>
  <c r="F748" i="6"/>
  <c r="F743" i="6"/>
  <c r="F742" i="6"/>
  <c r="F737" i="6"/>
  <c r="F736" i="6"/>
  <c r="F731" i="6"/>
  <c r="F730" i="6"/>
  <c r="G725" i="6"/>
  <c r="F726" i="6"/>
  <c r="F720" i="6"/>
  <c r="F719" i="6"/>
  <c r="F714" i="6"/>
  <c r="F713" i="6"/>
  <c r="F708" i="6"/>
  <c r="F707" i="6"/>
  <c r="F702" i="6"/>
  <c r="F701" i="6"/>
  <c r="F696" i="6"/>
  <c r="F695" i="6"/>
  <c r="F690" i="6"/>
  <c r="F689" i="6"/>
  <c r="F684" i="6"/>
  <c r="F683" i="6"/>
  <c r="F678" i="6"/>
  <c r="F677" i="6"/>
  <c r="F672" i="6"/>
  <c r="F671" i="6"/>
  <c r="F666" i="6"/>
  <c r="F665" i="6"/>
  <c r="G660" i="6"/>
  <c r="F661" i="6"/>
  <c r="F655" i="6"/>
  <c r="F654" i="6"/>
  <c r="F649" i="6"/>
  <c r="F648" i="6"/>
  <c r="F643" i="6"/>
  <c r="F642" i="6"/>
  <c r="F637" i="6"/>
  <c r="F636" i="6"/>
  <c r="F631" i="6"/>
  <c r="F630" i="6"/>
  <c r="F625" i="6"/>
  <c r="F624" i="6"/>
  <c r="F619" i="6"/>
  <c r="F618" i="6"/>
  <c r="F613" i="6"/>
  <c r="F612" i="6"/>
  <c r="F607" i="6"/>
  <c r="F606" i="6"/>
  <c r="F601" i="6"/>
  <c r="F600" i="6"/>
  <c r="G595" i="6"/>
  <c r="F596" i="6"/>
  <c r="F590" i="6"/>
  <c r="F589" i="6"/>
  <c r="F584" i="6"/>
  <c r="F583" i="6"/>
  <c r="F578" i="6"/>
  <c r="F577" i="6"/>
  <c r="F572" i="6"/>
  <c r="F571" i="6"/>
  <c r="F566" i="6"/>
  <c r="F565" i="6"/>
  <c r="F560" i="6"/>
  <c r="F559" i="6"/>
  <c r="F554" i="6"/>
  <c r="F553" i="6"/>
  <c r="F548" i="6"/>
  <c r="F547" i="6"/>
  <c r="F542" i="6"/>
  <c r="F541" i="6"/>
  <c r="F536" i="6"/>
  <c r="F535" i="6"/>
  <c r="H405" i="6"/>
  <c r="H406" i="6"/>
  <c r="H411" i="6"/>
  <c r="H412" i="6"/>
  <c r="H417" i="6"/>
  <c r="H418" i="6"/>
  <c r="H423" i="6"/>
  <c r="H422" i="6"/>
  <c r="H424" i="6"/>
  <c r="H429" i="6"/>
  <c r="H430" i="6"/>
  <c r="H435" i="6"/>
  <c r="H436" i="6"/>
  <c r="H441" i="6"/>
  <c r="H442" i="6"/>
  <c r="H447" i="6"/>
  <c r="H448" i="6"/>
  <c r="H453" i="6"/>
  <c r="H454" i="6"/>
  <c r="H459" i="6"/>
  <c r="H460" i="6"/>
  <c r="F465" i="6"/>
  <c r="H394" i="6"/>
  <c r="H395" i="6"/>
  <c r="H388" i="6"/>
  <c r="H389" i="6"/>
  <c r="H382" i="6"/>
  <c r="H383" i="6"/>
  <c r="H376" i="6"/>
  <c r="H375" i="6"/>
  <c r="H377" i="6"/>
  <c r="H370" i="6"/>
  <c r="H371" i="6"/>
  <c r="H364" i="6"/>
  <c r="H365" i="6"/>
  <c r="H358" i="6"/>
  <c r="H357" i="6"/>
  <c r="H359" i="6"/>
  <c r="H352" i="6"/>
  <c r="H353" i="6"/>
  <c r="H346" i="6"/>
  <c r="H347" i="6"/>
  <c r="H340" i="6"/>
  <c r="H341" i="6"/>
  <c r="F400" i="6"/>
  <c r="H512" i="6"/>
  <c r="H513" i="6"/>
  <c r="H506" i="6"/>
  <c r="H507" i="6"/>
  <c r="H500" i="6"/>
  <c r="H501" i="6"/>
  <c r="H494" i="6"/>
  <c r="H495" i="6"/>
  <c r="H488" i="6"/>
  <c r="H489" i="6"/>
  <c r="H482" i="6"/>
  <c r="H483" i="6"/>
  <c r="H476" i="6"/>
  <c r="H477" i="6"/>
  <c r="H470" i="6"/>
  <c r="H471" i="6"/>
  <c r="H518" i="6"/>
  <c r="H519" i="6"/>
  <c r="H524" i="6"/>
  <c r="H525" i="6"/>
  <c r="F530" i="6"/>
  <c r="H258" i="6"/>
  <c r="H259" i="6"/>
  <c r="H252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11" i="6"/>
  <c r="H204" i="6"/>
  <c r="H203" i="6"/>
  <c r="H205" i="6"/>
  <c r="F264" i="6"/>
  <c r="G530" i="6"/>
  <c r="F531" i="6"/>
  <c r="F525" i="6"/>
  <c r="F524" i="6"/>
  <c r="F519" i="6"/>
  <c r="F518" i="6"/>
  <c r="G465" i="6"/>
  <c r="F460" i="6"/>
  <c r="F459" i="6"/>
  <c r="F454" i="6"/>
  <c r="F453" i="6"/>
  <c r="F448" i="6"/>
  <c r="F447" i="6"/>
  <c r="F442" i="6"/>
  <c r="F441" i="6"/>
  <c r="F436" i="6"/>
  <c r="F435" i="6"/>
  <c r="F466" i="6"/>
  <c r="F322" i="6"/>
  <c r="F321" i="6"/>
  <c r="H186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4" i="6"/>
  <c r="H21" i="6"/>
  <c r="H22" i="6"/>
  <c r="H15" i="6"/>
  <c r="H16" i="6"/>
  <c r="H9" i="6"/>
  <c r="H10" i="6"/>
  <c r="F69" i="6"/>
  <c r="G69" i="6"/>
  <c r="F70" i="6"/>
  <c r="F9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00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5" i="6"/>
  <c r="H139" i="6"/>
  <c r="H140" i="6"/>
  <c r="F199" i="6"/>
  <c r="F430" i="6"/>
  <c r="F429" i="6"/>
  <c r="F424" i="6"/>
  <c r="F423" i="6"/>
  <c r="F418" i="6"/>
  <c r="F417" i="6"/>
  <c r="F412" i="6"/>
  <c r="F411" i="6"/>
  <c r="F406" i="6"/>
  <c r="F405" i="6"/>
  <c r="F401" i="6"/>
  <c r="F395" i="6"/>
  <c r="F394" i="6"/>
  <c r="F389" i="6"/>
  <c r="F388" i="6"/>
  <c r="F383" i="6"/>
  <c r="F382" i="6"/>
  <c r="F377" i="6"/>
  <c r="F376" i="6"/>
  <c r="F371" i="6"/>
  <c r="F370" i="6"/>
  <c r="F365" i="6"/>
  <c r="F364" i="6"/>
  <c r="F359" i="6"/>
  <c r="F358" i="6"/>
  <c r="F353" i="6"/>
  <c r="F352" i="6"/>
  <c r="F347" i="6"/>
  <c r="F346" i="6"/>
  <c r="F341" i="6"/>
  <c r="F340" i="6"/>
  <c r="F33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5" i="6"/>
  <c r="F144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01" i="6"/>
  <c r="F500" i="6"/>
  <c r="F513" i="6"/>
  <c r="F512" i="6"/>
  <c r="F507" i="6"/>
  <c r="F506" i="6"/>
  <c r="F495" i="6"/>
  <c r="F494" i="6"/>
  <c r="F489" i="6"/>
  <c r="F488" i="6"/>
  <c r="F483" i="6"/>
  <c r="F482" i="6"/>
  <c r="F477" i="6"/>
  <c r="F476" i="6"/>
  <c r="F471" i="6"/>
  <c r="F470" i="6"/>
</calcChain>
</file>

<file path=xl/sharedStrings.xml><?xml version="1.0" encoding="utf-8"?>
<sst xmlns="http://schemas.openxmlformats.org/spreadsheetml/2006/main" count="2316" uniqueCount="738">
  <si>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</si>
  <si>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</si>
  <si>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</si>
  <si>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</si>
  <si>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</si>
  <si>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</si>
  <si>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</si>
  <si>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</si>
  <si>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</si>
  <si>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</si>
  <si>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</si>
  <si>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</si>
  <si>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</si>
  <si>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</si>
  <si>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</si>
  <si>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</si>
  <si>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</si>
  <si>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</si>
  <si>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</si>
  <si>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</si>
  <si>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</si>
  <si>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</si>
  <si>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</si>
  <si>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</si>
  <si>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</si>
  <si>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</si>
  <si>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</si>
  <si>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</si>
  <si>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</si>
  <si>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</si>
  <si>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</si>
  <si>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</si>
  <si>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</si>
  <si>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TEMA 3</t>
  </si>
  <si>
    <t>TEMA 2</t>
  </si>
  <si>
    <t>TEMA 4</t>
  </si>
  <si>
    <t>TEMA 5</t>
  </si>
  <si>
    <t>TEMA 6</t>
  </si>
  <si>
    <t xml:space="preserve">TEMA  7 </t>
  </si>
  <si>
    <t>TEMA 9</t>
  </si>
  <si>
    <t>TEMA 10</t>
  </si>
  <si>
    <t>TEMA 11</t>
  </si>
  <si>
    <t>TEMA 12</t>
  </si>
  <si>
    <t>Todas son correctas</t>
  </si>
  <si>
    <t>¿Cuál de las siguientes tareas no es propia de un administrador de sistemas?</t>
  </si>
  <si>
    <t>Instalar y configurar la red.</t>
  </si>
  <si>
    <t>Organizar el trabajo a los empleados.</t>
  </si>
  <si>
    <t>Realizar copias de seguridad.</t>
  </si>
  <si>
    <t>Registrar los cambios en el sistema.</t>
  </si>
  <si>
    <t xml:space="preserve">El administrador del sistema forma y asesora a los usuarios para ...
</t>
  </si>
  <si>
    <t>Que puedan instalar y configurar software.</t>
  </si>
  <si>
    <t>Que realicen sus propias copias de seguridad.</t>
  </si>
  <si>
    <t>Que puedan utilizar el sistema de forma efectiva.</t>
  </si>
  <si>
    <t>Que formen a los demás usuarios del sistema.</t>
  </si>
  <si>
    <t xml:space="preserve">¿Qué es un armario rack?
</t>
  </si>
  <si>
    <t>Se utiliza para ubicar en él los servidores de la empresa.</t>
  </si>
  <si>
    <t>Un conjunto de servidores integrados al máximo para utilizarse de forma conjunta.</t>
  </si>
  <si>
    <t>Un sistema para obtener redundancia en fuentes de alimentación.</t>
  </si>
  <si>
    <t>Un grupo de discos que actúan colectivamente.</t>
  </si>
  <si>
    <t xml:space="preserve">La principal función de un armario rack NO es ...
</t>
  </si>
  <si>
    <t>Ocupar el menos espacio posible.</t>
  </si>
  <si>
    <t>Tener una mejor organización.</t>
  </si>
  <si>
    <t>Ser accesible.</t>
  </si>
  <si>
    <t>Ser eficiente con el gasto de energía.</t>
  </si>
  <si>
    <t xml:space="preserve">La mejor forma de redundancia eléctrica se consigue...
</t>
  </si>
  <si>
    <t>Con múltiples fuentes de alimentación conectadas entre sí.</t>
  </si>
  <si>
    <t>Conectando cada fuente de alimentación a un sistema eléctrico independiente.</t>
  </si>
  <si>
    <t>Con fuentes de alimentación con batería.</t>
  </si>
  <si>
    <t>Conectando los servidores a todas las fuentes de alimentación simultáneamente.</t>
  </si>
  <si>
    <t xml:space="preserve">¿Qué es un sistema RAID?
</t>
  </si>
  <si>
    <t>Un grupo de discos con el mismo sistema de ficheros.</t>
  </si>
  <si>
    <t>Un grupo de discos que actúan como un único sistema de almacenamiento.</t>
  </si>
  <si>
    <t>Un grupo de discos conectados en red.</t>
  </si>
  <si>
    <t>Un grupo de discos de la misma capacidad.</t>
  </si>
  <si>
    <t xml:space="preserve">¿Qué nivel no permite la ventaja de un sistema RAID (Redundant Array of Indepent Disk)?
</t>
  </si>
  <si>
    <t>Raid 0</t>
  </si>
  <si>
    <t>Raid 1</t>
  </si>
  <si>
    <t>Raid 0+1</t>
  </si>
  <si>
    <t>Disco espejo</t>
  </si>
  <si>
    <t xml:space="preserve">Si en un RAID 5 se daña un disco ...
</t>
  </si>
  <si>
    <t>Perdemos sólo la quinta parte de la información.</t>
  </si>
  <si>
    <t>Podemos recuperar la información con herramientas forenses.</t>
  </si>
  <si>
    <t>Sustituimos el disco dañado para que se reconstruya y así no perder la información.</t>
  </si>
  <si>
    <t>Perdemos la información de ese disco duro.</t>
  </si>
  <si>
    <t xml:space="preserve">¿Mediante que métodos se realiza un RAID?
</t>
  </si>
  <si>
    <t>Software</t>
  </si>
  <si>
    <t>Hardware</t>
  </si>
  <si>
    <t>Software y Hardware</t>
  </si>
  <si>
    <t>Los RAID se compran implementados.</t>
  </si>
  <si>
    <t xml:space="preserve">¿Qué es un Hot Spare?
</t>
  </si>
  <si>
    <t>Un disco en espera que se utiliza de forma automática al dañarse o fallar un disco duro.</t>
  </si>
  <si>
    <t>El disco en espera que se inserta cuando se daña o falla otro disco duro.</t>
  </si>
  <si>
    <t>Un repuesto de emergencia para arreglar discos.</t>
  </si>
  <si>
    <t>Una propiedad de los sistemas RAID que permite introducir discos en caliente.</t>
  </si>
  <si>
    <t>SSOO</t>
  </si>
  <si>
    <t>Un router o cortafuegos se encarga de …</t>
  </si>
  <si>
    <t>Encaminar el tráfico</t>
  </si>
  <si>
    <t>Denegar el tráfico.</t>
  </si>
  <si>
    <t>Permitir el tráfico.</t>
  </si>
  <si>
    <t>Todas con correctas</t>
  </si>
  <si>
    <t>La que se utiliza para aislar una red de posibles ataques se llama:</t>
  </si>
  <si>
    <t>Zona segura</t>
  </si>
  <si>
    <t>Zona neutra</t>
  </si>
  <si>
    <t>Zona interna</t>
  </si>
  <si>
    <t>Zona real</t>
  </si>
  <si>
    <t>A una zona neutra también se le puede denominar.</t>
  </si>
  <si>
    <t>Red perimetral.</t>
  </si>
  <si>
    <t>Zona desmilitarizada.</t>
  </si>
  <si>
    <t>DMZ.</t>
  </si>
  <si>
    <t>Todas son correctas.</t>
  </si>
  <si>
    <t>En un esquema de red básico ¿es recomendable tener servidores públicos?</t>
  </si>
  <si>
    <t>No</t>
  </si>
  <si>
    <t>Si</t>
  </si>
  <si>
    <t>Una red con zona neutra con dos routers permite…</t>
  </si>
  <si>
    <t>Realizar la misma configuración que con un router.</t>
  </si>
  <si>
    <t>Hacer una configuración redundante que dará mayor seguridad.</t>
  </si>
  <si>
    <t>Distinguir permisos por zonas.</t>
  </si>
  <si>
    <t>Ninguna respuesta es correcta.</t>
  </si>
  <si>
    <t>¿Es posible crear varias redes internas con un sólo router?</t>
  </si>
  <si>
    <t>Si, pero son redes pseudo-internas</t>
  </si>
  <si>
    <t>Si, pero no podemos tener DHCP</t>
  </si>
  <si>
    <t>¿Es posible crear una zona neutra con un sólo router?</t>
  </si>
  <si>
    <t>Sí, y es posible crear también una red interna.</t>
  </si>
  <si>
    <t>Sí, pero no podemos crear una zona interna.</t>
  </si>
  <si>
    <t>Únicamente si el router es VDSL.</t>
  </si>
  <si>
    <t>¿Qué utilidad tiene un esquema de red con varias zonas neutras?</t>
  </si>
  <si>
    <t>Ninguna</t>
  </si>
  <si>
    <t>Confundir al atacante.</t>
  </si>
  <si>
    <t>Dar servicios bien diferenciados al exterior.</t>
  </si>
  <si>
    <t>No es posible tener simultáneamente dos zonas neutras en una misma red.</t>
  </si>
  <si>
    <t>En una red con integración de sistemas, Windows y GNU/Linux. ¿Cuál es el mejor sistema de ficheros para los discos de acceso global?</t>
  </si>
  <si>
    <t>FAT32</t>
  </si>
  <si>
    <t>NTFS</t>
  </si>
  <si>
    <t>EXT4</t>
  </si>
  <si>
    <t>EXT3</t>
  </si>
  <si>
    <t>¿Qué servicio permite asignar automáticamente la configuración IP a los equipos de una red?</t>
  </si>
  <si>
    <t>DHCP</t>
  </si>
  <si>
    <t>DNS</t>
  </si>
  <si>
    <t>Directorio Activo</t>
  </si>
  <si>
    <t>FTP</t>
  </si>
  <si>
    <t>En la instalación de un sistema operativo de la familia Windows Server ¿Cuál de los siguientes requisitos del sistema no hay que tener en cuenta?</t>
  </si>
  <si>
    <t>Procesador.</t>
  </si>
  <si>
    <t>Memoria</t>
  </si>
  <si>
    <t>Disco duro</t>
  </si>
  <si>
    <t>Todos son importantes</t>
  </si>
  <si>
    <t>Indica la versión que no pertenece a la familia de productos Windows Server</t>
  </si>
  <si>
    <t>Standard</t>
  </si>
  <si>
    <t>Enterprise</t>
  </si>
  <si>
    <t>Expert</t>
  </si>
  <si>
    <t>Datacenter</t>
  </si>
  <si>
    <t>Se puede instalar Windows Server con la cuenta de administrador sin contraseña.</t>
  </si>
  <si>
    <t>Sí, siempre.</t>
  </si>
  <si>
    <t>Si, pèro solo si creamos otro usuario</t>
  </si>
  <si>
    <t>Unicamente si realizamos una instalacion desantedida</t>
  </si>
  <si>
    <t>Una de las primeras acciones que debe realizar al instalar un sistema operativo de servidor es: </t>
  </si>
  <si>
    <t>Actualizar el sistema.</t>
  </si>
  <si>
    <t>Agregar nuevas características.</t>
  </si>
  <si>
    <t>Habilitar escritorio remoto.</t>
  </si>
  <si>
    <t>Agregar o quitar funciones.</t>
  </si>
  <si>
    <t>¿En qué tipo de partición debe instalarse Windows Server?</t>
  </si>
  <si>
    <t>Primaria</t>
  </si>
  <si>
    <t>Secundaria</t>
  </si>
  <si>
    <t>Extendida</t>
  </si>
  <si>
    <t>Logica</t>
  </si>
  <si>
    <t>Windows Server 2008 R2, durante el proceso de instalación, no:</t>
  </si>
  <si>
    <t>Instala actualizaciones.</t>
  </si>
  <si>
    <t>Expande los archivos, realizando el grueso de la instalación.</t>
  </si>
  <si>
    <t>Analiza las características de nuestro servidor.</t>
  </si>
  <si>
    <t>Instala características por defecto.</t>
  </si>
  <si>
    <t>Windows permite agregar o quitar funciones (o roles) del servidor a través de la herramienta administrativa denominada:</t>
  </si>
  <si>
    <t>Administrador del Servidor.</t>
  </si>
  <si>
    <t>Administrador de recursos.</t>
  </si>
  <si>
    <t>Administrador de funciones.</t>
  </si>
  <si>
    <t>Es falso, no existe ninguna.</t>
  </si>
  <si>
    <t>La cantidad de memoria RAM recomendada para instalar Windows Server 2008 R2 es:</t>
  </si>
  <si>
    <t>256 MB.</t>
  </si>
  <si>
    <t>512 MB.</t>
  </si>
  <si>
    <t>1GB</t>
  </si>
  <si>
    <t>2GB</t>
  </si>
  <si>
    <t>Indica el rol de servidor que no pertenece a Windows Server 2008:</t>
  </si>
  <si>
    <t>Servidor DNS.</t>
  </si>
  <si>
    <t>Directorio Activo.</t>
  </si>
  <si>
    <t>Servidor VNC.</t>
  </si>
  <si>
    <t>Servidor DHCP.</t>
  </si>
  <si>
    <t>Indica el rol de servidor que permite crear y administrar un entorno informático virtualizado mediante la tecnología de virtualización integrada en Windows Server:</t>
  </si>
  <si>
    <t>Windows Server Essentials Experience</t>
  </si>
  <si>
    <t>Windows Server Update Services (WUSUS).</t>
  </si>
  <si>
    <t>Hyper-V</t>
  </si>
  <si>
    <t xml:space="preserve">La herramienta Administración de discos NO permite crear... </t>
  </si>
  <si>
    <t>Cuotas de discos</t>
  </si>
  <si>
    <t>Volumenes seccionados</t>
  </si>
  <si>
    <t>RAID 5</t>
  </si>
  <si>
    <t>RAID 1</t>
  </si>
  <si>
    <t>ANULADA</t>
  </si>
  <si>
    <t>Si tiene un disco duro en FAT, ¿es posible cambiarlo a NTFS?</t>
  </si>
  <si>
    <t>No se puede cambiar.</t>
  </si>
  <si>
    <t>Hay un comando llamado convert que permite realizar la conversión de forma fácil.</t>
  </si>
  <si>
    <t>Utilizando el comando convert, pero necesitamos otro disco duro.</t>
  </si>
  <si>
    <t>Cambiando un jumper en el disco duro.</t>
  </si>
  <si>
    <t>Seleccione la opción incorrecta sobre las cuotas de usuario del sistema</t>
  </si>
  <si>
    <t>Las cuotas de usuario controlan el uso de espacio de disco.</t>
  </si>
  <si>
    <t>Las cuotas de usuario pueden avisar cuando se acerca al límite de almacenamiento.</t>
  </si>
  <si>
    <t>Las cuotas de usuario registran la actividad del usuario en el sistema.</t>
  </si>
  <si>
    <t>Las cuotas de disco se pueden utilizar en discos con formato …</t>
  </si>
  <si>
    <t>NTFS y FAT16</t>
  </si>
  <si>
    <t>NTFS y FAT32</t>
  </si>
  <si>
    <t>¿Los usuarios pueden superar el límite de cuota de disco?</t>
  </si>
  <si>
    <t>No, porque no tendría sentido poner límite.</t>
  </si>
  <si>
    <t>Si, siempre.</t>
  </si>
  <si>
    <t>Si. pero hay que indicarlo en la configuración.</t>
  </si>
  <si>
    <t>En ningún caso sería posible.</t>
  </si>
  <si>
    <t>Indica las cuentas predeterminadas del sistema</t>
  </si>
  <si>
    <t>Administrador.</t>
  </si>
  <si>
    <t>Invitado</t>
  </si>
  <si>
    <t>Administrador e invitado.</t>
  </si>
  <si>
    <t>Todas con falsas.</t>
  </si>
  <si>
    <t>¿Es posible crear una cuenta de usuario sin contraseña?</t>
  </si>
  <si>
    <t>Si, pero no puede acceder con ese usuario hasta que le ponga una contraseña.</t>
  </si>
  <si>
    <t>Unicamente si se trata del usuario invitado</t>
  </si>
  <si>
    <t>Si un usuario deja la empresa durante un período de tiempo, ¿Cuál es la mejor opción que se puede realizar sobre su cuenta?</t>
  </si>
  <si>
    <t>Borrar la cuenta, y volverla a crear cuando la necesite.</t>
  </si>
  <si>
    <t>Deshabilitar la cuenta.</t>
  </si>
  <si>
    <t>Indicar en las propiedades que la contraseña se deshabilite.</t>
  </si>
  <si>
    <t>No es recomendable hacer nada en especial.</t>
  </si>
  <si>
    <t>Es posible crear usuarios mediante:</t>
  </si>
  <si>
    <t>Entorno gráfico.</t>
  </si>
  <si>
    <t>Simbolo del sistema</t>
  </si>
  <si>
    <t>Entorno gráfico y simbolo del sistema</t>
  </si>
  <si>
    <t>Ninguna de las respuestas es correcta</t>
  </si>
  <si>
    <t>Indica el número de discos mínimo necesario para poder montar un RAID5</t>
  </si>
  <si>
    <t>Es Indiferente</t>
  </si>
  <si>
    <t>¿Los servicios del sistema son independientes de los usuarios?</t>
  </si>
  <si>
    <t>Depende de la configuración.</t>
  </si>
  <si>
    <t>Únicamente en las estaciones de trabajo.</t>
  </si>
  <si>
    <t>¿Cuál de los siguientes servicios no es del sistema?</t>
  </si>
  <si>
    <t>Web</t>
  </si>
  <si>
    <t>Ftp</t>
  </si>
  <si>
    <t>Monitor del sistema</t>
  </si>
  <si>
    <t>Todos son del sistema</t>
  </si>
  <si>
    <t>Seleccione la respuesta correcta.</t>
  </si>
  <si>
    <t>Sólo puede iniciar y detener los servicios, no se pueden pausar.</t>
  </si>
  <si>
    <t>Los servicios no se pueden detener al instante, necesita reiniciar el servidor.</t>
  </si>
  <si>
    <t>Un servicio se puede reanudar.</t>
  </si>
  <si>
    <t>Para detener un servicio es preciso modificar el registro del sistema.</t>
  </si>
  <si>
    <t>Las copias de seguridad se pueden realizar desde:</t>
  </si>
  <si>
    <t>El intérprete de comandos.</t>
  </si>
  <si>
    <t>Herramienta gráfica (Copias de Seguridad de Windows).</t>
  </si>
  <si>
    <t>Ambas con correctas.</t>
  </si>
  <si>
    <t>Ninguna es correcta.</t>
  </si>
  <si>
    <t>¿Se puede realizar una copia de seguridad sin pertenecer al grupo Administradores?</t>
  </si>
  <si>
    <t>Sí, perteneciendo al grupo Operadores de copia.</t>
  </si>
  <si>
    <t>Sí, pero sólo podré hacer una copia de seguridad de los datos a los que tengo acceso.</t>
  </si>
  <si>
    <t>Si, cualquier usuario está autorizado a realizar una copia de seguridad.</t>
  </si>
  <si>
    <t>¿Dónde se deben alojar las copias de seguridad?</t>
  </si>
  <si>
    <t>En la nube (Cloud)</t>
  </si>
  <si>
    <t>En otra particion</t>
  </si>
  <si>
    <t>En otro disco duro</t>
  </si>
  <si>
    <t>En otro dispositivo de almacenamiento y en una ubicación física diferente</t>
  </si>
  <si>
    <t>Los datos de rendimiento se utilizan para:</t>
  </si>
  <si>
    <t>Comprender la carga de trabajo.</t>
  </si>
  <si>
    <t>Diagnosticar problemas.</t>
  </si>
  <si>
    <t>Observar los cambios y las tendencias en las cargas de trabajo.</t>
  </si>
  <si>
    <t>Todas son verdaderas.</t>
  </si>
  <si>
    <t>Seleccione la respuesta incorrecta:</t>
  </si>
  <si>
    <t>El monitor de rendimiento permite ver en tiempo real el uso de recursos del sistema.</t>
  </si>
  <si>
    <t>El monitor de rendimiento permite ver en tiempo real la estimación del uso futuro del sistema.</t>
  </si>
  <si>
    <t>El monitor de confiabilidad permite observar la estabilidad del sistema.</t>
  </si>
  <si>
    <t>El monitor permite ver las estadísticas de funcionamiento del sistema.</t>
  </si>
  <si>
    <t>¿Sobre qué tipo de problemas recopila información el visor de eventos del sistema?</t>
  </si>
  <si>
    <t>Hardware únicamente.</t>
  </si>
  <si>
    <t>Software únicamente.</t>
  </si>
  <si>
    <t>Software y hardware.</t>
  </si>
  <si>
    <t>Logins de acceso de usuarios.</t>
  </si>
  <si>
    <t>El registro que contiene los sucesos generados por los componentes de Windows se denomina:</t>
  </si>
  <si>
    <t>Registro de sistema.</t>
  </si>
  <si>
    <t>Registro de aplicación.</t>
  </si>
  <si>
    <t>Registro de seguridad.</t>
  </si>
  <si>
    <t>Registro de instalación.</t>
  </si>
  <si>
    <t>Para que un equipo tenga conectividad completa en la red ¿qué parámetros de configuración necesita?</t>
  </si>
  <si>
    <t>IP y DNS</t>
  </si>
  <si>
    <t>IP y nombre del equipo</t>
  </si>
  <si>
    <t>Sólo IP</t>
  </si>
  <si>
    <t>Todas son falsas</t>
  </si>
  <si>
    <t>No, porque los otros equipos no sabrían donde conectarse.</t>
  </si>
  <si>
    <t>¿Se puede cambiar el nombre de los adaptadores de red en un equipo?</t>
  </si>
  <si>
    <t>Si, porque se cambia en el router.</t>
  </si>
  <si>
    <t>Si, y además facilita las tareas de administración.</t>
  </si>
  <si>
    <t>No, porque no tienen nombre, sólo dirección IP.</t>
  </si>
  <si>
    <t>Optimizar el uso de direcciones IP.</t>
  </si>
  <si>
    <t>Configurar de forma automática las direcciones IP de los equipos de la red.</t>
  </si>
  <si>
    <t>Mejorar la seguridad del sistema.</t>
  </si>
  <si>
    <t>Evitar duplicidad en las direcciones IP de los equipos gestionados.</t>
  </si>
  <si>
    <t>¿Es recomendable utilizar DHCP en una impresora de red?</t>
  </si>
  <si>
    <t>No, porque la IP de la impresora debe ser fija.</t>
  </si>
  <si>
    <t>Si, porque DHCP realiza reservas de IP.</t>
  </si>
  <si>
    <t>Si, pero las impresoras tienen que estar en otra red.</t>
  </si>
  <si>
    <t>No, porque las impresoras no aceptan DHCP.</t>
  </si>
  <si>
    <t>¿Qué significa DHCP?</t>
  </si>
  <si>
    <t>Dynamic Host Configuration Protocol</t>
  </si>
  <si>
    <t>Direction Host Configuration Protocol</t>
  </si>
  <si>
    <t>Dynamic Host Configuration Process</t>
  </si>
  <si>
    <t>Direction Host Configuration Process</t>
  </si>
  <si>
    <t>Terminal Server se puede utilizar como …</t>
  </si>
  <si>
    <t>Servidor de Escritorio remoto.</t>
  </si>
  <si>
    <t>Servidor de aplicaciones basadas en Windows.</t>
  </si>
  <si>
    <t>Permitir a los usuarios tener acceso a programas y RDP desde un sitio Web.</t>
  </si>
  <si>
    <t>¿Qué ocurre si sólo instala el 'Escritorio Remoto' en el servidor?</t>
  </si>
  <si>
    <t>Sólo puede conectarse el Administrador al sistema.</t>
  </si>
  <si>
    <t>Todos los usuarios pueden acceder al sistema remotamente.</t>
  </si>
  <si>
    <t>Los usuarios pueden utilizar aplicaciones que están en el servidor.</t>
  </si>
  <si>
    <t>Comprometemos la seguridad del equipo.</t>
  </si>
  <si>
    <t>Hay que instalar ... para que todos los usuarios puedan acceder al sistema de forma remota.</t>
  </si>
  <si>
    <t>Terminal Server</t>
  </si>
  <si>
    <t>Terminal Server y el Administrador de licencias de Terminal Server.</t>
  </si>
  <si>
    <t>Escritorio remoto y Administrador de licencias de Terminal Server.</t>
  </si>
  <si>
    <t>Terminal Server y Escritorio Remoto.</t>
  </si>
  <si>
    <t>Sólo permite filtrar conexiones entrantes.</t>
  </si>
  <si>
    <t>Sólo permite filtrar conexiones salientes.</t>
  </si>
  <si>
    <t>Permite filtrar conexiones entrantes y salientes.</t>
  </si>
  <si>
    <t>El servicio WSUS se utiliza para:</t>
  </si>
  <si>
    <t>La interconexión con sistemas GNU/Linux.</t>
  </si>
  <si>
    <t>Actualizar los equipos de la red.</t>
  </si>
  <si>
    <t>La transferencia de ficheros.</t>
  </si>
  <si>
    <t>El acceso remoto al sistema.</t>
  </si>
  <si>
    <t>Si desea acceder al servidor 10.0.0.1 hay que escribir en el navegador \\10.0.0.1.</t>
  </si>
  <si>
    <t>Es posible montar automáticamente un recurso compartido en una unidad de red.</t>
  </si>
  <si>
    <t>Permite compartir recursos con sistemas GNU/Linux.</t>
  </si>
  <si>
    <t>Por razones de seguridad, el administrador no puede acceder a los recursos compartidos.</t>
  </si>
  <si>
    <t>Una carpeta oculta desde el entorno de red.</t>
  </si>
  <si>
    <t>Una carpeta visible para todos los usuarios.</t>
  </si>
  <si>
    <t>Una carpeta donde se guardan los archivos de configuración.</t>
  </si>
  <si>
    <t>Un disco duro compartido</t>
  </si>
  <si>
    <t>Indique qué afirmación es incorrecta:</t>
  </si>
  <si>
    <t>Una instantánea permite ver el contenido de las carpetas compartidas en momentos anteriores.</t>
  </si>
  <si>
    <t>Una instantánea permite ver el estado del equipo en un momento determinado.</t>
  </si>
  <si>
    <t>Una instantánea permite acceder a un sistema de ficheros distribuidos.</t>
  </si>
  <si>
    <t>Una instantánea permite ver el registro de accesos a una carpeta compartida.</t>
  </si>
  <si>
    <t>La información de un DFS se puede distribuir en uno o más controladores de dominio.</t>
  </si>
  <si>
    <t>Un espacio de nombres es una carpeta compartida dentro del DFS.</t>
  </si>
  <si>
    <t>Un DFS está compuesto por espacios de nombres y cada espacio de nombres está compuesto por recursos compartidos.</t>
  </si>
  <si>
    <t>Una vez creado un espacio de nombres es posible añadir más servidores que permitan replicar su contenido.</t>
  </si>
  <si>
    <t>Un equipo con S.O. Linux nunca puede acceder a recursos compartidos en equipos con S.O. Windows.</t>
  </si>
  <si>
    <t>Para acceder a una impresora compartida en un servidor con Windows 2008 Server, es imprescindible que éste tenga instalado el rol de Servicios de impresión y documentos.</t>
  </si>
  <si>
    <t>Un sistema de archivos distribuidos o DFS {Distributed File System) permite crear y almacenar un sistema de ficheros entre varios servidores del dominio.</t>
  </si>
  <si>
    <t>Para acceder a un recurso compartido debemos escribir //IP_Equipo</t>
  </si>
  <si>
    <t>Los servicios de impresión y de archivos permiten compartir impresoras y archivos entre otros sistemas Windows y, a través de SAMBA, con sistemas GNU/Linux.</t>
  </si>
  <si>
    <t>Un servidor de impresión permite crear y almacenar un sistema de ficheros entre varios servidores del dominio.</t>
  </si>
  <si>
    <t>Para acceder a un recurso compartido debemos escribir \\Nombre_del_Servidor.</t>
  </si>
  <si>
    <t>Es posible montar una Carpeta Compartida como Unidad de Red.</t>
  </si>
  <si>
    <t>Para administrar en Windows Server 2008 R2, recursos compartidos de forma centralizada disponemos de la herramienta administrativa:</t>
  </si>
  <si>
    <t>Administración de almacenamiento y recursos compartidos.</t>
  </si>
  <si>
    <t>Administración de ficheros y recursos compartidos.</t>
  </si>
  <si>
    <t>Administración de equipos y recursos compartidos.</t>
  </si>
  <si>
    <t>No hay herramienta administrativa.</t>
  </si>
  <si>
    <t>La utilización de instantáneas permite, tanto recuperar archivos eliminados o sobrescritos por accidente, como comparar versiones de un archivo mientras se trabaja:</t>
  </si>
  <si>
    <t>Habilitar instantáneas está disponible en todos los Sistemas Operativos Windows monousuario de versiones más modernas que Windows Xp.</t>
  </si>
  <si>
    <t>Habilitar instantáneas está disponible en Windows Server 2008 R2.</t>
  </si>
  <si>
    <t>Habilitar instantáneas solo está disponible en los Sistemas Operativos Linux.</t>
  </si>
  <si>
    <t>No existe la posibilidad de habilitar instantáneas en ningún Sistema Operativo de Servidor.</t>
  </si>
  <si>
    <t>Los tipos de topología disponibles, en la replicación de la raíz DFS son:</t>
  </si>
  <si>
    <t>Anillo, Satélite, Malla completa.</t>
  </si>
  <si>
    <t>Anillo, Malla completa, SFG.</t>
  </si>
  <si>
    <t>Anillo, Satélite, SFG.</t>
  </si>
  <si>
    <t>Anillo, Malla completa, Concentrador y Periferia.</t>
  </si>
  <si>
    <t>Un usuario del dominio necesita los siguientes datos para acceder al sistema:</t>
  </si>
  <si>
    <t>Usuario y contraseña.</t>
  </si>
  <si>
    <t>Usuario, contraseña y dominio.</t>
  </si>
  <si>
    <t>Dominio</t>
  </si>
  <si>
    <t>Los usuarios de un dominio ...</t>
  </si>
  <si>
    <t>Deben tener la misma longitud mínima de contraseña.</t>
  </si>
  <si>
    <t>Tienen la misma longitud mínima de contraseña.</t>
  </si>
  <si>
    <t>Tienen políticas de seguridad diferentes.</t>
  </si>
  <si>
    <t>Los dominios no tienen usuarios, son las Unidades Organizativas.</t>
  </si>
  <si>
    <t>¿Para utilizar un directorio activo es necesario tener el servicio DNS instalado?</t>
  </si>
  <si>
    <t>Sí, porque el controlador de dominio tiene que realizar la resolución de nombres.</t>
  </si>
  <si>
    <t>Sí, porque tiene que traducir las direcciones IP de los equipos.</t>
  </si>
  <si>
    <t>No, porque DNS es para traducir nombre de páginas web.</t>
  </si>
  <si>
    <t>No hay vinculación entre AD y DNS.</t>
  </si>
  <si>
    <t>¿Para qué se utiliza el nombre de dominio?</t>
  </si>
  <si>
    <t>Para identificarlo en la red.</t>
  </si>
  <si>
    <t>Para saber el nombre de la empresa en internet.</t>
  </si>
  <si>
    <t>Para que tenga sentido el DNS.</t>
  </si>
  <si>
    <t>Para identificarlo en la red, siempre que sea distinto del dominio de internet.</t>
  </si>
  <si>
    <t>Una empresa tiene infraestructura de directorio activo. ¿Es posible acceder con un usuario y contraseña en todos los equipos del dominio?</t>
  </si>
  <si>
    <t>No, porque mi contraseña esta guardada en mi equipo.</t>
  </si>
  <si>
    <t>Si, porque la autenticación se realiza en el servidor.</t>
  </si>
  <si>
    <t>Si, porque el servidor se encarga de guardar la contraseña en todos los equipos de forma predeterminada.</t>
  </si>
  <si>
    <t>No, porque los datos están en mi ordenador.</t>
  </si>
  <si>
    <t>Para dar de alta un equipo en el directorio activo. ¿Qué servidor DNS debe utilizar?</t>
  </si>
  <si>
    <t>La puerta de enlace del router.</t>
  </si>
  <si>
    <t>Da igual la IP que tenga, porque sólo vale para traducir nombres de páginas web.</t>
  </si>
  <si>
    <t>La dirección IP del directorio activo.</t>
  </si>
  <si>
    <t>Todas las respuestas son falsas.</t>
  </si>
  <si>
    <t>¿Es recomendable que los equipos cliente de un Directorio Activo sólo tengan la cuenta de Administrador?</t>
  </si>
  <si>
    <t>Todas son falsas.</t>
  </si>
  <si>
    <t>No, porque el usuario no puede acceder.</t>
  </si>
  <si>
    <t>No, porque los equipos de un directorio activo no pueden tener cuentas.</t>
  </si>
  <si>
    <t>Si, porque de esa forma sólo puede acceder al sistema el administrador.</t>
  </si>
  <si>
    <t>Seleccione los elementos que puede administrar un directorio activo</t>
  </si>
  <si>
    <t>Usuarios y grupos.</t>
  </si>
  <si>
    <t>Usuarios, grupos y equipos</t>
  </si>
  <si>
    <t>Usuarios, grupos, unidades organizativas y equipos</t>
  </si>
  <si>
    <t>Usuarios y dominios</t>
  </si>
  <si>
    <t>Las directivas de seguridad no pueden vincularse a ...</t>
  </si>
  <si>
    <t>Unidades Organizativas</t>
  </si>
  <si>
    <t>Dominios.</t>
  </si>
  <si>
    <t>Usuarios</t>
  </si>
  <si>
    <t>Un bosque es un conjunto de dominios.</t>
  </si>
  <si>
    <t>Un controlador de dominio es el servidor donde se instala el Directorio Activo.</t>
  </si>
  <si>
    <t>Una unidad organizativa puede contener usuarios, equipos o grupos.</t>
  </si>
  <si>
    <t>Para iniciar sesión en un servidor autónomo es indispensable disponer de una cuenta de dominio.</t>
  </si>
  <si>
    <t>El comando ... muestra de forma gráfica la estructura de un directorio.</t>
  </si>
  <si>
    <t>ls -al</t>
  </si>
  <si>
    <t>ls</t>
  </si>
  <si>
    <t>pwd</t>
  </si>
  <si>
    <t>tree</t>
  </si>
  <si>
    <t>En Ubuntu, ¿qué comando necesita ejecutar para instalar el programa nano?</t>
  </si>
  <si>
    <t>apt-get install nano</t>
  </si>
  <si>
    <t>aptitude install nano</t>
  </si>
  <si>
    <t>Indica el comando que permite reiniciar el equipo.</t>
  </si>
  <si>
    <t>reboot</t>
  </si>
  <si>
    <t>restart</t>
  </si>
  <si>
    <t>reinit</t>
  </si>
  <si>
    <t>El comando ... limpia la pantalla.</t>
  </si>
  <si>
    <t>wash</t>
  </si>
  <si>
    <t>purge</t>
  </si>
  <si>
    <t>clean</t>
  </si>
  <si>
    <t>clear</t>
  </si>
  <si>
    <t>¿Qué comando permite ver los procesos activos del sistema?:</t>
  </si>
  <si>
    <t>top</t>
  </si>
  <si>
    <t>ps</t>
  </si>
  <si>
    <t>man</t>
  </si>
  <si>
    <t>df</t>
  </si>
  <si>
    <t>Seleccione la respuesta correcta sobre el término Free (referente a la licencia GPL)</t>
  </si>
  <si>
    <t>Free significa gratis</t>
  </si>
  <si>
    <t>Free significa libre</t>
  </si>
  <si>
    <t>Free significa sin restricciones</t>
  </si>
  <si>
    <t>De pago</t>
  </si>
  <si>
    <t>Linux no se puede instalar en un sistema de ficheros...</t>
  </si>
  <si>
    <t>Todas son verdaderas</t>
  </si>
  <si>
    <t>¿Se puede instalar Linux sin el usuario root?:</t>
  </si>
  <si>
    <t>Sí, pero el usuario que creemos tendrá todos los permisos.</t>
  </si>
  <si>
    <t>Sí, pero tendremos que crearla cuando iniciemos por primera vez.</t>
  </si>
  <si>
    <t>En Fedora ¿qué comando se utiliza para actualizar el sistema?</t>
  </si>
  <si>
    <t>yum update-system</t>
  </si>
  <si>
    <t>apt-get update-system</t>
  </si>
  <si>
    <t>yum update</t>
  </si>
  <si>
    <t>apt-get update</t>
  </si>
  <si>
    <t>Indica el directorio donde se encuentran los ficheros de configuración del sistema.</t>
  </si>
  <si>
    <t>/root</t>
  </si>
  <si>
    <t>/lib</t>
  </si>
  <si>
    <t>/etc</t>
  </si>
  <si>
    <t>/dev</t>
  </si>
  <si>
    <t>Qué ocurre si un usuario tiene el identificador de grupo(GID) y usuario(UID) a cero? Ejemplo: 0:0</t>
  </si>
  <si>
    <t>Es imposible que esté a cero el UID</t>
  </si>
  <si>
    <t>Que es el usuario root</t>
  </si>
  <si>
    <t>Que es el primer usuario del grupo llamado '0'</t>
  </si>
  <si>
    <t>Es imposible que esté a cero el GID</t>
  </si>
  <si>
    <t>Root</t>
  </si>
  <si>
    <t>Usuarios normales</t>
  </si>
  <si>
    <t>Usuarios asociados a servicios</t>
  </si>
  <si>
    <t>¿Qué comando se utiliza para crear el usuario paco?</t>
  </si>
  <si>
    <t>paco adduser</t>
  </si>
  <si>
    <t>adduser paco</t>
  </si>
  <si>
    <t>user_add paco</t>
  </si>
  <si>
    <t>newuser paco</t>
  </si>
  <si>
    <t>¿Qué comando se utiliza para cambiar la contraseña del usuario paco?</t>
  </si>
  <si>
    <t>passwd paco</t>
  </si>
  <si>
    <t>paco passwd</t>
  </si>
  <si>
    <t>changepass paco</t>
  </si>
  <si>
    <t>newpass paco</t>
  </si>
  <si>
    <t>¿Qué comando se utiliza para cambiar de un usuario?</t>
  </si>
  <si>
    <t>sudow</t>
  </si>
  <si>
    <t>sudo</t>
  </si>
  <si>
    <t>changeuser</t>
  </si>
  <si>
    <t>su</t>
  </si>
  <si>
    <t>¿Qué significan las siglas de la unidad /dev/sdb2?</t>
  </si>
  <si>
    <t>2ª particion del 2º disco duro SATA</t>
  </si>
  <si>
    <t>2ª particion del disco duro SATA con nombre b</t>
  </si>
  <si>
    <t>2ª particion del 2º disco duro IDA</t>
  </si>
  <si>
    <t>Ninguna es correcta</t>
  </si>
  <si>
    <t>Indica el comando que permite administrar las particiones del sistema de ficheros.</t>
  </si>
  <si>
    <t>fsck</t>
  </si>
  <si>
    <t>mkfs</t>
  </si>
  <si>
    <t>fdisk</t>
  </si>
  <si>
    <t>partition-logic</t>
  </si>
  <si>
    <t>Para formatear una partición se utiliza el comando…:</t>
  </si>
  <si>
    <t>format</t>
  </si>
  <si>
    <t>Para montar una unidad manualmente se utiliza el comando…: </t>
  </si>
  <si>
    <t>mount /'particion' /'directorio de montaje'</t>
  </si>
  <si>
    <t>mount /'directorio de montaje' /'particion'</t>
  </si>
  <si>
    <t>mnt /'directorio de montaje' /'particion'</t>
  </si>
  <si>
    <t>mnt /'particion' /'directorio de montaje'</t>
  </si>
  <si>
    <t>El comando ... se utiliza para crear sistemas RAID.</t>
  </si>
  <si>
    <t>cradm</t>
  </si>
  <si>
    <t>mdadm</t>
  </si>
  <si>
    <t>crsystem</t>
  </si>
  <si>
    <t>create-raid</t>
  </si>
  <si>
    <t>¿Qué gestor de arranque es el más utilizado en la actualidad en los sistemas GNU/Linux?</t>
  </si>
  <si>
    <t>LILO</t>
  </si>
  <si>
    <t>GRUB</t>
  </si>
  <si>
    <t>INIT</t>
  </si>
  <si>
    <t>MBR</t>
  </si>
  <si>
    <t>Si disponemos de un equipo con Windows e instalo Linux, en el sistema de arranque no aparece Windows.</t>
  </si>
  <si>
    <t>Si tengo un equipo con Linux e instalo Windows, en el sistema de arranque no aparece Linux.</t>
  </si>
  <si>
    <t>No puedo tener un equipo simultáneamente con Windows y Linux instalado.</t>
  </si>
  <si>
    <t>Windows y Linux utilizan el mismo sistema de arranque.</t>
  </si>
  <si>
    <t>GRUB no es configurable ya que su única función es la de seleccionar el sistema operativo.</t>
  </si>
  <si>
    <t>GRUB no es configurable porque se instala en la BIOS.</t>
  </si>
  <si>
    <t>GRUB es configurable para cambiar el título, los segundos de espera…</t>
  </si>
  <si>
    <t>GRUB es configurable para cambiar los discos duros que se inician con cada sistema operativo.</t>
  </si>
  <si>
    <t>¿Qué comando permite obtener información sobre los procesos que se ejecutan en el sistema?</t>
  </si>
  <si>
    <t>free</t>
  </si>
  <si>
    <t>iftop</t>
  </si>
  <si>
    <t>¿Qué comando se utiliza para conocer el "camino" que sigue un paquete en la red?</t>
  </si>
  <si>
    <t>showroute</t>
  </si>
  <si>
    <t>viroute</t>
  </si>
  <si>
    <t>traceroute</t>
  </si>
  <si>
    <t>describeroute</t>
  </si>
  <si>
    <t>¿En qué directorio se almacena la información referente al kernel y los procesos del sistema?</t>
  </si>
  <si>
    <t>/proc</t>
  </si>
  <si>
    <t>/system</t>
  </si>
  <si>
    <t>/var</t>
  </si>
  <si>
    <t>¿Qué permite el comando 'tar'?</t>
  </si>
  <si>
    <t>Comprimir/descomprimir ficheros.</t>
  </si>
  <si>
    <t>Empaquetar/desempaquetar ficheros.</t>
  </si>
  <si>
    <t>¿Qué diferencia hay entre un archivo con extensión '.tar' y otro '.tar.gz'?</t>
  </si>
  <si>
    <t>La extensión 'tar.gz' no existe.</t>
  </si>
  <si>
    <t>Son iguales.</t>
  </si>
  <si>
    <t>Uno está comprimido y el otro no.</t>
  </si>
  <si>
    <t>¿Cuál de las siguientes herramientas permite clonar discos?</t>
  </si>
  <si>
    <t>Clone-Dup</t>
  </si>
  <si>
    <t>Klonedisk</t>
  </si>
  <si>
    <t>Clonezilla</t>
  </si>
  <si>
    <t>Filezilla</t>
  </si>
  <si>
    <t>El registro de todos los mensajes del sistema es realizado por el servicio… </t>
  </si>
  <si>
    <t>sysregister</t>
  </si>
  <si>
    <t>registerlog</t>
  </si>
  <si>
    <t>logsys</t>
  </si>
  <si>
    <t>syslog</t>
  </si>
  <si>
    <t>TEMA 13</t>
  </si>
  <si>
    <t>TEMA 14</t>
  </si>
  <si>
    <t>TEMA 15</t>
  </si>
  <si>
    <t xml:space="preserve">¿Qué Shell utiliza por defecto Linux?
</t>
  </si>
  <si>
    <t xml:space="preserve">Bourne
</t>
  </si>
  <si>
    <t>Bash</t>
  </si>
  <si>
    <t>C-Shell</t>
  </si>
  <si>
    <t>MyShell</t>
  </si>
  <si>
    <t>¿Cuál de las siguientes opciones no se puede utilizar como variable en la programación Shell?</t>
  </si>
  <si>
    <t>número</t>
  </si>
  <si>
    <t>nombre</t>
  </si>
  <si>
    <t>valor</t>
  </si>
  <si>
    <t>echo</t>
  </si>
  <si>
    <t xml:space="preserve">Para realizar una redirección de la salida estándar (pantalla) del resultado de una instrucción en un programa a un fichero, utilizamos el carácter...
</t>
  </si>
  <si>
    <t>=</t>
  </si>
  <si>
    <t>-&gt;</t>
  </si>
  <si>
    <t>&lt;</t>
  </si>
  <si>
    <t>&gt;</t>
  </si>
  <si>
    <t xml:space="preserve">Cuando se realizan varias condiciones sobre un mismo valor (p.e. en un menú) la mejor opción es utilizar la estructura de control...
</t>
  </si>
  <si>
    <t>If</t>
  </si>
  <si>
    <t>For</t>
  </si>
  <si>
    <t>Case</t>
  </si>
  <si>
    <t>While</t>
  </si>
  <si>
    <t xml:space="preserve">Si desea escribir un comentario debe utilizar el carácter:
</t>
  </si>
  <si>
    <t>&amp;</t>
  </si>
  <si>
    <t>%</t>
  </si>
  <si>
    <t>#</t>
  </si>
  <si>
    <t>*</t>
  </si>
  <si>
    <t>¿Qué realiza el comando echo ls?</t>
  </si>
  <si>
    <t>Muestra en pantalla los archivos del directorio</t>
  </si>
  <si>
    <t>Muestra en pantalla el resultado de la ejecución del comando ls</t>
  </si>
  <si>
    <t>Muestra las letras ls</t>
  </si>
  <si>
    <t xml:space="preserve">Indique la acción que realiza el comando less /etc/passwd | head -n 2:
</t>
  </si>
  <si>
    <t>Muestra las primeras dos letras del fichero /etc/passwd</t>
  </si>
  <si>
    <t>Muestra las primeras dos palabras del fichero /etc/passwd</t>
  </si>
  <si>
    <t>Muestra las primeras dos líneas del fichero /etc/passwd</t>
  </si>
  <si>
    <t>Ninguna respuesta es correcta</t>
  </si>
  <si>
    <t xml:space="preserve">Indique el bucle que hay que utilizar cuando desea repetir un código un número determinado de veces: 
</t>
  </si>
  <si>
    <t>for</t>
  </si>
  <si>
    <t>while</t>
  </si>
  <si>
    <t>dowhile</t>
  </si>
  <si>
    <t>case</t>
  </si>
  <si>
    <t>less</t>
  </si>
  <si>
    <t>cat</t>
  </si>
  <si>
    <t>more</t>
  </si>
  <si>
    <t>grep</t>
  </si>
  <si>
    <t xml:space="preserve">Indique la instrucción correcta para determinar si “nombre” es un directorio:
</t>
  </si>
  <si>
    <t>test –d nombre</t>
  </si>
  <si>
    <t>test –x nombre</t>
  </si>
  <si>
    <t>test –f nombre</t>
  </si>
  <si>
    <t>test –r nombre</t>
  </si>
  <si>
    <t xml:space="preserve">¿Qué comando permite activar la tarjeta de red eth0?
</t>
  </si>
  <si>
    <t>iwconfig eth0 up</t>
  </si>
  <si>
    <t>ifconfig eth0 up</t>
  </si>
  <si>
    <t>ifconfig eth0 start</t>
  </si>
  <si>
    <t>iwconfig eth0 start</t>
  </si>
  <si>
    <t xml:space="preserve">¿Es posible en Linux que una tarjeta de red tenga varias direcciones IP?
</t>
  </si>
  <si>
    <t>Si, pero hay que instalar la herramienta bridge</t>
  </si>
  <si>
    <t>Sí, pero depende de la tarjeta de red.</t>
  </si>
  <si>
    <t>El comando 'ifconfig eth0 stop' desactiva el interfaz de red.</t>
  </si>
  <si>
    <t>Sólo se puede crear una tarjeta de red virtual por interfaz.</t>
  </si>
  <si>
    <t>El comando 'ifconfig' es igual a 'iwconfig'</t>
  </si>
  <si>
    <t xml:space="preserve">¿Qué significa DHCP?
</t>
  </si>
  <si>
    <t xml:space="preserve">En Ubuntu, ¿qué fichero guarda la configuración del servicio DHCP?
</t>
  </si>
  <si>
    <t>/etc/dhcp/dhpd.conf</t>
  </si>
  <si>
    <t>/etc/dhcpd.conf</t>
  </si>
  <si>
    <t>/etc/dhcp3/dhcpd.conf</t>
  </si>
  <si>
    <t>/var/dhcpd.conf</t>
  </si>
  <si>
    <t xml:space="preserve">En Fedora, ¿qué fichero guarda la configuración del servicio DHCP?
</t>
  </si>
  <si>
    <t xml:space="preserve">¿Qué servicio permite la conexión remota a un servidor?
</t>
  </si>
  <si>
    <t>Telnet</t>
  </si>
  <si>
    <t>OpenSSH</t>
  </si>
  <si>
    <t>VNC</t>
  </si>
  <si>
    <t xml:space="preserve">¿Es posible transmisión de ficheros por FTP mediante el protocolo SSH?
</t>
  </si>
  <si>
    <t>Si, y además es FTP seguro (SFTP)</t>
  </si>
  <si>
    <t>No, porque son servicios diferentes.</t>
  </si>
  <si>
    <t>Si, ofrece FTP estándar.</t>
  </si>
  <si>
    <t>No, SSH y FTP no con compatibles porque SSH se cifra con 128 bits.</t>
  </si>
  <si>
    <t xml:space="preserve">¿Es posible cambiar el puerto del protocolo SSH?
</t>
  </si>
  <si>
    <t>No, siempre hay que utilizar el 22.</t>
  </si>
  <si>
    <t>No, siempre ya que el predeterminado es el 5038.</t>
  </si>
  <si>
    <t>El protocolo SSH no utiliza ningún puerto.</t>
  </si>
  <si>
    <t>Si, siempre que el puerto indicado no esté siendo utilizado por otro servicio.</t>
  </si>
  <si>
    <t xml:space="preserve">Las reglas de filtrado de iptables se organizan en:
</t>
  </si>
  <si>
    <t>INPUT y OUTPUT</t>
  </si>
  <si>
    <t>INPUT, OUTPUT y FORWARD</t>
  </si>
  <si>
    <t>Todas las reglas están en GENERAL.</t>
  </si>
  <si>
    <t>Todas las opciones son falsas.</t>
  </si>
  <si>
    <t xml:space="preserve">¿Qué servicio de Linux permite compartir carpetas y directorios con equipos Windows?
</t>
  </si>
  <si>
    <t>NFS</t>
  </si>
  <si>
    <t>SAMBA</t>
  </si>
  <si>
    <t>SMTP</t>
  </si>
  <si>
    <t xml:space="preserve">Para compartir un directorio mediante NFS, ¿qué fichero necesitamos modificar?
</t>
  </si>
  <si>
    <t>/etc/samba/smb.conf</t>
  </si>
  <si>
    <t>/etc/resolv.conf</t>
  </si>
  <si>
    <t>/etc/exports</t>
  </si>
  <si>
    <t>/etc/nfsexports</t>
  </si>
  <si>
    <t xml:space="preserve">En Samba ¿qué comando permite añadir el usuario Alumno?
</t>
  </si>
  <si>
    <t>smbpasswd -a Alumno</t>
  </si>
  <si>
    <t>adduser Alumno</t>
  </si>
  <si>
    <t>smbpasswd Alumno</t>
  </si>
  <si>
    <t>smbadduser Alumno</t>
  </si>
  <si>
    <t xml:space="preserve">¿Cómo puedo ver los usuarios de Samba?
</t>
  </si>
  <si>
    <t>Hay que ver el fichero /etc/passwd</t>
  </si>
  <si>
    <t>Hay que ejecutar el comando pdbedit -w -L</t>
  </si>
  <si>
    <t xml:space="preserve">El servicio más adecuado para compartir archivos y carpetas entre equipos con sistema operativo GNU/Linux es:
</t>
  </si>
  <si>
    <t>LDAP</t>
  </si>
  <si>
    <t>NFLDS</t>
  </si>
  <si>
    <t>Se instalará Samba con GUI.</t>
  </si>
  <si>
    <t>Se instalará Samba en modo consola.</t>
  </si>
  <si>
    <t>Se inicia el servicio Samba.</t>
  </si>
  <si>
    <t>Se obtiene una respuesta de error de sintaxis.</t>
  </si>
  <si>
    <t xml:space="preserve">Para reiniciar el servicio Samba, debemos ejecutar desde el Terminal:
</t>
  </si>
  <si>
    <t># sudo apt-get install samba system-config-samba</t>
  </si>
  <si>
    <t># apt-get install samba</t>
  </si>
  <si>
    <t># restart samba</t>
  </si>
  <si>
    <t xml:space="preserve">Para acceder desde un cliente Linux a un recurso compartido con Samba, tenemos que utilizar:
</t>
  </si>
  <si>
    <t>\\IP_del servidor Samba\nombre del recurso</t>
  </si>
  <si>
    <t>//IP_del servidor Samba/nombre del recurso</t>
  </si>
  <si>
    <t>smdb://IP_del servidor Samba/nombre del recurso</t>
  </si>
  <si>
    <t>smb://IP_del servidor Samba/nombre del recurso</t>
  </si>
  <si>
    <t>SWAT es una herramienta de administración web de Samba.</t>
  </si>
  <si>
    <t>Webmin es la única herramienta disponible para administrar gráficamente un servidor Samba.</t>
  </si>
  <si>
    <t>Samba no se puede administras gráficamente.</t>
  </si>
  <si>
    <t>Ninguna de las respuestas es correcta.</t>
  </si>
  <si>
    <t xml:space="preserve">Para instalar NFS en un equipo cliente, debemos ejecutar desde el Terminal:
</t>
  </si>
  <si>
    <t># apt-get install nfs-client</t>
  </si>
  <si>
    <t># install nfs-common.</t>
  </si>
  <si>
    <t># apt-get install nfs-common</t>
  </si>
  <si>
    <t>No es posible instalar NFS en un equipo cliente.</t>
  </si>
  <si>
    <t>a revisar</t>
  </si>
  <si>
    <t xml:space="preserve">¿Qué es OpenLDAP?
</t>
  </si>
  <si>
    <t>Es lo mismo que LDAP.</t>
  </si>
  <si>
    <t>Es una implementación de código abierto de LDAP.</t>
  </si>
  <si>
    <t>Una interfaz gráfica para gestionar LDAP.</t>
  </si>
  <si>
    <t>Todas las respuestas son correctas.</t>
  </si>
  <si>
    <t xml:space="preserve">¿Qué paquetes se necesitan para instalar OpenLDAP?
</t>
  </si>
  <si>
    <t>Sólo los paquetes del servidor.</t>
  </si>
  <si>
    <t>Los paquetes del servidor y las utilidades.</t>
  </si>
  <si>
    <t>OpenLDAP no necesita paquetes, son sólo archivos de configuración.</t>
  </si>
  <si>
    <t>Únicamente los paquetes del cliente.</t>
  </si>
  <si>
    <t xml:space="preserve">LDAP se caracteriza por almacenar la información del directorio...
</t>
  </si>
  <si>
    <t>En una base de datos distribuida.</t>
  </si>
  <si>
    <t>En una base de datos central.</t>
  </si>
  <si>
    <t>En una base de datos local.</t>
  </si>
  <si>
    <t>Con estructura de árbol.</t>
  </si>
  <si>
    <t xml:space="preserve">Indica la característica que no se asocia a OpenLDAP:
</t>
  </si>
  <si>
    <t>Soporta múltiples bases de datos.</t>
  </si>
  <si>
    <t>Se licencia bajo GPL.</t>
  </si>
  <si>
    <t>Permite comunicarse con servidores Radius.</t>
  </si>
  <si>
    <t>Solo se utiliza en equipos GNU/Linux.</t>
  </si>
  <si>
    <t>Al instalar OpenLDAP, automáticamente se guarda la configuración en una base de datos MySQL.</t>
  </si>
  <si>
    <t>Una vez instalado OpenLDAP, lo primero que debe hacer es determinar la raíz del árbol para el directorio LDAP.</t>
  </si>
  <si>
    <t>El comando ldapadd permite la carga de schemas.</t>
  </si>
  <si>
    <t>El comando ldap-assistant permite iniciar el asistente de configuración de OpenLDAP.</t>
  </si>
  <si>
    <t xml:space="preserve">OpenLDAP es un contenedor que permite almacenar:
</t>
  </si>
  <si>
    <t>Usuarios, grupos y equipos.</t>
  </si>
  <si>
    <t>Unidades organizativas y otros datos.</t>
  </si>
  <si>
    <t>Todas las opciones son correctas.</t>
  </si>
  <si>
    <t>ldapadd.</t>
  </si>
  <si>
    <t>lat</t>
  </si>
  <si>
    <t>PhpLdapAdmin.</t>
  </si>
  <si>
    <t>LDAP Administration Tool.</t>
  </si>
  <si>
    <t xml:space="preserve">El servidor principal de OpenLDAP es identificado con el nombre:
</t>
  </si>
  <si>
    <t>slrupd</t>
  </si>
  <si>
    <t>slurpd</t>
  </si>
  <si>
    <t>slapd</t>
  </si>
  <si>
    <t>sldapd</t>
  </si>
  <si>
    <t xml:space="preserve">Para administrar OpenLDAP en Ubuntu, hay que ejecutar el comando:
</t>
  </si>
  <si>
    <t>#sudo dpkg -reconfigure slapd</t>
  </si>
  <si>
    <t>#chkconfig ldap on</t>
  </si>
  <si>
    <t>#sudo dpkg -reconfigure sldap</t>
  </si>
  <si>
    <t>#chkconfig lapd on</t>
  </si>
  <si>
    <t xml:space="preserve">Para generar contraseñas de usuarios cifradas en OpenLDAP, utilizamos la utilidad:
</t>
  </si>
  <si>
    <t>ldappaswd</t>
  </si>
  <si>
    <t>slappaswd</t>
  </si>
  <si>
    <t>encripterldap</t>
  </si>
  <si>
    <t>ldacipher</t>
  </si>
  <si>
    <t>Las cuotas de usuario se pueden establecer en unidades NTFS</t>
  </si>
  <si>
    <r>
      <t xml:space="preserve">¿Qué ventaja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permite el servicio DHCP?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</si>
  <si>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 xml:space="preserve"> sobre el servicio Compartir Archivos e impresoras:</t>
    </r>
  </si>
  <si>
    <r>
      <t xml:space="preserve">Seleccione la opción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el firewall de Windows Server</t>
    </r>
  </si>
  <si>
    <r>
      <t>Un recurso compartido cuyo nombre termina en el símbolo</t>
    </r>
    <r>
      <rPr>
        <b/>
        <sz val="12"/>
        <color rgb="FFFF0000"/>
        <rFont val="Calibri"/>
        <family val="2"/>
        <scheme val="minor"/>
      </rPr>
      <t xml:space="preserve"> $ </t>
    </r>
    <r>
      <rPr>
        <sz val="12"/>
        <color rgb="FF000000"/>
        <rFont val="Calibri"/>
        <family val="2"/>
        <scheme val="minor"/>
      </rPr>
      <t>es: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</si>
  <si>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 xml:space="preserve"> sobre DFS: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</si>
  <si>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>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</si>
  <si>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rFont val="Calibri"/>
        <family val="2"/>
        <scheme val="minor"/>
      </rPr>
      <t xml:space="preserve"> 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</si>
  <si>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>:</t>
    </r>
  </si>
  <si>
    <r>
      <t>¿Cuál de los siguientes,</t>
    </r>
    <r>
      <rPr>
        <b/>
        <sz val="12"/>
        <color rgb="FFFF0000"/>
        <rFont val="Calibri"/>
        <family val="2"/>
        <scheme val="minor"/>
      </rPr>
      <t xml:space="preserve"> no es</t>
    </r>
    <r>
      <rPr>
        <sz val="12"/>
        <color rgb="FF000000"/>
        <rFont val="Calibri"/>
        <family val="2"/>
        <scheme val="minor"/>
      </rPr>
      <t xml:space="preserve"> un tipo de usuario?</t>
    </r>
  </si>
  <si>
    <r>
      <t xml:space="preserve">Seleccione la opción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el arranque/parada del sistema.</t>
    </r>
  </si>
  <si>
    <r>
      <t xml:space="preserve">Seleccione la respuesta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el gestor de arranque.</t>
    </r>
  </si>
  <si>
    <r>
      <t>Indique el comando que</t>
    </r>
    <r>
      <rPr>
        <b/>
        <sz val="12"/>
        <color rgb="FFFF0000"/>
        <rFont val="Calibri"/>
        <family val="2"/>
        <scheme val="minor"/>
      </rPr>
      <t xml:space="preserve"> no muestra</t>
    </r>
    <r>
      <rPr>
        <sz val="12"/>
        <color rgb="FF000000"/>
        <rFont val="Calibri"/>
        <family val="2"/>
        <scheme val="minor"/>
      </rPr>
      <t xml:space="preserve"> el contenido de un fichero:
</t>
    </r>
  </si>
  <si>
    <r>
      <t xml:space="preserve">Seleccione la opción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la configuración de red de Linux
</t>
    </r>
  </si>
  <si>
    <t>Hay que ejecutar el comando smbusers –w -L</t>
  </si>
  <si>
    <r>
      <t xml:space="preserve">Tras ejecutar el comando </t>
    </r>
    <r>
      <rPr>
        <b/>
        <sz val="12"/>
        <color rgb="FF0070C0"/>
        <rFont val="Calibri"/>
        <family val="2"/>
        <scheme val="minor"/>
      </rPr>
      <t># apt-get install samba</t>
    </r>
    <r>
      <rPr>
        <sz val="12"/>
        <color rgb="FF000000"/>
        <rFont val="Calibri"/>
        <family val="2"/>
        <scheme val="minor"/>
      </rPr>
      <t xml:space="preserve">:
</t>
    </r>
  </si>
  <si>
    <t># service smbd restart</t>
  </si>
  <si>
    <r>
      <t xml:space="preserve">Marcar la respuesta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:
</t>
    </r>
  </si>
  <si>
    <r>
      <t xml:space="preserve">Indica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 xml:space="preserve"> sobre LDAP.
</t>
    </r>
  </si>
  <si>
    <r>
      <t xml:space="preserve">Indica la herramienta que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permite administrar de forma gráfica OpenLDAP: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</si>
</sst>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2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5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Alignment="1" applyProtection="1">
      <alignment wrapText="1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49" fontId="13" fillId="0" borderId="10" xfId="0" applyNumberFormat="1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protection hidden="1"/>
    </xf>
    <xf numFmtId="0" fontId="0" fillId="0" borderId="17" xfId="0" applyFill="1" applyBorder="1" applyAlignment="1" applyProtection="1">
      <alignment horizontal="center" vertical="center"/>
      <protection locked="0"/>
    </xf>
    <xf numFmtId="0" fontId="4" fillId="0" borderId="18" xfId="0" applyFont="1" applyFill="1" applyBorder="1" applyAlignment="1" applyProtection="1">
      <alignment vertical="center"/>
      <protection hidden="1"/>
    </xf>
    <xf numFmtId="0" fontId="0" fillId="2" borderId="18" xfId="0" applyFill="1" applyBorder="1" applyAlignment="1" applyProtection="1">
      <alignment vertical="center"/>
      <protection hidden="1"/>
    </xf>
    <xf numFmtId="0" fontId="0" fillId="3" borderId="18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locked="0"/>
    </xf>
    <xf numFmtId="0" fontId="0" fillId="0" borderId="20" xfId="0" applyFill="1" applyBorder="1" applyAlignment="1" applyProtection="1">
      <alignment horizont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4" fillId="5" borderId="0" xfId="0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21" fillId="9" borderId="0" xfId="0" applyFont="1" applyFill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0" xfId="0" applyFont="1" applyFill="1" applyAlignment="1" applyProtection="1">
      <alignment horizontal="center" vertical="center" wrapText="1"/>
      <protection hidden="1"/>
    </xf>
    <xf numFmtId="0" fontId="20" fillId="10" borderId="14" xfId="0" applyFont="1" applyFill="1" applyBorder="1" applyAlignment="1" applyProtection="1">
      <alignment horizontal="center" vertical="center" wrapText="1"/>
      <protection hidden="1"/>
    </xf>
    <xf numFmtId="0" fontId="20" fillId="10" borderId="15" xfId="0" applyFont="1" applyFill="1" applyBorder="1" applyAlignment="1" applyProtection="1">
      <alignment horizontal="center" vertical="center" wrapText="1"/>
      <protection hidden="1"/>
    </xf>
    <xf numFmtId="0" fontId="20" fillId="10" borderId="16" xfId="0" applyFont="1" applyFill="1" applyBorder="1" applyAlignment="1" applyProtection="1">
      <alignment horizontal="center" vertical="center" wrapText="1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331</xdr:row>
          <xdr:rowOff>47625</xdr:rowOff>
        </xdr:from>
        <xdr:to>
          <xdr:col>2</xdr:col>
          <xdr:colOff>9991725</xdr:colOff>
          <xdr:row>332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399</xdr:row>
          <xdr:rowOff>0</xdr:rowOff>
        </xdr:from>
        <xdr:to>
          <xdr:col>2</xdr:col>
          <xdr:colOff>9820275</xdr:colOff>
          <xdr:row>400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463</xdr:row>
          <xdr:rowOff>190500</xdr:rowOff>
        </xdr:from>
        <xdr:to>
          <xdr:col>2</xdr:col>
          <xdr:colOff>9791700</xdr:colOff>
          <xdr:row>464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463</xdr:row>
          <xdr:rowOff>200025</xdr:rowOff>
        </xdr:from>
        <xdr:to>
          <xdr:col>2</xdr:col>
          <xdr:colOff>9096375</xdr:colOff>
          <xdr:row>464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399</xdr:row>
          <xdr:rowOff>9525</xdr:rowOff>
        </xdr:from>
        <xdr:to>
          <xdr:col>2</xdr:col>
          <xdr:colOff>9096375</xdr:colOff>
          <xdr:row>400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331</xdr:row>
          <xdr:rowOff>66675</xdr:rowOff>
        </xdr:from>
        <xdr:to>
          <xdr:col>2</xdr:col>
          <xdr:colOff>9296400</xdr:colOff>
          <xdr:row>332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528</xdr:row>
          <xdr:rowOff>76200</xdr:rowOff>
        </xdr:from>
        <xdr:to>
          <xdr:col>2</xdr:col>
          <xdr:colOff>10563225</xdr:colOff>
          <xdr:row>529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528</xdr:row>
          <xdr:rowOff>76200</xdr:rowOff>
        </xdr:from>
        <xdr:to>
          <xdr:col>2</xdr:col>
          <xdr:colOff>9877425</xdr:colOff>
          <xdr:row>529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593</xdr:row>
          <xdr:rowOff>76200</xdr:rowOff>
        </xdr:from>
        <xdr:to>
          <xdr:col>2</xdr:col>
          <xdr:colOff>10563225</xdr:colOff>
          <xdr:row>594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593</xdr:row>
          <xdr:rowOff>76200</xdr:rowOff>
        </xdr:from>
        <xdr:to>
          <xdr:col>2</xdr:col>
          <xdr:colOff>9877425</xdr:colOff>
          <xdr:row>594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658</xdr:row>
          <xdr:rowOff>76200</xdr:rowOff>
        </xdr:from>
        <xdr:to>
          <xdr:col>2</xdr:col>
          <xdr:colOff>10563225</xdr:colOff>
          <xdr:row>659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658</xdr:row>
          <xdr:rowOff>76200</xdr:rowOff>
        </xdr:from>
        <xdr:to>
          <xdr:col>2</xdr:col>
          <xdr:colOff>9877425</xdr:colOff>
          <xdr:row>659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723</xdr:row>
          <xdr:rowOff>76200</xdr:rowOff>
        </xdr:from>
        <xdr:to>
          <xdr:col>2</xdr:col>
          <xdr:colOff>10563225</xdr:colOff>
          <xdr:row>724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723</xdr:row>
          <xdr:rowOff>76200</xdr:rowOff>
        </xdr:from>
        <xdr:to>
          <xdr:col>2</xdr:col>
          <xdr:colOff>9877425</xdr:colOff>
          <xdr:row>724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788</xdr:row>
          <xdr:rowOff>76200</xdr:rowOff>
        </xdr:from>
        <xdr:to>
          <xdr:col>2</xdr:col>
          <xdr:colOff>10563225</xdr:colOff>
          <xdr:row>789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788</xdr:row>
          <xdr:rowOff>76200</xdr:rowOff>
        </xdr:from>
        <xdr:to>
          <xdr:col>2</xdr:col>
          <xdr:colOff>9877425</xdr:colOff>
          <xdr:row>789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853</xdr:row>
          <xdr:rowOff>76200</xdr:rowOff>
        </xdr:from>
        <xdr:to>
          <xdr:col>2</xdr:col>
          <xdr:colOff>10563225</xdr:colOff>
          <xdr:row>854</xdr:row>
          <xdr:rowOff>66675</xdr:rowOff>
        </xdr:to>
        <xdr:sp macro="" textlink="">
          <xdr:nvSpPr>
            <xdr:cNvPr id="1174" name="Button 150" descr="Borrar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853</xdr:row>
          <xdr:rowOff>76200</xdr:rowOff>
        </xdr:from>
        <xdr:to>
          <xdr:col>2</xdr:col>
          <xdr:colOff>9877425</xdr:colOff>
          <xdr:row>854</xdr:row>
          <xdr:rowOff>66675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918</xdr:row>
          <xdr:rowOff>76200</xdr:rowOff>
        </xdr:from>
        <xdr:to>
          <xdr:col>2</xdr:col>
          <xdr:colOff>10563225</xdr:colOff>
          <xdr:row>919</xdr:row>
          <xdr:rowOff>66675</xdr:rowOff>
        </xdr:to>
        <xdr:sp macro="" textlink="">
          <xdr:nvSpPr>
            <xdr:cNvPr id="1176" name="Button 152" descr="Borrar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918</xdr:row>
          <xdr:rowOff>76200</xdr:rowOff>
        </xdr:from>
        <xdr:to>
          <xdr:col>2</xdr:col>
          <xdr:colOff>9877425</xdr:colOff>
          <xdr:row>919</xdr:row>
          <xdr:rowOff>66675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983</xdr:row>
          <xdr:rowOff>76200</xdr:rowOff>
        </xdr:from>
        <xdr:to>
          <xdr:col>2</xdr:col>
          <xdr:colOff>10563225</xdr:colOff>
          <xdr:row>984</xdr:row>
          <xdr:rowOff>66675</xdr:rowOff>
        </xdr:to>
        <xdr:sp macro="" textlink="">
          <xdr:nvSpPr>
            <xdr:cNvPr id="1178" name="Button 154" descr="Borrar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983</xdr:row>
          <xdr:rowOff>76200</xdr:rowOff>
        </xdr:from>
        <xdr:to>
          <xdr:col>2</xdr:col>
          <xdr:colOff>9877425</xdr:colOff>
          <xdr:row>984</xdr:row>
          <xdr:rowOff>66675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996"/>
  <sheetViews>
    <sheetView showGridLines="0" tabSelected="1" zoomScale="85" zoomScaleNormal="8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7.375" style="35" customWidth="1"/>
    <col min="3" max="3" width="158.125" style="7" customWidth="1"/>
    <col min="4" max="4" width="5" style="36" customWidth="1"/>
    <col min="5" max="5" width="5.875" style="36" customWidth="1"/>
    <col min="6" max="6" width="14.75" style="37" customWidth="1"/>
    <col min="7" max="7" width="7.25" style="5" hidden="1" customWidth="1"/>
    <col min="8" max="8" width="14.87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94</v>
      </c>
      <c r="C6" s="147" t="s">
        <v>0</v>
      </c>
      <c r="D6" s="147"/>
      <c r="E6" s="147"/>
      <c r="F6" s="148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17</v>
      </c>
      <c r="C7" s="85" t="s">
        <v>44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14</v>
      </c>
      <c r="C8" s="121" t="s">
        <v>45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14</v>
      </c>
      <c r="C9" s="121" t="s">
        <v>46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14</v>
      </c>
      <c r="C10" s="121" t="s">
        <v>47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14</v>
      </c>
      <c r="C11" s="121" t="s">
        <v>48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121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16</v>
      </c>
      <c r="C13" s="85" t="s">
        <v>49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14</v>
      </c>
      <c r="C14" s="121" t="s">
        <v>50</v>
      </c>
      <c r="D14" s="38"/>
      <c r="E14" s="53" t="s">
        <v>9</v>
      </c>
      <c r="F14" s="25"/>
      <c r="G14" s="17"/>
      <c r="H14" s="19" t="b">
        <f>IF(D16="x",H$2,H$1)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14</v>
      </c>
      <c r="C15" s="121" t="s">
        <v>51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14</v>
      </c>
      <c r="C16" s="121" t="s">
        <v>52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14</v>
      </c>
      <c r="C17" s="121" t="s">
        <v>53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121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18</v>
      </c>
      <c r="C19" s="85" t="s">
        <v>54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14</v>
      </c>
      <c r="C20" s="121" t="s">
        <v>55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14</v>
      </c>
      <c r="C21" s="121" t="s">
        <v>56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14</v>
      </c>
      <c r="C22" s="121" t="s">
        <v>57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14</v>
      </c>
      <c r="C23" s="121" t="s">
        <v>58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121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19</v>
      </c>
      <c r="C25" s="85" t="s">
        <v>59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14</v>
      </c>
      <c r="C26" s="121" t="s">
        <v>60</v>
      </c>
      <c r="D26" s="38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14</v>
      </c>
      <c r="C27" s="121" t="s">
        <v>61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14</v>
      </c>
      <c r="C28" s="121" t="s">
        <v>62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14</v>
      </c>
      <c r="C29" s="121" t="s">
        <v>63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20</v>
      </c>
      <c r="C31" s="85" t="s">
        <v>64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14</v>
      </c>
      <c r="C32" s="121" t="s">
        <v>65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14</v>
      </c>
      <c r="C33" s="121" t="s">
        <v>66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14</v>
      </c>
      <c r="C34" s="121" t="s">
        <v>67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14</v>
      </c>
      <c r="C35" s="121" t="s">
        <v>68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21</v>
      </c>
      <c r="C37" s="85" t="s">
        <v>69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14</v>
      </c>
      <c r="C38" s="121" t="s">
        <v>70</v>
      </c>
      <c r="D38" s="38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14</v>
      </c>
      <c r="C39" s="121" t="s">
        <v>71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14</v>
      </c>
      <c r="C40" s="121" t="s">
        <v>72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14</v>
      </c>
      <c r="C41" s="121" t="s">
        <v>73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22</v>
      </c>
      <c r="C43" s="85" t="s">
        <v>74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14</v>
      </c>
      <c r="C44" s="121" t="s">
        <v>75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14</v>
      </c>
      <c r="C45" s="121" t="s">
        <v>76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14</v>
      </c>
      <c r="C46" s="121" t="s">
        <v>77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14</v>
      </c>
      <c r="C47" s="121" t="s">
        <v>78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23</v>
      </c>
      <c r="C49" s="85" t="s">
        <v>79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14</v>
      </c>
      <c r="C50" s="121" t="s">
        <v>80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14</v>
      </c>
      <c r="C51" s="121" t="s">
        <v>81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14</v>
      </c>
      <c r="C52" s="121" t="s">
        <v>82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14</v>
      </c>
      <c r="C53" s="121" t="s">
        <v>83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28</v>
      </c>
      <c r="C55" s="85" t="s">
        <v>84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14</v>
      </c>
      <c r="C56" s="121" t="s">
        <v>85</v>
      </c>
      <c r="D56" s="38"/>
      <c r="E56" s="53" t="s">
        <v>9</v>
      </c>
      <c r="F56" s="25"/>
      <c r="G56" s="17"/>
      <c r="H56" s="19" t="b">
        <f>IF(D58="x",H$2,H$1)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14</v>
      </c>
      <c r="C57" s="121" t="s">
        <v>86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14</v>
      </c>
      <c r="C58" s="121" t="s">
        <v>87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14</v>
      </c>
      <c r="C59" s="121" t="s">
        <v>88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26</v>
      </c>
      <c r="C61" s="85" t="s">
        <v>89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14</v>
      </c>
      <c r="C62" s="121" t="s">
        <v>90</v>
      </c>
      <c r="D62" s="38"/>
      <c r="E62" s="53" t="s">
        <v>9</v>
      </c>
      <c r="F62" s="25"/>
      <c r="G62" s="24"/>
      <c r="H62" s="19" t="b">
        <f>IF(D62="x",H$2,H$1)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14</v>
      </c>
      <c r="C63" s="121" t="s">
        <v>91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14</v>
      </c>
      <c r="C64" s="121" t="s">
        <v>92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14</v>
      </c>
      <c r="C65" s="121" t="s">
        <v>93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45"/>
      <c r="E69" s="145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94</v>
      </c>
      <c r="C71" s="147" t="s">
        <v>34</v>
      </c>
      <c r="D71" s="147"/>
      <c r="E71" s="147"/>
      <c r="F71" s="148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17</v>
      </c>
      <c r="C72" s="85" t="s">
        <v>95</v>
      </c>
      <c r="D72" s="39"/>
      <c r="E72" s="52"/>
      <c r="F72" s="27"/>
      <c r="G72" s="13"/>
      <c r="H72" s="13"/>
    </row>
    <row r="73" spans="1:40" x14ac:dyDescent="0.25">
      <c r="B73" s="84" t="s">
        <v>14</v>
      </c>
      <c r="C73" s="121" t="s">
        <v>96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14</v>
      </c>
      <c r="C74" s="121" t="s">
        <v>97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14</v>
      </c>
      <c r="C75" s="121" t="s">
        <v>98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14</v>
      </c>
      <c r="C76" s="121" t="s">
        <v>99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16</v>
      </c>
      <c r="C78" s="85" t="s">
        <v>100</v>
      </c>
      <c r="D78" s="39"/>
      <c r="E78" s="52"/>
      <c r="F78" s="27"/>
      <c r="G78" s="13"/>
      <c r="H78" s="13"/>
    </row>
    <row r="79" spans="1:40" x14ac:dyDescent="0.25">
      <c r="B79" s="84" t="s">
        <v>14</v>
      </c>
      <c r="C79" s="121" t="s">
        <v>101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14</v>
      </c>
      <c r="C80" s="121" t="s">
        <v>102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14</v>
      </c>
      <c r="C81" s="121" t="s">
        <v>103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14</v>
      </c>
      <c r="C82" s="121" t="s">
        <v>104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18</v>
      </c>
      <c r="C84" s="85" t="s">
        <v>105</v>
      </c>
      <c r="D84" s="58"/>
      <c r="E84" s="56"/>
      <c r="F84" s="50"/>
      <c r="G84" s="47"/>
      <c r="H84" s="47"/>
    </row>
    <row r="85" spans="1:40" x14ac:dyDescent="0.25">
      <c r="B85" s="84" t="s">
        <v>14</v>
      </c>
      <c r="C85" s="121" t="s">
        <v>106</v>
      </c>
      <c r="D85" s="38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14</v>
      </c>
      <c r="C86" s="121" t="s">
        <v>107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14</v>
      </c>
      <c r="C87" s="121" t="s">
        <v>108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14</v>
      </c>
      <c r="C88" s="121" t="s">
        <v>109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19</v>
      </c>
      <c r="C90" s="85" t="s">
        <v>110</v>
      </c>
      <c r="D90" s="39"/>
      <c r="E90" s="52"/>
      <c r="F90" s="27"/>
      <c r="G90" s="13"/>
      <c r="H90" s="13"/>
    </row>
    <row r="91" spans="1:40" x14ac:dyDescent="0.25">
      <c r="B91" s="84" t="s">
        <v>14</v>
      </c>
      <c r="C91" s="121" t="s">
        <v>111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14</v>
      </c>
      <c r="C92" s="121" t="s">
        <v>112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14</v>
      </c>
      <c r="C93" s="121"/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14</v>
      </c>
      <c r="C94" s="121"/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20</v>
      </c>
      <c r="C96" s="85" t="s">
        <v>113</v>
      </c>
      <c r="D96" s="39"/>
      <c r="E96" s="52"/>
      <c r="F96" s="27"/>
      <c r="G96" s="13"/>
      <c r="H96" s="13"/>
    </row>
    <row r="97" spans="1:40" x14ac:dyDescent="0.25">
      <c r="B97" s="84" t="s">
        <v>14</v>
      </c>
      <c r="C97" s="121" t="s">
        <v>114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14</v>
      </c>
      <c r="C98" s="121" t="s">
        <v>115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14</v>
      </c>
      <c r="C99" s="121" t="s">
        <v>116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14</v>
      </c>
      <c r="C100" s="121" t="s">
        <v>117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21</v>
      </c>
      <c r="C102" s="85" t="s">
        <v>118</v>
      </c>
      <c r="D102" s="39"/>
      <c r="E102" s="52"/>
      <c r="F102" s="27"/>
      <c r="G102" s="13"/>
      <c r="H102" s="13"/>
    </row>
    <row r="103" spans="1:40" x14ac:dyDescent="0.25">
      <c r="B103" s="84" t="s">
        <v>14</v>
      </c>
      <c r="C103" s="121" t="s">
        <v>112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14</v>
      </c>
      <c r="C104" s="121" t="s">
        <v>111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14</v>
      </c>
      <c r="C105" s="121" t="s">
        <v>119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14</v>
      </c>
      <c r="C106" s="121" t="s">
        <v>120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22</v>
      </c>
      <c r="C108" s="85" t="s">
        <v>121</v>
      </c>
      <c r="D108" s="39"/>
      <c r="E108" s="52"/>
      <c r="F108" s="27"/>
      <c r="G108" s="13"/>
      <c r="H108" s="13"/>
    </row>
    <row r="109" spans="1:40" x14ac:dyDescent="0.25">
      <c r="B109" s="84" t="s">
        <v>14</v>
      </c>
      <c r="C109" s="121" t="s">
        <v>111</v>
      </c>
      <c r="D109" s="38"/>
      <c r="E109" s="1" t="s">
        <v>9</v>
      </c>
      <c r="F109" s="25"/>
      <c r="G109" s="17"/>
      <c r="H109" s="19" t="b">
        <f>IF(D110="x",H$2,H$1)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14</v>
      </c>
      <c r="C110" s="121" t="s">
        <v>122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14</v>
      </c>
      <c r="C111" s="121" t="s">
        <v>123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14</v>
      </c>
      <c r="C112" s="121" t="s">
        <v>124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23</v>
      </c>
      <c r="C114" s="85" t="s">
        <v>125</v>
      </c>
      <c r="D114" s="39"/>
      <c r="E114" s="52"/>
      <c r="F114" s="27"/>
      <c r="G114" s="13"/>
      <c r="H114" s="13"/>
    </row>
    <row r="115" spans="1:40" x14ac:dyDescent="0.25">
      <c r="B115" s="84" t="s">
        <v>14</v>
      </c>
      <c r="C115" s="121" t="s">
        <v>126</v>
      </c>
      <c r="D115" s="38"/>
      <c r="E115" s="53" t="s">
        <v>9</v>
      </c>
      <c r="F115" s="25"/>
      <c r="G115" s="17"/>
      <c r="H115" s="19" t="b">
        <f>IF(D117="x",H$2,H$1)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14</v>
      </c>
      <c r="C116" s="121" t="s">
        <v>127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14</v>
      </c>
      <c r="C117" s="121" t="s">
        <v>128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14</v>
      </c>
      <c r="C118" s="121" t="s">
        <v>129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24</v>
      </c>
      <c r="C120" s="85" t="s">
        <v>130</v>
      </c>
      <c r="D120" s="39"/>
      <c r="E120" s="52"/>
      <c r="F120" s="27"/>
      <c r="G120" s="13"/>
      <c r="H120" s="13"/>
    </row>
    <row r="121" spans="1:40" x14ac:dyDescent="0.25">
      <c r="B121" s="84" t="s">
        <v>14</v>
      </c>
      <c r="C121" s="121" t="s">
        <v>131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14</v>
      </c>
      <c r="C122" s="121" t="s">
        <v>132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14</v>
      </c>
      <c r="C123" s="121" t="s">
        <v>133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14</v>
      </c>
      <c r="C124" s="121" t="s">
        <v>134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25</v>
      </c>
      <c r="C126" s="85" t="s">
        <v>135</v>
      </c>
      <c r="D126" s="39"/>
      <c r="E126" s="52"/>
      <c r="F126" s="27"/>
      <c r="G126" s="26"/>
      <c r="H126" s="13"/>
    </row>
    <row r="127" spans="1:40" x14ac:dyDescent="0.25">
      <c r="B127" s="84" t="s">
        <v>14</v>
      </c>
      <c r="C127" s="121" t="s">
        <v>136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14</v>
      </c>
      <c r="C128" s="121" t="s">
        <v>137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14</v>
      </c>
      <c r="C129" s="121" t="s">
        <v>138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14</v>
      </c>
      <c r="C130" s="121" t="s">
        <v>139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94</v>
      </c>
      <c r="C136" s="116" t="s">
        <v>33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17</v>
      </c>
      <c r="C137" s="85" t="s">
        <v>140</v>
      </c>
      <c r="D137" s="72"/>
      <c r="E137" s="47"/>
      <c r="F137" s="73"/>
      <c r="G137" s="47"/>
      <c r="H137" s="47"/>
    </row>
    <row r="138" spans="1:40" x14ac:dyDescent="0.25">
      <c r="B138" s="84" t="s">
        <v>14</v>
      </c>
      <c r="C138" s="121" t="s">
        <v>141</v>
      </c>
      <c r="D138" s="38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14</v>
      </c>
      <c r="C139" s="121" t="s">
        <v>142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14</v>
      </c>
      <c r="C140" s="121" t="s">
        <v>143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14</v>
      </c>
      <c r="C141" s="121" t="s">
        <v>144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24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83" t="s">
        <v>16</v>
      </c>
      <c r="C143" s="85" t="s">
        <v>145</v>
      </c>
      <c r="D143" s="71"/>
      <c r="E143" s="53"/>
      <c r="F143" s="25"/>
      <c r="G143" s="17"/>
      <c r="H143" s="19" t="b">
        <f>IF(D146="x",H$2,H$1)</f>
        <v>0</v>
      </c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4" t="s">
        <v>14</v>
      </c>
      <c r="C144" s="121" t="s">
        <v>146</v>
      </c>
      <c r="D144" s="38"/>
      <c r="E144" s="53" t="s">
        <v>9</v>
      </c>
      <c r="F144" s="20" t="str">
        <f>IF(H145=1,IF(H143=H$2,H143,""),"")</f>
        <v/>
      </c>
      <c r="G144" s="17"/>
      <c r="H144" s="19" t="str">
        <f>IF(E$197="comprobar",COUNTIF(D144:D148,"x"),"")</f>
        <v/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14</v>
      </c>
      <c r="C145" s="121" t="s">
        <v>147</v>
      </c>
      <c r="D145" s="38"/>
      <c r="E145" s="53" t="s">
        <v>10</v>
      </c>
      <c r="F145" s="21" t="str">
        <f>IF(H145=-0.33,IF(H143=H$1,H143,""),"")</f>
        <v/>
      </c>
      <c r="G145" s="17"/>
      <c r="H145" s="22">
        <f t="shared" si="10"/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14</v>
      </c>
      <c r="C146" s="121" t="s">
        <v>148</v>
      </c>
      <c r="D146" s="38"/>
      <c r="E146" s="53" t="s">
        <v>11</v>
      </c>
      <c r="F146" s="25"/>
      <c r="G146" s="17"/>
      <c r="H146" s="22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14</v>
      </c>
      <c r="C147" s="121" t="s">
        <v>149</v>
      </c>
      <c r="D147" s="38"/>
      <c r="E147" s="53" t="s">
        <v>12</v>
      </c>
      <c r="F147" s="18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14</v>
      </c>
      <c r="C148" s="121"/>
      <c r="D148" s="38"/>
      <c r="E148" s="53" t="s">
        <v>13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18</v>
      </c>
      <c r="C149" s="85" t="s">
        <v>150</v>
      </c>
      <c r="D149" s="79"/>
      <c r="E149" s="52"/>
      <c r="F149" s="27"/>
      <c r="G149" s="13"/>
      <c r="H149" s="13"/>
    </row>
    <row r="150" spans="1:40" x14ac:dyDescent="0.25">
      <c r="B150" s="84" t="s">
        <v>14</v>
      </c>
      <c r="C150" s="121" t="s">
        <v>111</v>
      </c>
      <c r="D150" s="38"/>
      <c r="E150" s="53" t="s">
        <v>9</v>
      </c>
      <c r="F150" s="25"/>
      <c r="G150" s="17"/>
      <c r="H150" s="19" t="b">
        <f>IF(D150="x",H$2,H$1)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14</v>
      </c>
      <c r="C151" s="121" t="s">
        <v>151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14</v>
      </c>
      <c r="C152" s="121" t="s">
        <v>152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14</v>
      </c>
      <c r="C153" s="121" t="s">
        <v>153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19</v>
      </c>
      <c r="C155" s="85" t="s">
        <v>154</v>
      </c>
      <c r="D155" s="79"/>
      <c r="E155" s="52"/>
      <c r="F155" s="27"/>
      <c r="G155" s="13"/>
      <c r="H155" s="13"/>
    </row>
    <row r="156" spans="1:40" ht="21" customHeight="1" x14ac:dyDescent="0.25">
      <c r="B156" s="84" t="s">
        <v>14</v>
      </c>
      <c r="C156" s="131" t="s">
        <v>155</v>
      </c>
      <c r="D156" s="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14</v>
      </c>
      <c r="C157" s="121" t="s">
        <v>156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14</v>
      </c>
      <c r="C158" s="121" t="s">
        <v>157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14</v>
      </c>
      <c r="C159" s="121" t="s">
        <v>158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20</v>
      </c>
      <c r="C161" s="85" t="s">
        <v>159</v>
      </c>
      <c r="D161" s="79"/>
      <c r="E161" s="52"/>
      <c r="F161" s="27"/>
      <c r="G161" s="13"/>
      <c r="H161" s="13"/>
    </row>
    <row r="162" spans="1:40" x14ac:dyDescent="0.25">
      <c r="B162" s="84" t="s">
        <v>14</v>
      </c>
      <c r="C162" s="121" t="s">
        <v>160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14</v>
      </c>
      <c r="C163" s="121" t="s">
        <v>161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14</v>
      </c>
      <c r="C164" s="121" t="s">
        <v>162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14</v>
      </c>
      <c r="C165" s="121" t="s">
        <v>163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21</v>
      </c>
      <c r="C167" s="85" t="s">
        <v>164</v>
      </c>
      <c r="D167" s="79"/>
      <c r="E167" s="52"/>
      <c r="F167" s="27"/>
      <c r="G167" s="13"/>
      <c r="H167" s="13"/>
    </row>
    <row r="168" spans="1:40" x14ac:dyDescent="0.25">
      <c r="B168" s="84" t="s">
        <v>14</v>
      </c>
      <c r="C168" s="121" t="s">
        <v>165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14</v>
      </c>
      <c r="C169" s="121" t="s">
        <v>166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14</v>
      </c>
      <c r="C170" s="121" t="s">
        <v>167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14</v>
      </c>
      <c r="C171" s="121" t="s">
        <v>168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22</v>
      </c>
      <c r="C173" s="85" t="s">
        <v>169</v>
      </c>
      <c r="D173" s="79"/>
      <c r="E173" s="52"/>
      <c r="F173" s="27"/>
      <c r="G173" s="13"/>
      <c r="H173" s="13"/>
    </row>
    <row r="174" spans="1:40" s="34" customFormat="1" x14ac:dyDescent="0.25">
      <c r="A174" s="4"/>
      <c r="B174" s="84" t="s">
        <v>14</v>
      </c>
      <c r="C174" s="121" t="s">
        <v>170</v>
      </c>
      <c r="D174" s="38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14</v>
      </c>
      <c r="C175" s="121" t="s">
        <v>171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14</v>
      </c>
      <c r="C176" s="121" t="s">
        <v>172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14</v>
      </c>
      <c r="C177" s="121" t="s">
        <v>173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23</v>
      </c>
      <c r="C179" s="85" t="s">
        <v>174</v>
      </c>
      <c r="D179" s="39"/>
      <c r="E179" s="52"/>
      <c r="F179" s="27"/>
      <c r="G179" s="13"/>
      <c r="H179" s="13"/>
    </row>
    <row r="180" spans="1:40" x14ac:dyDescent="0.25">
      <c r="B180" s="84" t="s">
        <v>14</v>
      </c>
      <c r="C180" s="121" t="s">
        <v>175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14</v>
      </c>
      <c r="C181" s="121" t="s">
        <v>176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14</v>
      </c>
      <c r="C182" s="121" t="s">
        <v>177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14</v>
      </c>
      <c r="C183" s="121" t="s">
        <v>178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24</v>
      </c>
      <c r="C185" s="85" t="s">
        <v>179</v>
      </c>
      <c r="D185" s="39"/>
      <c r="E185" s="52"/>
      <c r="F185" s="27"/>
      <c r="G185" s="13"/>
      <c r="H185" s="13"/>
    </row>
    <row r="186" spans="1:40" x14ac:dyDescent="0.25">
      <c r="B186" s="84" t="s">
        <v>14</v>
      </c>
      <c r="C186" s="121" t="s">
        <v>180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14</v>
      </c>
      <c r="C187" s="121" t="s">
        <v>181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14</v>
      </c>
      <c r="C188" s="121" t="s">
        <v>182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14</v>
      </c>
      <c r="C189" s="121" t="s">
        <v>183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26</v>
      </c>
      <c r="C191" s="85" t="s">
        <v>184</v>
      </c>
      <c r="D191" s="39"/>
      <c r="E191" s="52"/>
      <c r="F191" s="27"/>
      <c r="G191" s="26"/>
      <c r="H191" s="13"/>
    </row>
    <row r="192" spans="1:40" x14ac:dyDescent="0.25">
      <c r="B192" s="84" t="s">
        <v>14</v>
      </c>
      <c r="C192" s="121" t="s">
        <v>185</v>
      </c>
      <c r="D192" s="38"/>
      <c r="E192" s="53" t="s">
        <v>9</v>
      </c>
      <c r="F192" s="25"/>
      <c r="G192" s="24"/>
      <c r="H192" s="19" t="b">
        <f>IF(D195="x",H$2,H$1)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14</v>
      </c>
      <c r="C193" s="121" t="s">
        <v>181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14</v>
      </c>
      <c r="C194" s="121" t="s">
        <v>186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14</v>
      </c>
      <c r="C195" s="121" t="s">
        <v>187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IF(E197="comprobar",H194+H188+H182+H176+H170+H164+H158+H152+H145+H140,"")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9.25" thickBot="1" x14ac:dyDescent="0.5">
      <c r="B201" s="61" t="s">
        <v>94</v>
      </c>
      <c r="C201" s="116" t="s">
        <v>35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thickTop="1" x14ac:dyDescent="0.25">
      <c r="A202" s="4"/>
      <c r="B202" s="120" t="s">
        <v>17</v>
      </c>
      <c r="C202" s="85" t="s">
        <v>188</v>
      </c>
      <c r="D202" s="150" t="s">
        <v>193</v>
      </c>
      <c r="E202" s="151"/>
      <c r="F202" s="152"/>
      <c r="G202" s="13"/>
      <c r="H202" s="13"/>
    </row>
    <row r="203" spans="1:40" x14ac:dyDescent="0.25">
      <c r="B203" s="84" t="s">
        <v>14</v>
      </c>
      <c r="C203" s="135" t="s">
        <v>189</v>
      </c>
      <c r="D203" s="136"/>
      <c r="E203" s="53" t="s">
        <v>9</v>
      </c>
      <c r="F203" s="137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14</v>
      </c>
      <c r="C204" s="135" t="s">
        <v>190</v>
      </c>
      <c r="D204" s="136"/>
      <c r="E204" s="53" t="s">
        <v>10</v>
      </c>
      <c r="F204" s="138" t="str">
        <f>IF(H205=1,IF(H203=H$2,H203,""),"")</f>
        <v/>
      </c>
      <c r="G204" s="17"/>
      <c r="H204" s="19" t="str">
        <f>IF(E262="comprobar",COUNTIF(D203:D207,"x"),"")</f>
        <v/>
      </c>
      <c r="I204" s="4"/>
      <c r="J204" s="149" t="s">
        <v>193</v>
      </c>
      <c r="K204" s="149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14</v>
      </c>
      <c r="C205" s="135" t="s">
        <v>191</v>
      </c>
      <c r="D205" s="136"/>
      <c r="E205" s="53" t="s">
        <v>11</v>
      </c>
      <c r="F205" s="139" t="str">
        <f>IF(H205=-0.33,IF(H203=H$1,H203,""),"")</f>
        <v/>
      </c>
      <c r="G205" s="17"/>
      <c r="H205" s="22">
        <f>IF(H204=1,IF(H203=H$2,1,-0.33),0)</f>
        <v>0</v>
      </c>
      <c r="I205" s="4"/>
      <c r="J205" s="149"/>
      <c r="K205" s="149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14</v>
      </c>
      <c r="C206" s="135" t="s">
        <v>192</v>
      </c>
      <c r="D206" s="136"/>
      <c r="E206" s="53" t="s">
        <v>12</v>
      </c>
      <c r="F206" s="137"/>
      <c r="G206" s="17"/>
      <c r="H206" s="22"/>
      <c r="I206" s="4"/>
      <c r="J206" s="149"/>
      <c r="K206" s="149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ht="16.5" thickBot="1" x14ac:dyDescent="0.3">
      <c r="B207" s="63"/>
      <c r="C207" s="24"/>
      <c r="D207" s="140"/>
      <c r="E207" s="141" t="s">
        <v>13</v>
      </c>
      <c r="F207" s="142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ht="16.5" thickTop="1" x14ac:dyDescent="0.25">
      <c r="A208" s="4"/>
      <c r="B208" s="120" t="s">
        <v>27</v>
      </c>
      <c r="C208" s="85" t="s">
        <v>194</v>
      </c>
      <c r="D208" s="39"/>
      <c r="E208" s="52"/>
      <c r="F208" s="27"/>
      <c r="G208" s="13"/>
      <c r="H208" s="13"/>
    </row>
    <row r="209" spans="1:40" x14ac:dyDescent="0.25">
      <c r="B209" s="84" t="s">
        <v>14</v>
      </c>
      <c r="C209" s="121" t="s">
        <v>195</v>
      </c>
      <c r="D209" s="38"/>
      <c r="E209" s="53" t="s">
        <v>9</v>
      </c>
      <c r="F209" s="25"/>
      <c r="G209" s="17"/>
      <c r="H209" s="19" t="b">
        <f>IF(D210="x",H$2,H$1)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14</v>
      </c>
      <c r="C210" s="121" t="s">
        <v>196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14</v>
      </c>
      <c r="C211" s="121" t="s">
        <v>197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14</v>
      </c>
      <c r="C212" s="121" t="s">
        <v>198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18</v>
      </c>
      <c r="C214" s="85" t="s">
        <v>199</v>
      </c>
      <c r="D214" s="39"/>
      <c r="E214" s="52"/>
      <c r="F214" s="27"/>
      <c r="G214" s="13"/>
      <c r="H214" s="13"/>
    </row>
    <row r="215" spans="1:40" x14ac:dyDescent="0.25">
      <c r="B215" s="84" t="s">
        <v>14</v>
      </c>
      <c r="C215" s="121" t="s">
        <v>200</v>
      </c>
      <c r="D215" s="38"/>
      <c r="E215" s="53" t="s">
        <v>9</v>
      </c>
      <c r="F215" s="25"/>
      <c r="G215" s="17"/>
      <c r="H215" s="19" t="b">
        <f>IF(D217="x",H$2,H$1)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14</v>
      </c>
      <c r="C216" s="121" t="s">
        <v>201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14</v>
      </c>
      <c r="C217" s="121" t="s">
        <v>202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14</v>
      </c>
      <c r="C218" s="121" t="s">
        <v>718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19</v>
      </c>
      <c r="C220" s="85" t="s">
        <v>203</v>
      </c>
      <c r="D220" s="39"/>
      <c r="E220" s="52"/>
      <c r="F220" s="27"/>
      <c r="G220" s="13"/>
      <c r="H220" s="13"/>
    </row>
    <row r="221" spans="1:40" x14ac:dyDescent="0.25">
      <c r="B221" s="84" t="s">
        <v>14</v>
      </c>
      <c r="C221" s="121" t="s">
        <v>131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14</v>
      </c>
      <c r="C222" s="121" t="s">
        <v>132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14</v>
      </c>
      <c r="C223" s="121" t="s">
        <v>204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14</v>
      </c>
      <c r="C224" s="121" t="s">
        <v>205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20</v>
      </c>
      <c r="C226" s="85" t="s">
        <v>206</v>
      </c>
      <c r="D226" s="39"/>
      <c r="E226" s="52"/>
      <c r="F226" s="27"/>
      <c r="G226" s="13"/>
      <c r="H226" s="13"/>
    </row>
    <row r="227" spans="1:40" x14ac:dyDescent="0.25">
      <c r="B227" s="84" t="s">
        <v>14</v>
      </c>
      <c r="C227" s="121" t="s">
        <v>207</v>
      </c>
      <c r="D227" s="38"/>
      <c r="E227" s="53" t="s">
        <v>9</v>
      </c>
      <c r="F227" s="25"/>
      <c r="G227" s="17"/>
      <c r="H227" s="19" t="b">
        <f>IF(D229="x",H$2,H$1)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14</v>
      </c>
      <c r="C228" s="121" t="s">
        <v>208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14</v>
      </c>
      <c r="C229" s="121" t="s">
        <v>209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14</v>
      </c>
      <c r="C230" s="121" t="s">
        <v>210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21</v>
      </c>
      <c r="C232" s="85" t="s">
        <v>211</v>
      </c>
      <c r="D232" s="39"/>
      <c r="E232" s="52"/>
      <c r="F232" s="27"/>
      <c r="G232" s="13"/>
      <c r="H232" s="13"/>
    </row>
    <row r="233" spans="1:40" x14ac:dyDescent="0.25">
      <c r="B233" s="84" t="s">
        <v>14</v>
      </c>
      <c r="C233" s="121" t="s">
        <v>212</v>
      </c>
      <c r="D233" s="38"/>
      <c r="E233" s="53" t="s">
        <v>9</v>
      </c>
      <c r="F233" s="25"/>
      <c r="G233" s="17"/>
      <c r="H233" s="19" t="b">
        <f>IF(D235="x",H$2,H$1)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14</v>
      </c>
      <c r="C234" s="121" t="s">
        <v>213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14</v>
      </c>
      <c r="C235" s="121" t="s">
        <v>214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14</v>
      </c>
      <c r="C236" s="121" t="s">
        <v>215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22</v>
      </c>
      <c r="C238" s="85" t="s">
        <v>216</v>
      </c>
      <c r="D238" s="39"/>
      <c r="E238" s="52"/>
      <c r="F238" s="27"/>
      <c r="G238" s="13"/>
      <c r="H238" s="13"/>
    </row>
    <row r="239" spans="1:40" x14ac:dyDescent="0.25">
      <c r="B239" s="84" t="s">
        <v>14</v>
      </c>
      <c r="C239" s="121" t="s">
        <v>217</v>
      </c>
      <c r="D239" s="38"/>
      <c r="E239" s="53" t="s">
        <v>9</v>
      </c>
      <c r="F239" s="25"/>
      <c r="G239" s="17"/>
      <c r="H239" s="19" t="b">
        <f>IF(D240="x",H$2,H$1)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14</v>
      </c>
      <c r="C240" s="121" t="s">
        <v>112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14</v>
      </c>
      <c r="C241" s="121" t="s">
        <v>111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14</v>
      </c>
      <c r="C242" s="121" t="s">
        <v>218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23</v>
      </c>
      <c r="C244" s="85" t="s">
        <v>219</v>
      </c>
      <c r="D244" s="39"/>
      <c r="E244" s="52"/>
      <c r="F244" s="27"/>
      <c r="G244" s="13"/>
      <c r="H244" s="13"/>
    </row>
    <row r="245" spans="1:40" x14ac:dyDescent="0.25">
      <c r="B245" s="84" t="s">
        <v>14</v>
      </c>
      <c r="C245" s="121" t="s">
        <v>220</v>
      </c>
      <c r="D245" s="38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14</v>
      </c>
      <c r="C246" s="121" t="s">
        <v>221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14</v>
      </c>
      <c r="C247" s="121" t="s">
        <v>222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14</v>
      </c>
      <c r="C248" s="121" t="s">
        <v>223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28</v>
      </c>
      <c r="C250" s="85" t="s">
        <v>224</v>
      </c>
      <c r="D250" s="39"/>
      <c r="E250" s="52"/>
      <c r="F250" s="27"/>
      <c r="G250" s="13"/>
      <c r="H250" s="13"/>
    </row>
    <row r="251" spans="1:40" x14ac:dyDescent="0.25">
      <c r="B251" s="84" t="s">
        <v>14</v>
      </c>
      <c r="C251" s="121" t="s">
        <v>225</v>
      </c>
      <c r="D251" s="38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14</v>
      </c>
      <c r="C252" s="121" t="s">
        <v>226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14</v>
      </c>
      <c r="C253" s="121" t="s">
        <v>227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14</v>
      </c>
      <c r="C254" s="121" t="s">
        <v>228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4" customHeight="1" x14ac:dyDescent="0.25">
      <c r="A256" s="4"/>
      <c r="B256" s="120" t="s">
        <v>26</v>
      </c>
      <c r="C256" s="85" t="s">
        <v>229</v>
      </c>
      <c r="D256" s="39"/>
      <c r="E256" s="52"/>
      <c r="F256" s="27"/>
      <c r="G256" s="26"/>
      <c r="H256" s="13"/>
    </row>
    <row r="257" spans="1:40" x14ac:dyDescent="0.25">
      <c r="B257" s="84" t="s">
        <v>14</v>
      </c>
      <c r="C257" s="127">
        <v>5</v>
      </c>
      <c r="D257" s="38"/>
      <c r="E257" s="53" t="s">
        <v>9</v>
      </c>
      <c r="F257" s="25"/>
      <c r="G257" s="24"/>
      <c r="H257" s="19" t="b">
        <f>IF(D259="x",H$2,H$1)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14</v>
      </c>
      <c r="C258" s="127">
        <v>2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14</v>
      </c>
      <c r="C259" s="127">
        <v>3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14</v>
      </c>
      <c r="C260" s="121" t="s">
        <v>230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9/2</f>
        <v>4.5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5" customFormat="1" ht="14.1" hidden="1" customHeight="1" thickBot="1" x14ac:dyDescent="0.3">
      <c r="B269" s="94"/>
      <c r="C269" s="94"/>
      <c r="D269" s="95"/>
      <c r="E269" s="96"/>
      <c r="F269" s="97"/>
      <c r="G269" s="74"/>
      <c r="H269" s="90"/>
    </row>
    <row r="270" spans="1:40" s="15" customFormat="1" ht="29.1" customHeight="1" x14ac:dyDescent="0.45">
      <c r="A270" s="4"/>
      <c r="B270" s="61" t="s">
        <v>94</v>
      </c>
      <c r="C270" s="116" t="s">
        <v>36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17</v>
      </c>
      <c r="C271" s="85" t="s">
        <v>231</v>
      </c>
      <c r="D271" s="39"/>
      <c r="E271" s="52"/>
      <c r="F271" s="27"/>
      <c r="G271" s="17"/>
      <c r="H271" s="90" t="b">
        <f>IF(D272="x",H$2,H$1)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14</v>
      </c>
      <c r="C272" s="121" t="s">
        <v>112</v>
      </c>
      <c r="D272" s="102"/>
      <c r="E272" s="105" t="s">
        <v>9</v>
      </c>
      <c r="F272" s="104" t="str">
        <f>IF(H273=1,IF(H271=H$2,H271,""),"")</f>
        <v/>
      </c>
      <c r="G272" s="17"/>
      <c r="H272" s="90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14</v>
      </c>
      <c r="C273" s="121" t="s">
        <v>111</v>
      </c>
      <c r="D273" s="102"/>
      <c r="E273" s="105" t="s">
        <v>10</v>
      </c>
      <c r="F273" s="106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14</v>
      </c>
      <c r="C274" s="121" t="s">
        <v>232</v>
      </c>
      <c r="D274" s="102"/>
      <c r="E274" s="105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14</v>
      </c>
      <c r="C275" s="121" t="s">
        <v>233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16</v>
      </c>
      <c r="C277" s="85" t="s">
        <v>234</v>
      </c>
      <c r="D277" s="39"/>
      <c r="E277" s="52"/>
      <c r="F277" s="27"/>
      <c r="G277" s="13"/>
      <c r="H277" s="13"/>
    </row>
    <row r="278" spans="1:40" x14ac:dyDescent="0.25">
      <c r="B278" s="84" t="s">
        <v>14</v>
      </c>
      <c r="C278" s="121" t="s">
        <v>235</v>
      </c>
      <c r="D278" s="102"/>
      <c r="E278" s="105" t="s">
        <v>9</v>
      </c>
      <c r="F278" s="25"/>
      <c r="G278" s="17"/>
      <c r="H278" s="90" t="b">
        <f>IF(D281="x",H$2,H$1)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14</v>
      </c>
      <c r="C279" s="121" t="s">
        <v>236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14</v>
      </c>
      <c r="C280" s="121" t="s">
        <v>237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14</v>
      </c>
      <c r="C281" s="121" t="s">
        <v>238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18</v>
      </c>
      <c r="C283" s="85" t="s">
        <v>239</v>
      </c>
      <c r="D283" s="39"/>
      <c r="E283" s="52"/>
      <c r="F283" s="27"/>
      <c r="G283" s="13"/>
      <c r="H283" s="13"/>
    </row>
    <row r="284" spans="1:40" x14ac:dyDescent="0.25">
      <c r="B284" s="84" t="s">
        <v>14</v>
      </c>
      <c r="C284" s="121" t="s">
        <v>240</v>
      </c>
      <c r="D284" s="102"/>
      <c r="E284" s="105" t="s">
        <v>9</v>
      </c>
      <c r="F284" s="25"/>
      <c r="G284" s="17"/>
      <c r="H284" s="90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14</v>
      </c>
      <c r="C285" s="121" t="s">
        <v>241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84" t="s">
        <v>14</v>
      </c>
      <c r="C286" s="121" t="s">
        <v>242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14</v>
      </c>
      <c r="C287" s="121" t="s">
        <v>243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19</v>
      </c>
      <c r="C289" s="85" t="s">
        <v>244</v>
      </c>
      <c r="D289" s="39"/>
      <c r="E289" s="52"/>
      <c r="F289" s="27"/>
      <c r="G289" s="13"/>
      <c r="H289" s="13"/>
    </row>
    <row r="290" spans="1:40" x14ac:dyDescent="0.25">
      <c r="B290" s="84" t="s">
        <v>14</v>
      </c>
      <c r="C290" s="121" t="s">
        <v>245</v>
      </c>
      <c r="D290" s="102"/>
      <c r="E290" s="105" t="s">
        <v>9</v>
      </c>
      <c r="F290" s="25"/>
      <c r="G290" s="17"/>
      <c r="H290" s="19" t="b">
        <f>IF(D292="x",H$2,H$1)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14</v>
      </c>
      <c r="C291" s="121" t="s">
        <v>246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84" t="s">
        <v>14</v>
      </c>
      <c r="C292" s="121" t="s">
        <v>247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14</v>
      </c>
      <c r="C293" s="121" t="s">
        <v>248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20</v>
      </c>
      <c r="C295" s="85" t="s">
        <v>249</v>
      </c>
      <c r="D295" s="108"/>
      <c r="E295" s="103"/>
      <c r="F295" s="27"/>
      <c r="G295" s="13"/>
      <c r="H295" s="13"/>
    </row>
    <row r="296" spans="1:40" x14ac:dyDescent="0.25">
      <c r="B296" s="84" t="s">
        <v>14</v>
      </c>
      <c r="C296" s="121" t="s">
        <v>111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14</v>
      </c>
      <c r="C297" s="121" t="s">
        <v>250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84" t="s">
        <v>14</v>
      </c>
      <c r="C298" s="121" t="s">
        <v>251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14</v>
      </c>
      <c r="C299" s="121" t="s">
        <v>252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21</v>
      </c>
      <c r="C301" s="85" t="s">
        <v>253</v>
      </c>
      <c r="D301" s="108"/>
      <c r="E301" s="103"/>
      <c r="F301" s="27"/>
      <c r="G301" s="13"/>
      <c r="H301" s="13"/>
    </row>
    <row r="302" spans="1:40" x14ac:dyDescent="0.25">
      <c r="B302" s="84" t="s">
        <v>14</v>
      </c>
      <c r="C302" s="121" t="s">
        <v>254</v>
      </c>
      <c r="D302" s="102"/>
      <c r="E302" s="105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14</v>
      </c>
      <c r="C303" s="121" t="s">
        <v>255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84" t="s">
        <v>14</v>
      </c>
      <c r="C304" s="121" t="s">
        <v>256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14</v>
      </c>
      <c r="C305" s="121" t="s">
        <v>257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22</v>
      </c>
      <c r="C307" s="85" t="s">
        <v>258</v>
      </c>
      <c r="D307" s="108"/>
      <c r="E307" s="103"/>
      <c r="F307" s="27"/>
      <c r="G307" s="13"/>
      <c r="H307" s="13"/>
    </row>
    <row r="308" spans="1:40" x14ac:dyDescent="0.25">
      <c r="B308" s="84" t="s">
        <v>14</v>
      </c>
      <c r="C308" s="121" t="s">
        <v>259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14</v>
      </c>
      <c r="C309" s="121" t="s">
        <v>260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84" t="s">
        <v>14</v>
      </c>
      <c r="C310" s="121" t="s">
        <v>261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14</v>
      </c>
      <c r="C311" s="121" t="s">
        <v>262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23</v>
      </c>
      <c r="C313" s="85" t="s">
        <v>263</v>
      </c>
      <c r="D313" s="108"/>
      <c r="E313" s="103"/>
      <c r="F313" s="27"/>
      <c r="G313" s="13"/>
      <c r="H313" s="13"/>
    </row>
    <row r="314" spans="1:40" x14ac:dyDescent="0.25">
      <c r="B314" s="84" t="s">
        <v>14</v>
      </c>
      <c r="C314" s="121" t="s">
        <v>264</v>
      </c>
      <c r="D314" s="102"/>
      <c r="E314" s="105" t="s">
        <v>9</v>
      </c>
      <c r="F314" s="25"/>
      <c r="G314" s="17"/>
      <c r="H314" s="19" t="b">
        <f>IF(D315="x",H$2,H$1)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14</v>
      </c>
      <c r="C315" s="121" t="s">
        <v>265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84" t="s">
        <v>14</v>
      </c>
      <c r="C316" s="121" t="s">
        <v>266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14</v>
      </c>
      <c r="C317" s="121" t="s">
        <v>267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28</v>
      </c>
      <c r="C319" s="85" t="s">
        <v>268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14</v>
      </c>
      <c r="C320" s="121" t="s">
        <v>269</v>
      </c>
      <c r="D320" s="102"/>
      <c r="E320" s="105" t="s">
        <v>9</v>
      </c>
      <c r="F320" s="25"/>
      <c r="G320" s="98"/>
      <c r="H320" s="90" t="b">
        <f>IF(D322="x",H$2,H$1)</f>
        <v>0</v>
      </c>
    </row>
    <row r="321" spans="1:40" s="4" customFormat="1" x14ac:dyDescent="0.25">
      <c r="B321" s="84" t="s">
        <v>14</v>
      </c>
      <c r="C321" s="121" t="s">
        <v>270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IF(E$331="comprobar",COUNTIF(D320:D324,"x"),"")</f>
        <v/>
      </c>
    </row>
    <row r="322" spans="1:40" s="4" customFormat="1" x14ac:dyDescent="0.25">
      <c r="B322" s="84" t="s">
        <v>14</v>
      </c>
      <c r="C322" s="121" t="s">
        <v>271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14</v>
      </c>
      <c r="C323" s="121" t="s">
        <v>272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26</v>
      </c>
      <c r="C325" s="85" t="s">
        <v>273</v>
      </c>
      <c r="D325" s="108"/>
      <c r="E325" s="103"/>
      <c r="F325" s="27"/>
      <c r="G325" s="13"/>
      <c r="H325" s="13"/>
    </row>
    <row r="326" spans="1:40" x14ac:dyDescent="0.25">
      <c r="B326" s="84" t="s">
        <v>14</v>
      </c>
      <c r="C326" s="121" t="s">
        <v>274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14</v>
      </c>
      <c r="C327" s="121" t="s">
        <v>275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84" t="s">
        <v>14</v>
      </c>
      <c r="C328" s="121" t="s">
        <v>276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14</v>
      </c>
      <c r="C329" s="121" t="s">
        <v>277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63"/>
      <c r="C331" s="24"/>
      <c r="D331" s="110"/>
      <c r="E331" s="54"/>
      <c r="F331" s="107"/>
      <c r="G331" s="24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109"/>
      <c r="C332" s="8"/>
      <c r="D332" s="110"/>
      <c r="E332" s="77"/>
      <c r="F332" s="111" t="s">
        <v>8</v>
      </c>
      <c r="G332" s="17" t="s">
        <v>6</v>
      </c>
      <c r="H332" s="17" t="s">
        <v>7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9.5" x14ac:dyDescent="0.25">
      <c r="B333" s="44"/>
      <c r="C333" s="41"/>
      <c r="D333" s="40"/>
      <c r="E333" s="112"/>
      <c r="F333" s="29" t="str">
        <f>IF(E$331="comprobar",H328+H322+H316+H310+H304+H298+H292+H286+H280+H273,"")</f>
        <v/>
      </c>
      <c r="G333" s="17">
        <f>20/2</f>
        <v>10</v>
      </c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thickBot="1" x14ac:dyDescent="0.3">
      <c r="B334" s="45"/>
      <c r="C334" s="30"/>
      <c r="D334" s="113"/>
      <c r="E334" s="114"/>
      <c r="F334" s="115" t="str">
        <f>IF(F333&gt;G333,G332,H332)</f>
        <v>APROBADO</v>
      </c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idden="1" x14ac:dyDescent="0.25">
      <c r="B335" s="44"/>
      <c r="C335" s="16"/>
      <c r="D335" s="60"/>
      <c r="E335" s="51"/>
      <c r="F335" s="76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idden="1" x14ac:dyDescent="0.25">
      <c r="B336" s="44"/>
      <c r="C336" s="16"/>
      <c r="D336" s="60"/>
      <c r="E336" s="51"/>
      <c r="F336" s="76"/>
      <c r="G336" s="17"/>
      <c r="H336" s="17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ht="28.5" x14ac:dyDescent="0.45">
      <c r="B337" s="61" t="s">
        <v>94</v>
      </c>
      <c r="C337" s="116" t="s">
        <v>37</v>
      </c>
      <c r="D337" s="81"/>
      <c r="E337" s="81"/>
      <c r="F337" s="8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ht="18.95" customHeight="1" x14ac:dyDescent="0.25">
      <c r="A338" s="4"/>
      <c r="B338" s="120" t="s">
        <v>17</v>
      </c>
      <c r="C338" s="85" t="s">
        <v>278</v>
      </c>
      <c r="D338" s="39"/>
      <c r="E338" s="52"/>
      <c r="F338" s="27"/>
      <c r="G338" s="13"/>
      <c r="H338" s="13"/>
    </row>
    <row r="339" spans="1:40" x14ac:dyDescent="0.25">
      <c r="B339" s="84" t="s">
        <v>14</v>
      </c>
      <c r="C339" s="121" t="s">
        <v>279</v>
      </c>
      <c r="D339" s="38"/>
      <c r="E339" s="53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5.95" customHeight="1" x14ac:dyDescent="0.25">
      <c r="B340" s="84" t="s">
        <v>14</v>
      </c>
      <c r="C340" s="121" t="s">
        <v>280</v>
      </c>
      <c r="D340" s="38"/>
      <c r="E340" s="53" t="s">
        <v>10</v>
      </c>
      <c r="F340" s="20" t="str">
        <f>IF(H341=1,IF(H339=H$2,H339,""),"")</f>
        <v/>
      </c>
      <c r="G340" s="17"/>
      <c r="H340" s="19" t="str">
        <f>IF(E398="comprobar",COUNTIF(D339:D343,"x"),"")</f>
        <v/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ht="18.95" customHeight="1" x14ac:dyDescent="0.25">
      <c r="B341" s="84" t="s">
        <v>14</v>
      </c>
      <c r="C341" s="121" t="s">
        <v>281</v>
      </c>
      <c r="D341" s="38"/>
      <c r="E341" s="53" t="s">
        <v>11</v>
      </c>
      <c r="F341" s="21" t="str">
        <f>IF(H341=-0.33,IF(H339=H$1,H339,""),"")</f>
        <v/>
      </c>
      <c r="G341" s="17"/>
      <c r="H341" s="22">
        <f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4" t="s">
        <v>14</v>
      </c>
      <c r="C342" s="121" t="s">
        <v>282</v>
      </c>
      <c r="D342" s="38"/>
      <c r="E342" s="53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44"/>
      <c r="C343" s="24"/>
      <c r="D343" s="38"/>
      <c r="E343" s="53" t="s">
        <v>13</v>
      </c>
      <c r="F343" s="18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ht="18.95" customHeight="1" x14ac:dyDescent="0.25">
      <c r="A344" s="4"/>
      <c r="B344" s="120" t="s">
        <v>27</v>
      </c>
      <c r="C344" s="85" t="s">
        <v>284</v>
      </c>
      <c r="D344" s="39"/>
      <c r="E344" s="52"/>
      <c r="F344" s="27"/>
      <c r="G344" s="13"/>
      <c r="H344" s="13"/>
    </row>
    <row r="345" spans="1:40" x14ac:dyDescent="0.25">
      <c r="B345" s="84" t="s">
        <v>14</v>
      </c>
      <c r="C345" s="121" t="s">
        <v>283</v>
      </c>
      <c r="D345" s="38"/>
      <c r="E345" s="53" t="s">
        <v>9</v>
      </c>
      <c r="F345" s="25"/>
      <c r="G345" s="17"/>
      <c r="H345" s="19" t="b">
        <f>IF(D347="x",H$2,H$1)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84" t="s">
        <v>14</v>
      </c>
      <c r="C346" s="121" t="s">
        <v>285</v>
      </c>
      <c r="D346" s="38"/>
      <c r="E346" s="53" t="s">
        <v>10</v>
      </c>
      <c r="F346" s="20" t="str">
        <f>IF(H347=1,IF(H345=H$2,H345,""),"")</f>
        <v/>
      </c>
      <c r="G346" s="17"/>
      <c r="H346" s="19" t="str">
        <f>IF(E$398="comprobar",COUNTIF(D345:D349,"x"),"")</f>
        <v/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84" t="s">
        <v>14</v>
      </c>
      <c r="C347" s="121" t="s">
        <v>286</v>
      </c>
      <c r="D347" s="38"/>
      <c r="E347" s="53" t="s">
        <v>11</v>
      </c>
      <c r="F347" s="21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4" t="s">
        <v>14</v>
      </c>
      <c r="C348" s="121" t="s">
        <v>287</v>
      </c>
      <c r="D348" s="38"/>
      <c r="E348" s="53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44"/>
      <c r="C349" s="24"/>
      <c r="D349" s="38"/>
      <c r="E349" s="53" t="s">
        <v>13</v>
      </c>
      <c r="F349" s="18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ht="18.95" customHeight="1" x14ac:dyDescent="0.25">
      <c r="A350" s="4"/>
      <c r="B350" s="120" t="s">
        <v>30</v>
      </c>
      <c r="C350" s="85" t="s">
        <v>719</v>
      </c>
      <c r="D350" s="39"/>
      <c r="E350" s="52"/>
      <c r="F350" s="27"/>
      <c r="G350" s="13"/>
      <c r="H350" s="13"/>
    </row>
    <row r="351" spans="1:40" x14ac:dyDescent="0.25">
      <c r="B351" s="84" t="s">
        <v>14</v>
      </c>
      <c r="C351" s="121" t="s">
        <v>288</v>
      </c>
      <c r="D351" s="38"/>
      <c r="E351" s="53" t="s">
        <v>9</v>
      </c>
      <c r="F351" s="25"/>
      <c r="G351" s="17"/>
      <c r="H351" s="19" t="b">
        <f>IF(D353="x",H$2,H$1)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84" t="s">
        <v>14</v>
      </c>
      <c r="C352" s="121" t="s">
        <v>289</v>
      </c>
      <c r="D352" s="38"/>
      <c r="E352" s="53" t="s">
        <v>10</v>
      </c>
      <c r="F352" s="20" t="str">
        <f>IF(H353=1,IF(H351=H$2,H351,""),"")</f>
        <v/>
      </c>
      <c r="G352" s="17"/>
      <c r="H352" s="19" t="str">
        <f>IF(E$398="comprobar",COUNTIF(D351:D355,"x"),"")</f>
        <v/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84" t="s">
        <v>14</v>
      </c>
      <c r="C353" s="121" t="s">
        <v>290</v>
      </c>
      <c r="D353" s="38"/>
      <c r="E353" s="53" t="s">
        <v>11</v>
      </c>
      <c r="F353" s="21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4" t="s">
        <v>14</v>
      </c>
      <c r="C354" s="121" t="s">
        <v>291</v>
      </c>
      <c r="D354" s="38"/>
      <c r="E354" s="53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44"/>
      <c r="C355" s="24"/>
      <c r="D355" s="38"/>
      <c r="E355" s="53" t="s">
        <v>13</v>
      </c>
      <c r="F355" s="18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ht="15.95" customHeight="1" x14ac:dyDescent="0.25">
      <c r="A356" s="4"/>
      <c r="B356" s="120" t="s">
        <v>19</v>
      </c>
      <c r="C356" s="85" t="s">
        <v>292</v>
      </c>
      <c r="D356" s="39"/>
      <c r="E356" s="52"/>
      <c r="F356" s="27"/>
      <c r="G356" s="13"/>
      <c r="H356" s="13"/>
    </row>
    <row r="357" spans="1:40" x14ac:dyDescent="0.25">
      <c r="B357" s="84" t="s">
        <v>14</v>
      </c>
      <c r="C357" s="121" t="s">
        <v>293</v>
      </c>
      <c r="D357" s="38"/>
      <c r="E357" s="53" t="s">
        <v>9</v>
      </c>
      <c r="F357" s="25"/>
      <c r="G357" s="17"/>
      <c r="H357" s="19" t="b">
        <f>IF(D358="x",H$2,H$1)</f>
        <v>0</v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84" t="s">
        <v>14</v>
      </c>
      <c r="C358" s="121" t="s">
        <v>294</v>
      </c>
      <c r="D358" s="38"/>
      <c r="E358" s="53" t="s">
        <v>10</v>
      </c>
      <c r="F358" s="20" t="str">
        <f>IF(H359=1,IF(H357=H$2,H357,""),"")</f>
        <v/>
      </c>
      <c r="G358" s="17"/>
      <c r="H358" s="19" t="str">
        <f>IF(E$398="comprobar",COUNTIF(D357:D361,"x"),"")</f>
        <v/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84" t="s">
        <v>14</v>
      </c>
      <c r="C359" s="121" t="s">
        <v>295</v>
      </c>
      <c r="D359" s="38"/>
      <c r="E359" s="53" t="s">
        <v>11</v>
      </c>
      <c r="F359" s="21" t="str">
        <f>IF(H359=-0.33,IF(H357=H$1,H357,""),"")</f>
        <v/>
      </c>
      <c r="G359" s="17"/>
      <c r="H359" s="22">
        <f t="shared" ref="H359" si="31">IF(H358=1,IF(H357=H$2,1,-0.33),0)</f>
        <v>0</v>
      </c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x14ac:dyDescent="0.25">
      <c r="B360" s="84" t="s">
        <v>14</v>
      </c>
      <c r="C360" s="121" t="s">
        <v>296</v>
      </c>
      <c r="D360" s="38"/>
      <c r="E360" s="53" t="s">
        <v>12</v>
      </c>
      <c r="F360" s="25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ht="18.75" x14ac:dyDescent="0.25">
      <c r="B361" s="117"/>
      <c r="C361" s="24"/>
      <c r="D361" s="38"/>
      <c r="E361" s="53" t="s">
        <v>13</v>
      </c>
      <c r="F361" s="18"/>
      <c r="G361" s="17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ht="18.95" customHeight="1" x14ac:dyDescent="0.25">
      <c r="A362" s="4"/>
      <c r="B362" s="120" t="s">
        <v>20</v>
      </c>
      <c r="C362" s="85" t="s">
        <v>297</v>
      </c>
      <c r="D362" s="39"/>
      <c r="E362" s="52"/>
      <c r="F362" s="27"/>
      <c r="G362" s="13"/>
      <c r="H362" s="13"/>
    </row>
    <row r="363" spans="1:40" x14ac:dyDescent="0.25">
      <c r="B363" s="84" t="s">
        <v>14</v>
      </c>
      <c r="C363" s="121" t="s">
        <v>298</v>
      </c>
      <c r="D363" s="38"/>
      <c r="E363" s="53" t="s">
        <v>9</v>
      </c>
      <c r="F363" s="25"/>
      <c r="G363" s="17"/>
      <c r="H363" s="19" t="b">
        <f>IF(D363="x",H$2,H$1)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84" t="s">
        <v>14</v>
      </c>
      <c r="C364" s="121" t="s">
        <v>299</v>
      </c>
      <c r="D364" s="38"/>
      <c r="E364" s="53" t="s">
        <v>10</v>
      </c>
      <c r="F364" s="20" t="str">
        <f>IF(H365=1,IF(H363=H$2,H363,""),"")</f>
        <v/>
      </c>
      <c r="G364" s="17"/>
      <c r="H364" s="19" t="str">
        <f>IF(E$398="comprobar",COUNTIF(D363:D367,"x"),"")</f>
        <v/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84" t="s">
        <v>14</v>
      </c>
      <c r="C365" s="121" t="s">
        <v>300</v>
      </c>
      <c r="D365" s="38"/>
      <c r="E365" s="53" t="s">
        <v>11</v>
      </c>
      <c r="F365" s="21" t="str">
        <f>IF(H365=-0.33,IF(H363=H$1,H363,""),"")</f>
        <v/>
      </c>
      <c r="G365" s="17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4" t="s">
        <v>14</v>
      </c>
      <c r="C366" s="121" t="s">
        <v>301</v>
      </c>
      <c r="D366" s="38"/>
      <c r="E366" s="53" t="s">
        <v>12</v>
      </c>
      <c r="F366" s="25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44"/>
      <c r="C367" s="24"/>
      <c r="D367" s="38"/>
      <c r="E367" s="53" t="s">
        <v>13</v>
      </c>
      <c r="F367" s="18"/>
      <c r="G367" s="17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s="15" customFormat="1" ht="18.95" customHeight="1" x14ac:dyDescent="0.25">
      <c r="A368" s="4"/>
      <c r="B368" s="120" t="s">
        <v>31</v>
      </c>
      <c r="C368" s="85" t="s">
        <v>302</v>
      </c>
      <c r="D368" s="39"/>
      <c r="E368" s="52"/>
      <c r="F368" s="27"/>
      <c r="G368" s="13"/>
      <c r="H368" s="13"/>
    </row>
    <row r="369" spans="1:40" x14ac:dyDescent="0.25">
      <c r="B369" s="84" t="s">
        <v>14</v>
      </c>
      <c r="C369" s="121" t="s">
        <v>303</v>
      </c>
      <c r="D369" s="38"/>
      <c r="E369" s="53" t="s">
        <v>9</v>
      </c>
      <c r="F369" s="25"/>
      <c r="G369" s="17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84" t="s">
        <v>14</v>
      </c>
      <c r="C370" s="121" t="s">
        <v>304</v>
      </c>
      <c r="D370" s="38"/>
      <c r="E370" s="53" t="s">
        <v>10</v>
      </c>
      <c r="F370" s="20" t="str">
        <f>IF(H371=1,IF(H369=H$2,H369,""),"")</f>
        <v/>
      </c>
      <c r="G370" s="17"/>
      <c r="H370" s="19" t="str">
        <f>IF(E$398="comprobar",COUNTIF(D369:D373,"x"),"")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84" t="s">
        <v>14</v>
      </c>
      <c r="C371" s="121" t="s">
        <v>305</v>
      </c>
      <c r="D371" s="38"/>
      <c r="E371" s="53" t="s">
        <v>11</v>
      </c>
      <c r="F371" s="21" t="str">
        <f>IF(H371=-0.33,IF(H369=H$1,H369,""),"")</f>
        <v/>
      </c>
      <c r="G371" s="17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84" t="s">
        <v>14</v>
      </c>
      <c r="C372" s="121" t="s">
        <v>43</v>
      </c>
      <c r="D372" s="38"/>
      <c r="E372" s="53" t="s">
        <v>12</v>
      </c>
      <c r="F372" s="25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x14ac:dyDescent="0.25">
      <c r="B373" s="44"/>
      <c r="C373" s="24"/>
      <c r="D373" s="38"/>
      <c r="E373" s="53" t="s">
        <v>13</v>
      </c>
      <c r="F373" s="18"/>
      <c r="G373" s="17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1:40" s="15" customFormat="1" ht="15.95" customHeight="1" x14ac:dyDescent="0.25">
      <c r="A374" s="4"/>
      <c r="B374" s="120" t="s">
        <v>22</v>
      </c>
      <c r="C374" s="85" t="s">
        <v>306</v>
      </c>
      <c r="D374" s="39"/>
      <c r="E374" s="52"/>
      <c r="F374" s="27"/>
      <c r="G374" s="13"/>
      <c r="H374" s="13"/>
    </row>
    <row r="375" spans="1:40" x14ac:dyDescent="0.25">
      <c r="B375" s="84" t="s">
        <v>14</v>
      </c>
      <c r="C375" s="121" t="s">
        <v>307</v>
      </c>
      <c r="D375" s="38"/>
      <c r="E375" s="53" t="s">
        <v>9</v>
      </c>
      <c r="F375" s="25"/>
      <c r="G375" s="17"/>
      <c r="H375" s="19" t="b">
        <f>IF(D375="x",H$2,H$1)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84" t="s">
        <v>14</v>
      </c>
      <c r="C376" s="121" t="s">
        <v>308</v>
      </c>
      <c r="D376" s="38"/>
      <c r="E376" s="53" t="s">
        <v>10</v>
      </c>
      <c r="F376" s="20" t="str">
        <f>IF(H377=1,IF(H375=H$2,H375,""),"")</f>
        <v/>
      </c>
      <c r="G376" s="17"/>
      <c r="H376" s="19" t="str">
        <f>IF(E$398="comprobar",COUNTIF(D375:D379,"x"),"")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84" t="s">
        <v>14</v>
      </c>
      <c r="C377" s="121" t="s">
        <v>309</v>
      </c>
      <c r="D377" s="38"/>
      <c r="E377" s="53" t="s">
        <v>11</v>
      </c>
      <c r="F377" s="21" t="str">
        <f>IF(H377=-0.33,IF(H375=H$1,H375,""),"")</f>
        <v/>
      </c>
      <c r="G377" s="17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84" t="s">
        <v>14</v>
      </c>
      <c r="C378" s="121" t="s">
        <v>310</v>
      </c>
      <c r="D378" s="38"/>
      <c r="E378" s="53" t="s">
        <v>12</v>
      </c>
      <c r="F378" s="25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x14ac:dyDescent="0.25">
      <c r="B379" s="44"/>
      <c r="C379" s="24"/>
      <c r="D379" s="38"/>
      <c r="E379" s="53" t="s">
        <v>13</v>
      </c>
      <c r="F379" s="18"/>
      <c r="G379" s="17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1:40" s="15" customFormat="1" ht="18.95" customHeight="1" x14ac:dyDescent="0.25">
      <c r="A380" s="4"/>
      <c r="B380" s="120" t="s">
        <v>29</v>
      </c>
      <c r="C380" s="85" t="s">
        <v>311</v>
      </c>
      <c r="D380" s="39"/>
      <c r="E380" s="52"/>
      <c r="F380" s="27"/>
      <c r="G380" s="13"/>
      <c r="H380" s="13"/>
    </row>
    <row r="381" spans="1:40" x14ac:dyDescent="0.25">
      <c r="B381" s="84" t="s">
        <v>14</v>
      </c>
      <c r="C381" s="121" t="s">
        <v>312</v>
      </c>
      <c r="D381" s="38"/>
      <c r="E381" s="53" t="s">
        <v>9</v>
      </c>
      <c r="F381" s="25"/>
      <c r="G381" s="17"/>
      <c r="H381" s="19" t="b">
        <f>IF(D382="x",H$2,H$1)</f>
        <v>0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84" t="s">
        <v>14</v>
      </c>
      <c r="C382" s="121" t="s">
        <v>313</v>
      </c>
      <c r="D382" s="38"/>
      <c r="E382" s="53" t="s">
        <v>10</v>
      </c>
      <c r="F382" s="20" t="str">
        <f>IF(H383=1,IF(H381=H$2,H381,""),"")</f>
        <v/>
      </c>
      <c r="G382" s="17"/>
      <c r="H382" s="19" t="str">
        <f>IF(E$398="comprobar",COUNTIF(D381:D385,"x"),"")</f>
        <v/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84" t="s">
        <v>14</v>
      </c>
      <c r="C383" s="121" t="s">
        <v>314</v>
      </c>
      <c r="D383" s="38"/>
      <c r="E383" s="53" t="s">
        <v>11</v>
      </c>
      <c r="F383" s="21" t="str">
        <f>IF(H383=-0.33,IF(H381=H$1,H381,""),"")</f>
        <v/>
      </c>
      <c r="G383" s="17"/>
      <c r="H383" s="22">
        <f t="shared" ref="H383" si="35">IF(H382=1,IF(H381=H$2,1,-0.33),0)</f>
        <v>0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84" t="s">
        <v>14</v>
      </c>
      <c r="C384" s="121" t="s">
        <v>315</v>
      </c>
      <c r="D384" s="38"/>
      <c r="E384" s="53" t="s">
        <v>12</v>
      </c>
      <c r="F384" s="25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44"/>
      <c r="C385" s="24"/>
      <c r="D385" s="38"/>
      <c r="E385" s="53" t="s">
        <v>13</v>
      </c>
      <c r="F385" s="18"/>
      <c r="G385" s="17"/>
      <c r="H385" s="22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s="15" customFormat="1" ht="18.95" customHeight="1" x14ac:dyDescent="0.25">
      <c r="A386" s="4"/>
      <c r="B386" s="120" t="s">
        <v>28</v>
      </c>
      <c r="C386" s="85" t="s">
        <v>721</v>
      </c>
      <c r="D386" s="39"/>
      <c r="E386" s="52"/>
      <c r="F386" s="27"/>
      <c r="G386" s="13"/>
      <c r="H386" s="13"/>
    </row>
    <row r="387" spans="1:40" x14ac:dyDescent="0.25">
      <c r="B387" s="84" t="s">
        <v>14</v>
      </c>
      <c r="C387" s="121" t="s">
        <v>316</v>
      </c>
      <c r="D387" s="38"/>
      <c r="E387" s="53" t="s">
        <v>9</v>
      </c>
      <c r="F387" s="25"/>
      <c r="G387" s="17"/>
      <c r="H387" s="19" t="b">
        <f>IF(D389="x",H$2,H$1)</f>
        <v>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14</v>
      </c>
      <c r="C388" s="121" t="s">
        <v>317</v>
      </c>
      <c r="D388" s="38"/>
      <c r="E388" s="53" t="s">
        <v>10</v>
      </c>
      <c r="F388" s="20" t="str">
        <f>IF(H389=1,IF(H387=H$2,H387,""),"")</f>
        <v/>
      </c>
      <c r="G388" s="17"/>
      <c r="H388" s="19" t="str">
        <f>IF(E$398="comprobar",COUNTIF(D387:D391,"x"),"")</f>
        <v/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14</v>
      </c>
      <c r="C389" s="121" t="s">
        <v>318</v>
      </c>
      <c r="D389" s="38"/>
      <c r="E389" s="53" t="s">
        <v>11</v>
      </c>
      <c r="F389" s="21" t="str">
        <f>IF(H389=-0.33,IF(H387=H$1,H387,""),"")</f>
        <v/>
      </c>
      <c r="G389" s="17"/>
      <c r="H389" s="22">
        <f t="shared" ref="H389" si="36">IF(H388=1,IF(H387=H$2,1,-0.33),0)</f>
        <v>0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84" t="s">
        <v>14</v>
      </c>
      <c r="C390" s="121" t="s">
        <v>282</v>
      </c>
      <c r="D390" s="38"/>
      <c r="E390" s="53" t="s">
        <v>12</v>
      </c>
      <c r="F390" s="25"/>
      <c r="G390" s="17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s="34" customFormat="1" x14ac:dyDescent="0.25">
      <c r="A391" s="4"/>
      <c r="B391" s="118"/>
      <c r="C391" s="24"/>
      <c r="D391" s="38"/>
      <c r="E391" s="53" t="s">
        <v>13</v>
      </c>
      <c r="F391" s="18"/>
      <c r="G391" s="17"/>
      <c r="H391" s="22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  <c r="AK391" s="49"/>
      <c r="AL391" s="49"/>
      <c r="AM391" s="49"/>
      <c r="AN391" s="49"/>
    </row>
    <row r="392" spans="1:40" s="15" customFormat="1" ht="18.95" customHeight="1" x14ac:dyDescent="0.25">
      <c r="A392" s="4"/>
      <c r="B392" s="120" t="s">
        <v>26</v>
      </c>
      <c r="C392" s="85" t="s">
        <v>319</v>
      </c>
      <c r="D392" s="79"/>
      <c r="E392" s="52"/>
      <c r="F392" s="27"/>
      <c r="G392" s="26"/>
      <c r="H392" s="13"/>
    </row>
    <row r="393" spans="1:40" x14ac:dyDescent="0.25">
      <c r="B393" s="84" t="s">
        <v>14</v>
      </c>
      <c r="C393" s="121" t="s">
        <v>320</v>
      </c>
      <c r="D393" s="38"/>
      <c r="E393" s="53" t="s">
        <v>9</v>
      </c>
      <c r="F393" s="25"/>
      <c r="G393" s="24"/>
      <c r="H393" s="19" t="b">
        <f>IF(D394="x",H$2,H$1)</f>
        <v>0</v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84" t="s">
        <v>14</v>
      </c>
      <c r="C394" s="121" t="s">
        <v>321</v>
      </c>
      <c r="D394" s="38"/>
      <c r="E394" s="53" t="s">
        <v>10</v>
      </c>
      <c r="F394" s="20" t="str">
        <f>IF(H395=1,IF(H393=H$2,H393,""),"")</f>
        <v/>
      </c>
      <c r="G394" s="24"/>
      <c r="H394" s="19" t="str">
        <f>IF(E$398="comprobar",COUNTIF(D393:D397,"x"),"")</f>
        <v/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4" t="s">
        <v>14</v>
      </c>
      <c r="C395" s="121" t="s">
        <v>322</v>
      </c>
      <c r="D395" s="38"/>
      <c r="E395" s="53" t="s">
        <v>11</v>
      </c>
      <c r="F395" s="21" t="str">
        <f>IF(H395=-0.33,IF(H393=H$1,H393,""),"")</f>
        <v/>
      </c>
      <c r="G395" s="24"/>
      <c r="H395" s="22">
        <f>IF(H394=1,IF(H393=H$2,1,-0.33),0)</f>
        <v>0</v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4" t="s">
        <v>14</v>
      </c>
      <c r="C396" s="121" t="s">
        <v>323</v>
      </c>
      <c r="D396" s="38"/>
      <c r="E396" s="53" t="s">
        <v>12</v>
      </c>
      <c r="F396" s="25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18.75" x14ac:dyDescent="0.25">
      <c r="B397" s="117"/>
      <c r="C397" s="24"/>
      <c r="D397" s="38"/>
      <c r="E397" s="53" t="s">
        <v>13</v>
      </c>
      <c r="F397" s="18"/>
      <c r="G397" s="24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41"/>
      <c r="D398" s="48"/>
      <c r="E398" s="54"/>
      <c r="F398" s="18"/>
      <c r="G398" s="17"/>
      <c r="H398" s="17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x14ac:dyDescent="0.25">
      <c r="B399" s="44"/>
      <c r="C399" s="16"/>
      <c r="D399" s="48"/>
      <c r="E399" s="57"/>
      <c r="F399" s="28" t="s">
        <v>8</v>
      </c>
      <c r="G399" s="17" t="s">
        <v>6</v>
      </c>
      <c r="H399" s="17" t="s">
        <v>7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9.5" x14ac:dyDescent="0.25">
      <c r="B400" s="44"/>
      <c r="C400" s="16"/>
      <c r="D400" s="80"/>
      <c r="E400" s="51"/>
      <c r="F400" s="29" t="str">
        <f>IF(E$398="comprobar",H395+H389+H383+H377+H371+H365+H359+H353+H347+H341,"")</f>
        <v/>
      </c>
      <c r="G400" s="17">
        <f>10/2</f>
        <v>5</v>
      </c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6.5" thickBot="1" x14ac:dyDescent="0.3">
      <c r="B401" s="45"/>
      <c r="C401" s="30"/>
      <c r="D401" s="31"/>
      <c r="E401" s="55"/>
      <c r="F401" s="32" t="str">
        <f>IF(F400&gt;G400,G399,H399)</f>
        <v>APROBADO</v>
      </c>
      <c r="G401" s="17"/>
      <c r="H401" s="17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ht="28.5" x14ac:dyDescent="0.45">
      <c r="B402" s="61" t="s">
        <v>32</v>
      </c>
      <c r="C402" s="116" t="s">
        <v>38</v>
      </c>
      <c r="D402" s="81"/>
      <c r="E402" s="81"/>
      <c r="F402" s="8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s="15" customFormat="1" ht="18.95" customHeight="1" x14ac:dyDescent="0.25">
      <c r="A403" s="4"/>
      <c r="B403" s="120" t="s">
        <v>17</v>
      </c>
      <c r="C403" s="85" t="s">
        <v>720</v>
      </c>
      <c r="D403" s="39"/>
      <c r="E403" s="52"/>
      <c r="F403" s="27"/>
      <c r="G403" s="13"/>
      <c r="H403" s="13"/>
    </row>
    <row r="404" spans="1:40" x14ac:dyDescent="0.25">
      <c r="B404" s="84" t="s">
        <v>14</v>
      </c>
      <c r="C404" s="121" t="s">
        <v>324</v>
      </c>
      <c r="D404" s="38"/>
      <c r="E404" s="53" t="s">
        <v>9</v>
      </c>
      <c r="F404" s="25"/>
      <c r="G404" s="24"/>
      <c r="H404" s="19" t="b">
        <f>IF(D407="x",H$2,H$1)</f>
        <v>0</v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x14ac:dyDescent="0.25">
      <c r="B405" s="84" t="s">
        <v>14</v>
      </c>
      <c r="C405" s="121" t="s">
        <v>325</v>
      </c>
      <c r="D405" s="38"/>
      <c r="E405" s="53" t="s">
        <v>10</v>
      </c>
      <c r="F405" s="20" t="str">
        <f>IF(H406=1,IF(H404=H$2,H404,""),"")</f>
        <v/>
      </c>
      <c r="G405" s="24"/>
      <c r="H405" s="19" t="str">
        <f>IF(E$463="comprobar",COUNTIF(D404:D408,"x"),"")</f>
        <v/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14</v>
      </c>
      <c r="C406" s="121" t="s">
        <v>326</v>
      </c>
      <c r="D406" s="38"/>
      <c r="E406" s="53" t="s">
        <v>11</v>
      </c>
      <c r="F406" s="21" t="str">
        <f>IF(H406=-0.33,IF(H404=H$1,H404,""),"")</f>
        <v/>
      </c>
      <c r="G406" s="24"/>
      <c r="H406" s="22">
        <f>IF(H405=1,IF(H404=H$2,1,-0.33),0)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14</v>
      </c>
      <c r="C407" s="121" t="s">
        <v>327</v>
      </c>
      <c r="D407" s="38"/>
      <c r="E407" s="53" t="s">
        <v>12</v>
      </c>
      <c r="F407" s="25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63"/>
      <c r="C408" s="24"/>
      <c r="D408" s="38"/>
      <c r="E408" s="53" t="s">
        <v>13</v>
      </c>
      <c r="F408" s="18"/>
      <c r="G408" s="24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s="15" customFormat="1" ht="18.95" customHeight="1" x14ac:dyDescent="0.25">
      <c r="A409" s="4"/>
      <c r="B409" s="120" t="s">
        <v>16</v>
      </c>
      <c r="C409" s="85" t="s">
        <v>722</v>
      </c>
      <c r="D409" s="39"/>
      <c r="E409" s="52"/>
      <c r="F409" s="78"/>
      <c r="G409" s="13"/>
      <c r="H409" s="13"/>
    </row>
    <row r="410" spans="1:40" x14ac:dyDescent="0.25">
      <c r="B410" s="84" t="s">
        <v>14</v>
      </c>
      <c r="C410" s="121" t="s">
        <v>328</v>
      </c>
      <c r="D410" s="38"/>
      <c r="E410" s="53" t="s">
        <v>9</v>
      </c>
      <c r="F410" s="25"/>
      <c r="G410" s="24"/>
      <c r="H410" s="19" t="b">
        <f>IF(D410="x",H$2,H$1)</f>
        <v>0</v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x14ac:dyDescent="0.25">
      <c r="B411" s="84" t="s">
        <v>14</v>
      </c>
      <c r="C411" s="121" t="s">
        <v>329</v>
      </c>
      <c r="D411" s="38"/>
      <c r="E411" s="53" t="s">
        <v>10</v>
      </c>
      <c r="F411" s="20" t="str">
        <f>IF(H412=1,IF(H410=H$2,H410,""),"")</f>
        <v/>
      </c>
      <c r="G411" s="24"/>
      <c r="H411" s="19" t="str">
        <f>IF(E$463="comprobar",COUNTIF(D410:D414,"x"),"")</f>
        <v/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14</v>
      </c>
      <c r="C412" s="121" t="s">
        <v>330</v>
      </c>
      <c r="D412" s="38"/>
      <c r="E412" s="53" t="s">
        <v>11</v>
      </c>
      <c r="F412" s="21" t="str">
        <f>IF(H412=-0.33,IF(H410=H$1,H410,""),"")</f>
        <v/>
      </c>
      <c r="G412" s="24"/>
      <c r="H412" s="22">
        <f>IF(H411=1,IF(H410=H$2,1,-0.33),0)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14</v>
      </c>
      <c r="C413" s="121" t="s">
        <v>331</v>
      </c>
      <c r="D413" s="38"/>
      <c r="E413" s="53" t="s">
        <v>12</v>
      </c>
      <c r="F413" s="25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63"/>
      <c r="C414" s="24"/>
      <c r="D414" s="38"/>
      <c r="E414" s="53" t="s">
        <v>13</v>
      </c>
      <c r="F414" s="18"/>
      <c r="G414" s="24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s="15" customFormat="1" ht="18.95" customHeight="1" x14ac:dyDescent="0.25">
      <c r="A415" s="4"/>
      <c r="B415" s="120" t="s">
        <v>18</v>
      </c>
      <c r="C415" s="85" t="s">
        <v>332</v>
      </c>
      <c r="D415" s="79"/>
      <c r="E415" s="52"/>
      <c r="F415" s="27"/>
      <c r="G415" s="13"/>
      <c r="H415" s="13"/>
    </row>
    <row r="416" spans="1:40" x14ac:dyDescent="0.25">
      <c r="B416" s="84" t="s">
        <v>14</v>
      </c>
      <c r="C416" s="121" t="s">
        <v>333</v>
      </c>
      <c r="D416" s="38"/>
      <c r="E416" s="53" t="s">
        <v>9</v>
      </c>
      <c r="F416" s="25"/>
      <c r="G416" s="24"/>
      <c r="H416" s="19" t="b">
        <f>IF(D418="x",H$2,H$1)</f>
        <v>0</v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x14ac:dyDescent="0.25">
      <c r="B417" s="84" t="s">
        <v>14</v>
      </c>
      <c r="C417" s="121" t="s">
        <v>334</v>
      </c>
      <c r="D417" s="38"/>
      <c r="E417" s="53" t="s">
        <v>10</v>
      </c>
      <c r="F417" s="20" t="str">
        <f>IF(H418=1,IF(H416=H$2,H416,""),"")</f>
        <v/>
      </c>
      <c r="G417" s="24"/>
      <c r="H417" s="19" t="str">
        <f>IF(E$463="comprobar",COUNTIF(D416:D420,"x"),"")</f>
        <v/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14</v>
      </c>
      <c r="C418" s="121" t="s">
        <v>335</v>
      </c>
      <c r="D418" s="38"/>
      <c r="E418" s="53" t="s">
        <v>11</v>
      </c>
      <c r="F418" s="21" t="str">
        <f>IF(H418=-0.33,IF(H416=H$1,H416,""),"")</f>
        <v/>
      </c>
      <c r="G418" s="24"/>
      <c r="H418" s="22">
        <f>IF(H417=1,IF(H416=H$2,1,-0.33),0)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14</v>
      </c>
      <c r="C419" s="121" t="s">
        <v>336</v>
      </c>
      <c r="D419" s="38"/>
      <c r="E419" s="53" t="s">
        <v>12</v>
      </c>
      <c r="F419" s="25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63"/>
      <c r="C420" s="24"/>
      <c r="D420" s="38"/>
      <c r="E420" s="53" t="s">
        <v>13</v>
      </c>
      <c r="F420" s="18"/>
      <c r="G420" s="24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s="15" customFormat="1" ht="18.95" customHeight="1" x14ac:dyDescent="0.25">
      <c r="A421" s="4"/>
      <c r="B421" s="120" t="s">
        <v>19</v>
      </c>
      <c r="C421" s="85" t="s">
        <v>723</v>
      </c>
      <c r="D421" s="79"/>
      <c r="E421" s="52"/>
      <c r="F421" s="27"/>
      <c r="G421" s="13"/>
      <c r="H421" s="13"/>
    </row>
    <row r="422" spans="1:40" x14ac:dyDescent="0.25">
      <c r="B422" s="84" t="s">
        <v>14</v>
      </c>
      <c r="C422" s="121" t="s">
        <v>337</v>
      </c>
      <c r="D422" s="38"/>
      <c r="E422" s="53" t="s">
        <v>9</v>
      </c>
      <c r="F422" s="25"/>
      <c r="G422" s="24"/>
      <c r="H422" s="19" t="b">
        <f>IF(D423="x",H$2,H$1)</f>
        <v>0</v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x14ac:dyDescent="0.25">
      <c r="B423" s="84" t="s">
        <v>14</v>
      </c>
      <c r="C423" s="121" t="s">
        <v>338</v>
      </c>
      <c r="D423" s="38"/>
      <c r="E423" s="53" t="s">
        <v>10</v>
      </c>
      <c r="F423" s="20" t="str">
        <f>IF(H424=1,IF(H422=H$2,H422,""),"")</f>
        <v/>
      </c>
      <c r="G423" s="24"/>
      <c r="H423" s="19" t="str">
        <f>IF(E$463="comprobar",COUNTIF(D422:D426,"x"),"")</f>
        <v/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14</v>
      </c>
      <c r="C424" s="121" t="s">
        <v>339</v>
      </c>
      <c r="D424" s="38"/>
      <c r="E424" s="53" t="s">
        <v>11</v>
      </c>
      <c r="F424" s="21" t="str">
        <f>IF(H424=-0.33,IF(H422=H$1,H422,""),"")</f>
        <v/>
      </c>
      <c r="G424" s="24"/>
      <c r="H424" s="22">
        <f>IF(H423=1,IF(H422=H$2,1,-0.33),0)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14</v>
      </c>
      <c r="C425" s="121" t="s">
        <v>340</v>
      </c>
      <c r="D425" s="38"/>
      <c r="E425" s="53" t="s">
        <v>12</v>
      </c>
      <c r="F425" s="25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63"/>
      <c r="C426" s="24"/>
      <c r="D426" s="38"/>
      <c r="E426" s="53" t="s">
        <v>13</v>
      </c>
      <c r="F426" s="18"/>
      <c r="G426" s="24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s="15" customFormat="1" x14ac:dyDescent="0.25">
      <c r="A427" s="4"/>
      <c r="B427" s="120" t="s">
        <v>20</v>
      </c>
      <c r="C427" s="85" t="s">
        <v>724</v>
      </c>
      <c r="D427" s="100"/>
      <c r="E427" s="52"/>
      <c r="F427" s="27"/>
      <c r="G427" s="13"/>
      <c r="H427" s="13"/>
    </row>
    <row r="428" spans="1:40" x14ac:dyDescent="0.25">
      <c r="B428" s="84" t="s">
        <v>14</v>
      </c>
      <c r="C428" s="121" t="s">
        <v>341</v>
      </c>
      <c r="D428" s="38"/>
      <c r="E428" s="53" t="s">
        <v>9</v>
      </c>
      <c r="F428" s="25"/>
      <c r="G428" s="24"/>
      <c r="H428" s="19" t="b">
        <f>IF(D430="x",H$2,H$1)</f>
        <v>0</v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6.5" customHeight="1" x14ac:dyDescent="0.25">
      <c r="B429" s="84" t="s">
        <v>14</v>
      </c>
      <c r="C429" s="132" t="s">
        <v>342</v>
      </c>
      <c r="D429" s="38"/>
      <c r="E429" s="53" t="s">
        <v>10</v>
      </c>
      <c r="F429" s="20" t="str">
        <f>IF(H430=1,IF(H428=H$2,H428,""),"")</f>
        <v/>
      </c>
      <c r="G429" s="24"/>
      <c r="H429" s="19" t="str">
        <f>IF(E$463="comprobar",COUNTIF(D428:D432,"x"),"")</f>
        <v/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14</v>
      </c>
      <c r="C430" s="121" t="s">
        <v>343</v>
      </c>
      <c r="D430" s="38"/>
      <c r="E430" s="53" t="s">
        <v>11</v>
      </c>
      <c r="F430" s="21" t="str">
        <f>IF(H430=-0.33,IF(H428=H$1,H428,""),"")</f>
        <v/>
      </c>
      <c r="G430" s="24"/>
      <c r="H430" s="22">
        <f>IF(H429=1,IF(H428=H$2,1,-0.33),0)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14</v>
      </c>
      <c r="C431" s="121" t="s">
        <v>344</v>
      </c>
      <c r="D431" s="38"/>
      <c r="E431" s="53" t="s">
        <v>12</v>
      </c>
      <c r="F431" s="25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63"/>
      <c r="C432" s="24"/>
      <c r="D432" s="38"/>
      <c r="E432" s="53" t="s">
        <v>13</v>
      </c>
      <c r="F432" s="18"/>
      <c r="G432" s="24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s="15" customFormat="1" x14ac:dyDescent="0.25">
      <c r="A433" s="4"/>
      <c r="B433" s="120" t="s">
        <v>21</v>
      </c>
      <c r="C433" s="85" t="s">
        <v>725</v>
      </c>
      <c r="D433" s="100"/>
      <c r="E433" s="52"/>
      <c r="F433" s="27"/>
      <c r="G433" s="13"/>
      <c r="H433" s="13"/>
    </row>
    <row r="434" spans="1:40" x14ac:dyDescent="0.25">
      <c r="B434" s="84" t="s">
        <v>14</v>
      </c>
      <c r="C434" s="121" t="s">
        <v>345</v>
      </c>
      <c r="D434" s="38"/>
      <c r="E434" s="53"/>
      <c r="F434" s="25"/>
      <c r="G434" s="24"/>
      <c r="H434" s="19" t="b">
        <f>IF(D435="x",H$2,H$1)</f>
        <v>0</v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x14ac:dyDescent="0.25">
      <c r="B435" s="84" t="s">
        <v>14</v>
      </c>
      <c r="C435" s="121" t="s">
        <v>346</v>
      </c>
      <c r="D435" s="38"/>
      <c r="E435" s="53" t="s">
        <v>10</v>
      </c>
      <c r="F435" s="20" t="str">
        <f>IF(H436=1,IF(H434=H$2,H434,""),"")</f>
        <v/>
      </c>
      <c r="G435" s="24"/>
      <c r="H435" s="19" t="str">
        <f>IF(E$463="comprobar",COUNTIF(D434:D438,"x"),"")</f>
        <v/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14</v>
      </c>
      <c r="C436" s="121" t="s">
        <v>347</v>
      </c>
      <c r="D436" s="38"/>
      <c r="E436" s="53" t="s">
        <v>11</v>
      </c>
      <c r="F436" s="21" t="str">
        <f>IF(H436=-0.33,IF(H434=H$1,H434,""),"")</f>
        <v/>
      </c>
      <c r="G436" s="24"/>
      <c r="H436" s="22">
        <f>IF(H435=1,IF(H434=H$2,1,-0.33),0)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14</v>
      </c>
      <c r="C437" s="121" t="s">
        <v>348</v>
      </c>
      <c r="D437" s="38"/>
      <c r="E437" s="53" t="s">
        <v>12</v>
      </c>
      <c r="F437" s="25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63"/>
      <c r="C438" s="24"/>
      <c r="D438" s="38"/>
      <c r="E438" s="53" t="s">
        <v>13</v>
      </c>
      <c r="F438" s="18"/>
      <c r="G438" s="24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s="15" customFormat="1" x14ac:dyDescent="0.25">
      <c r="A439" s="4"/>
      <c r="B439" s="120" t="s">
        <v>22</v>
      </c>
      <c r="C439" s="85" t="s">
        <v>349</v>
      </c>
      <c r="D439" s="100"/>
      <c r="E439" s="52"/>
      <c r="F439" s="27"/>
      <c r="G439" s="13"/>
      <c r="H439" s="13"/>
    </row>
    <row r="440" spans="1:40" x14ac:dyDescent="0.25">
      <c r="B440" s="84" t="s">
        <v>14</v>
      </c>
      <c r="C440" s="121" t="s">
        <v>350</v>
      </c>
      <c r="D440" s="38"/>
      <c r="E440" s="53" t="s">
        <v>9</v>
      </c>
      <c r="F440" s="25"/>
      <c r="G440" s="24"/>
      <c r="H440" s="19" t="b">
        <f>IF(D440="x",H$2,H$1)</f>
        <v>0</v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x14ac:dyDescent="0.25">
      <c r="B441" s="84" t="s">
        <v>14</v>
      </c>
      <c r="C441" s="121" t="s">
        <v>351</v>
      </c>
      <c r="D441" s="38"/>
      <c r="E441" s="53" t="s">
        <v>10</v>
      </c>
      <c r="F441" s="20" t="str">
        <f>IF(H442=1,IF(H440=H$2,H440,""),"")</f>
        <v/>
      </c>
      <c r="G441" s="24"/>
      <c r="H441" s="19" t="str">
        <f>IF(E$463="comprobar",COUNTIF(D440:D444,"x"),"")</f>
        <v/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14</v>
      </c>
      <c r="C442" s="121" t="s">
        <v>352</v>
      </c>
      <c r="D442" s="38"/>
      <c r="E442" s="53" t="s">
        <v>11</v>
      </c>
      <c r="F442" s="21" t="str">
        <f>IF(H442=-0.33,IF(H440=H$1,H440,""),"")</f>
        <v/>
      </c>
      <c r="G442" s="24"/>
      <c r="H442" s="22">
        <f>IF(H441=1,IF(H440=H$2,1,-0.33),0)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14</v>
      </c>
      <c r="C443" s="121" t="s">
        <v>353</v>
      </c>
      <c r="D443" s="38"/>
      <c r="E443" s="53" t="s">
        <v>12</v>
      </c>
      <c r="F443" s="25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63"/>
      <c r="C444" s="24"/>
      <c r="D444" s="38"/>
      <c r="E444" s="53" t="s">
        <v>13</v>
      </c>
      <c r="F444" s="18"/>
      <c r="G444" s="24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s="15" customFormat="1" x14ac:dyDescent="0.25">
      <c r="A445" s="4"/>
      <c r="B445" s="120" t="s">
        <v>23</v>
      </c>
      <c r="C445" s="85" t="s">
        <v>354</v>
      </c>
      <c r="D445" s="100"/>
      <c r="E445" s="52"/>
      <c r="F445" s="27"/>
      <c r="G445" s="13"/>
      <c r="H445" s="13"/>
    </row>
    <row r="446" spans="1:40" x14ac:dyDescent="0.25">
      <c r="B446" s="84" t="s">
        <v>14</v>
      </c>
      <c r="C446" s="132" t="b">
        <v>1</v>
      </c>
      <c r="D446" s="38"/>
      <c r="E446" s="53" t="s">
        <v>9</v>
      </c>
      <c r="F446" s="25"/>
      <c r="G446" s="24"/>
      <c r="H446" s="19" t="b">
        <f>IF(D446="x",H$2,H$1)</f>
        <v>0</v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84" t="s">
        <v>14</v>
      </c>
      <c r="C447" s="132" t="b">
        <v>0</v>
      </c>
      <c r="D447" s="38"/>
      <c r="E447" s="53" t="s">
        <v>10</v>
      </c>
      <c r="F447" s="20" t="str">
        <f>IF(H448=1,IF(H446=H$2,H446,""),"")</f>
        <v/>
      </c>
      <c r="G447" s="24"/>
      <c r="H447" s="19" t="str">
        <f>IF(E$463="comprobar",COUNTIF(D446:D450,"x"),"")</f>
        <v/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14</v>
      </c>
      <c r="C448" s="121"/>
      <c r="D448" s="38"/>
      <c r="E448" s="53" t="s">
        <v>11</v>
      </c>
      <c r="F448" s="21" t="str">
        <f>IF(H448=-0.33,IF(H446=H$1,H446,""),"")</f>
        <v/>
      </c>
      <c r="G448" s="24"/>
      <c r="H448" s="22">
        <f>IF(H447=1,IF(H446=H$2,1,-0.33),0)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14</v>
      </c>
      <c r="C449" s="121"/>
      <c r="D449" s="38"/>
      <c r="E449" s="53" t="s">
        <v>12</v>
      </c>
      <c r="F449" s="25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63"/>
      <c r="C450" s="24"/>
      <c r="D450" s="38"/>
      <c r="E450" s="53" t="s">
        <v>13</v>
      </c>
      <c r="F450" s="18"/>
      <c r="G450" s="24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15" customFormat="1" x14ac:dyDescent="0.25">
      <c r="A451" s="4"/>
      <c r="B451" s="120" t="s">
        <v>28</v>
      </c>
      <c r="C451" s="85" t="s">
        <v>724</v>
      </c>
      <c r="D451" s="100"/>
      <c r="E451" s="52"/>
      <c r="F451" s="27"/>
      <c r="G451" s="13"/>
      <c r="H451" s="13"/>
    </row>
    <row r="452" spans="1:40" x14ac:dyDescent="0.25">
      <c r="B452" s="84" t="s">
        <v>14</v>
      </c>
      <c r="C452" s="121" t="s">
        <v>355</v>
      </c>
      <c r="D452" s="38"/>
      <c r="E452" s="53" t="s">
        <v>9</v>
      </c>
      <c r="F452" s="25"/>
      <c r="G452" s="24"/>
      <c r="H452" s="19" t="b">
        <f>IF(D453="x",H$2,H$1)</f>
        <v>0</v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84" t="s">
        <v>14</v>
      </c>
      <c r="C453" s="121" t="s">
        <v>356</v>
      </c>
      <c r="D453" s="38"/>
      <c r="E453" s="53" t="s">
        <v>10</v>
      </c>
      <c r="F453" s="20" t="str">
        <f>IF(H454=1,IF(H452=H$2,H452,""),"")</f>
        <v/>
      </c>
      <c r="G453" s="24"/>
      <c r="H453" s="19" t="str">
        <f>IF(E$463="comprobar",COUNTIF(D452:D456,"x"),"")</f>
        <v/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14</v>
      </c>
      <c r="C454" s="121" t="s">
        <v>357</v>
      </c>
      <c r="D454" s="38"/>
      <c r="E454" s="53" t="s">
        <v>11</v>
      </c>
      <c r="F454" s="21" t="str">
        <f>IF(H454=-0.33,IF(H452=H$1,H452,""),"")</f>
        <v/>
      </c>
      <c r="G454" s="24"/>
      <c r="H454" s="22">
        <f>IF(H453=1,IF(H452=H$2,1,-0.33),0)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14</v>
      </c>
      <c r="C455" s="121" t="s">
        <v>358</v>
      </c>
      <c r="D455" s="38"/>
      <c r="E455" s="53" t="s">
        <v>12</v>
      </c>
      <c r="F455" s="25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63"/>
      <c r="C456" s="24"/>
      <c r="D456" s="38"/>
      <c r="E456" s="53" t="s">
        <v>13</v>
      </c>
      <c r="F456" s="18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s="15" customFormat="1" x14ac:dyDescent="0.25">
      <c r="A457" s="4"/>
      <c r="B457" s="120" t="s">
        <v>26</v>
      </c>
      <c r="C457" s="85" t="s">
        <v>359</v>
      </c>
      <c r="D457" s="100"/>
      <c r="E457" s="52"/>
      <c r="F457" s="27"/>
      <c r="G457" s="13"/>
      <c r="H457" s="13"/>
    </row>
    <row r="458" spans="1:40" x14ac:dyDescent="0.25">
      <c r="B458" s="84" t="s">
        <v>14</v>
      </c>
      <c r="C458" s="121" t="s">
        <v>360</v>
      </c>
      <c r="D458" s="38"/>
      <c r="E458" s="53" t="s">
        <v>9</v>
      </c>
      <c r="F458" s="25"/>
      <c r="G458" s="24"/>
      <c r="H458" s="19" t="b">
        <f>IF(D461="x",H$2,H$1)</f>
        <v>0</v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84" t="s">
        <v>14</v>
      </c>
      <c r="C459" s="121" t="s">
        <v>361</v>
      </c>
      <c r="D459" s="38"/>
      <c r="E459" s="53" t="s">
        <v>10</v>
      </c>
      <c r="F459" s="20" t="str">
        <f>IF(H460=1,IF(H458=H$2,H458,""),"")</f>
        <v/>
      </c>
      <c r="G459" s="24"/>
      <c r="H459" s="19" t="str">
        <f>IF(E$463="comprobar",COUNTIF(D458:D462,"x"),"")</f>
        <v/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84" t="s">
        <v>14</v>
      </c>
      <c r="C460" s="121" t="s">
        <v>362</v>
      </c>
      <c r="D460" s="38"/>
      <c r="E460" s="53" t="s">
        <v>11</v>
      </c>
      <c r="F460" s="21" t="str">
        <f>IF(H460=-0.33,IF(H458=H$1,H458,""),"")</f>
        <v/>
      </c>
      <c r="G460" s="24"/>
      <c r="H460" s="22">
        <f>IF(H459=1,IF(H458=H$2,1,-0.33),0)</f>
        <v>0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x14ac:dyDescent="0.25">
      <c r="B461" s="84" t="s">
        <v>14</v>
      </c>
      <c r="C461" s="121" t="s">
        <v>363</v>
      </c>
      <c r="D461" s="38"/>
      <c r="E461" s="53" t="s">
        <v>12</v>
      </c>
      <c r="F461" s="25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24"/>
      <c r="D462" s="38"/>
      <c r="E462" s="53" t="s">
        <v>13</v>
      </c>
      <c r="F462" s="18"/>
      <c r="G462" s="24"/>
      <c r="H462" s="2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63"/>
      <c r="C463" s="64"/>
      <c r="D463" s="48"/>
      <c r="E463" s="54"/>
      <c r="F463" s="18"/>
      <c r="H463" s="17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x14ac:dyDescent="0.25">
      <c r="B464" s="44"/>
      <c r="C464" s="40"/>
      <c r="D464" s="48"/>
      <c r="E464" s="54"/>
      <c r="F464" s="18"/>
      <c r="G464" s="17" t="s">
        <v>6</v>
      </c>
      <c r="H464" s="17" t="s">
        <v>7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9.5" x14ac:dyDescent="0.25">
      <c r="B465" s="44"/>
      <c r="C465" s="16"/>
      <c r="D465" s="80"/>
      <c r="E465" s="51"/>
      <c r="F465" s="29" t="str">
        <f>IF(E$463="comprobar",H406+H412+H418+H424+H430+H436+H442+H448+H454+H460,"")</f>
        <v/>
      </c>
      <c r="G465" s="17">
        <f>10/2</f>
        <v>5</v>
      </c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16.5" thickBot="1" x14ac:dyDescent="0.3">
      <c r="B466" s="45"/>
      <c r="C466" s="30"/>
      <c r="D466" s="31"/>
      <c r="E466" s="55"/>
      <c r="F466" s="32" t="str">
        <f>IF(F465&gt;G465,G464,H464)</f>
        <v>APROBADO</v>
      </c>
      <c r="G466" s="17"/>
      <c r="H466" s="17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ht="28.5" x14ac:dyDescent="0.45">
      <c r="B467" s="61" t="s">
        <v>94</v>
      </c>
      <c r="C467" s="81" t="s">
        <v>15</v>
      </c>
      <c r="D467" s="81"/>
      <c r="E467" s="81"/>
      <c r="F467" s="82"/>
    </row>
    <row r="468" spans="1:40" s="15" customFormat="1" x14ac:dyDescent="0.25">
      <c r="A468" s="4"/>
      <c r="B468" s="120" t="s">
        <v>17</v>
      </c>
      <c r="C468" s="85" t="s">
        <v>364</v>
      </c>
      <c r="D468" s="12"/>
      <c r="E468" s="12"/>
      <c r="F468" s="14"/>
      <c r="G468" s="26"/>
      <c r="H468" s="13"/>
    </row>
    <row r="469" spans="1:40" x14ac:dyDescent="0.25">
      <c r="B469" s="84" t="s">
        <v>14</v>
      </c>
      <c r="C469" s="121" t="s">
        <v>365</v>
      </c>
      <c r="D469" s="38"/>
      <c r="E469" s="80" t="s">
        <v>9</v>
      </c>
      <c r="F469" s="18"/>
      <c r="G469" s="24"/>
      <c r="H469" s="19" t="b">
        <f>IF(D470="x",H$2,H$1)</f>
        <v>0</v>
      </c>
    </row>
    <row r="470" spans="1:40" x14ac:dyDescent="0.25">
      <c r="B470" s="84" t="s">
        <v>14</v>
      </c>
      <c r="C470" s="121" t="s">
        <v>366</v>
      </c>
      <c r="D470" s="38"/>
      <c r="E470" s="80" t="s">
        <v>10</v>
      </c>
      <c r="F470" s="20" t="str">
        <f>IF(H471=1,IF(H469=H$2,H469,""),"")</f>
        <v/>
      </c>
      <c r="G470" s="24"/>
      <c r="H470" s="19" t="str">
        <f>IF(E$528="comprobar",COUNTIF(D469:D473,"x"),"")</f>
        <v/>
      </c>
    </row>
    <row r="471" spans="1:40" x14ac:dyDescent="0.25">
      <c r="B471" s="84" t="s">
        <v>14</v>
      </c>
      <c r="C471" s="121" t="s">
        <v>367</v>
      </c>
      <c r="D471" s="38"/>
      <c r="E471" s="80" t="s">
        <v>11</v>
      </c>
      <c r="F471" s="21" t="str">
        <f>IF(H471=-0.33,IF(H469=H$1,H469,""),"")</f>
        <v/>
      </c>
      <c r="G471" s="24"/>
      <c r="H471" s="22">
        <f>IF(H470=1,IF(H469=H$2,1,-0.33),0)</f>
        <v>0</v>
      </c>
    </row>
    <row r="472" spans="1:40" x14ac:dyDescent="0.25">
      <c r="B472" s="84" t="s">
        <v>14</v>
      </c>
      <c r="C472" s="121" t="s">
        <v>282</v>
      </c>
      <c r="D472" s="38"/>
      <c r="E472" s="80" t="s">
        <v>12</v>
      </c>
      <c r="F472" s="18"/>
      <c r="G472" s="24"/>
      <c r="H472" s="22"/>
    </row>
    <row r="473" spans="1:40" x14ac:dyDescent="0.25">
      <c r="B473" s="42"/>
      <c r="C473" s="24"/>
      <c r="D473" s="38"/>
      <c r="E473" s="80" t="s">
        <v>13</v>
      </c>
      <c r="F473" s="18"/>
      <c r="G473" s="17"/>
      <c r="H473" s="22"/>
    </row>
    <row r="474" spans="1:40" s="15" customFormat="1" x14ac:dyDescent="0.25">
      <c r="A474" s="4"/>
      <c r="B474" s="123" t="s">
        <v>16</v>
      </c>
      <c r="C474" s="85" t="s">
        <v>368</v>
      </c>
      <c r="D474" s="39"/>
      <c r="E474" s="12"/>
      <c r="F474" s="14"/>
      <c r="G474" s="26"/>
      <c r="H474" s="13"/>
    </row>
    <row r="475" spans="1:40" x14ac:dyDescent="0.25">
      <c r="B475" s="84" t="s">
        <v>14</v>
      </c>
      <c r="C475" s="121" t="s">
        <v>369</v>
      </c>
      <c r="D475" s="38"/>
      <c r="E475" s="80" t="s">
        <v>9</v>
      </c>
      <c r="F475" s="18"/>
      <c r="G475" s="24"/>
      <c r="H475" s="19" t="b">
        <f>IF(D476="x",H$2,H$1)</f>
        <v>0</v>
      </c>
    </row>
    <row r="476" spans="1:40" x14ac:dyDescent="0.25">
      <c r="B476" s="84" t="s">
        <v>14</v>
      </c>
      <c r="C476" s="121" t="s">
        <v>370</v>
      </c>
      <c r="D476" s="38"/>
      <c r="E476" s="80" t="s">
        <v>10</v>
      </c>
      <c r="F476" s="20" t="str">
        <f>IF(H477=1,IF(H475=H$2,H475,""),"")</f>
        <v/>
      </c>
      <c r="G476" s="24"/>
      <c r="H476" s="19" t="str">
        <f>IF(E$528="comprobar",COUNTIF(D475:D479,"x"),"")</f>
        <v/>
      </c>
    </row>
    <row r="477" spans="1:40" x14ac:dyDescent="0.25">
      <c r="B477" s="84" t="s">
        <v>14</v>
      </c>
      <c r="C477" s="121" t="s">
        <v>371</v>
      </c>
      <c r="D477" s="38"/>
      <c r="E477" s="80" t="s">
        <v>11</v>
      </c>
      <c r="F477" s="21" t="str">
        <f>IF(H477=-0.33,IF(H475=H$1,H475,""),"")</f>
        <v/>
      </c>
      <c r="G477" s="24"/>
      <c r="H477" s="22">
        <f t="shared" ref="H477" si="37">IF(H476=1,IF(H475=H$2,1,-0.33),0)</f>
        <v>0</v>
      </c>
    </row>
    <row r="478" spans="1:40" x14ac:dyDescent="0.25">
      <c r="B478" s="84" t="s">
        <v>14</v>
      </c>
      <c r="C478" s="121" t="s">
        <v>372</v>
      </c>
      <c r="D478" s="38"/>
      <c r="E478" s="80" t="s">
        <v>12</v>
      </c>
      <c r="F478" s="18"/>
      <c r="G478" s="24"/>
      <c r="H478" s="22"/>
    </row>
    <row r="479" spans="1:40" x14ac:dyDescent="0.25">
      <c r="B479" s="84"/>
      <c r="C479" s="24"/>
      <c r="D479" s="38"/>
      <c r="E479" s="80" t="s">
        <v>13</v>
      </c>
      <c r="F479" s="18"/>
      <c r="G479" s="17"/>
      <c r="H479" s="22"/>
    </row>
    <row r="480" spans="1:40" s="15" customFormat="1" x14ac:dyDescent="0.25">
      <c r="A480" s="4"/>
      <c r="B480" s="123" t="s">
        <v>18</v>
      </c>
      <c r="C480" s="85" t="s">
        <v>373</v>
      </c>
      <c r="D480" s="39"/>
      <c r="E480" s="12"/>
      <c r="F480" s="14"/>
      <c r="G480" s="26"/>
      <c r="H480" s="13"/>
    </row>
    <row r="481" spans="1:8" x14ac:dyDescent="0.25">
      <c r="B481" s="84" t="s">
        <v>14</v>
      </c>
      <c r="C481" s="121" t="s">
        <v>374</v>
      </c>
      <c r="D481" s="38"/>
      <c r="E481" s="80" t="s">
        <v>9</v>
      </c>
      <c r="F481" s="18"/>
      <c r="G481" s="24"/>
      <c r="H481" s="19" t="b">
        <f>IF(D481="x",H$2,H$1)</f>
        <v>0</v>
      </c>
    </row>
    <row r="482" spans="1:8" x14ac:dyDescent="0.25">
      <c r="B482" s="84" t="s">
        <v>14</v>
      </c>
      <c r="C482" s="121" t="s">
        <v>375</v>
      </c>
      <c r="D482" s="38"/>
      <c r="E482" s="80" t="s">
        <v>10</v>
      </c>
      <c r="F482" s="20" t="str">
        <f>IF(H483=1,IF(H481=H$2,H481,""),"")</f>
        <v/>
      </c>
      <c r="G482" s="24"/>
      <c r="H482" s="19" t="str">
        <f>IF(E$528="comprobar",COUNTIF(D481:D485,"x"),"")</f>
        <v/>
      </c>
    </row>
    <row r="483" spans="1:8" x14ac:dyDescent="0.25">
      <c r="B483" s="84" t="s">
        <v>14</v>
      </c>
      <c r="C483" s="121" t="s">
        <v>376</v>
      </c>
      <c r="D483" s="38"/>
      <c r="E483" s="80" t="s">
        <v>11</v>
      </c>
      <c r="F483" s="21" t="str">
        <f>IF(H483=-0.33,IF(H481=H$1,H481,""),"")</f>
        <v/>
      </c>
      <c r="G483" s="24"/>
      <c r="H483" s="22">
        <f t="shared" ref="H483" si="38">IF(H482=1,IF(H481=H$2,1,-0.33),0)</f>
        <v>0</v>
      </c>
    </row>
    <row r="484" spans="1:8" x14ac:dyDescent="0.25">
      <c r="B484" s="84" t="s">
        <v>14</v>
      </c>
      <c r="C484" s="121" t="s">
        <v>377</v>
      </c>
      <c r="D484" s="38"/>
      <c r="E484" s="80" t="s">
        <v>12</v>
      </c>
      <c r="F484" s="18"/>
      <c r="G484" s="24"/>
      <c r="H484" s="22"/>
    </row>
    <row r="485" spans="1:8" x14ac:dyDescent="0.25">
      <c r="B485" s="84"/>
      <c r="C485" s="24"/>
      <c r="D485" s="38"/>
      <c r="E485" s="80" t="s">
        <v>13</v>
      </c>
      <c r="F485" s="18"/>
      <c r="G485" s="17"/>
      <c r="H485" s="22"/>
    </row>
    <row r="486" spans="1:8" s="15" customFormat="1" x14ac:dyDescent="0.25">
      <c r="A486" s="4"/>
      <c r="B486" s="123" t="s">
        <v>19</v>
      </c>
      <c r="C486" s="85" t="s">
        <v>378</v>
      </c>
      <c r="D486" s="39"/>
      <c r="E486" s="12"/>
      <c r="F486" s="14"/>
      <c r="G486" s="26"/>
      <c r="H486" s="13"/>
    </row>
    <row r="487" spans="1:8" x14ac:dyDescent="0.25">
      <c r="B487" s="84" t="s">
        <v>14</v>
      </c>
      <c r="C487" s="121" t="s">
        <v>379</v>
      </c>
      <c r="D487" s="38"/>
      <c r="E487" s="80" t="s">
        <v>9</v>
      </c>
      <c r="F487" s="18"/>
      <c r="G487" s="24"/>
      <c r="H487" s="19" t="b">
        <f>IF(D487="x",H$2,H$1)</f>
        <v>0</v>
      </c>
    </row>
    <row r="488" spans="1:8" x14ac:dyDescent="0.25">
      <c r="B488" s="84" t="s">
        <v>14</v>
      </c>
      <c r="C488" s="121" t="s">
        <v>380</v>
      </c>
      <c r="D488" s="38"/>
      <c r="E488" s="80" t="s">
        <v>10</v>
      </c>
      <c r="F488" s="20" t="str">
        <f>IF(H489=1,IF(H487=H$2,H487,""),"")</f>
        <v/>
      </c>
      <c r="G488" s="24"/>
      <c r="H488" s="19" t="str">
        <f>IF(E$528="comprobar",COUNTIF(D487:D491,"x"),"")</f>
        <v/>
      </c>
    </row>
    <row r="489" spans="1:8" x14ac:dyDescent="0.25">
      <c r="B489" s="84" t="s">
        <v>14</v>
      </c>
      <c r="C489" s="121" t="s">
        <v>381</v>
      </c>
      <c r="D489" s="38"/>
      <c r="E489" s="80" t="s">
        <v>11</v>
      </c>
      <c r="F489" s="21" t="str">
        <f>IF(H489=-0.33,IF(H487=H$1,H487,""),"")</f>
        <v/>
      </c>
      <c r="G489" s="24"/>
      <c r="H489" s="22">
        <f t="shared" ref="H489" si="39">IF(H488=1,IF(H487=H$2,1,-0.33),0)</f>
        <v>0</v>
      </c>
    </row>
    <row r="490" spans="1:8" x14ac:dyDescent="0.25">
      <c r="B490" s="84" t="s">
        <v>14</v>
      </c>
      <c r="C490" s="121" t="s">
        <v>382</v>
      </c>
      <c r="D490" s="38"/>
      <c r="E490" s="80" t="s">
        <v>12</v>
      </c>
      <c r="F490" s="18"/>
      <c r="G490" s="24"/>
      <c r="H490" s="22"/>
    </row>
    <row r="491" spans="1:8" x14ac:dyDescent="0.25">
      <c r="B491" s="84"/>
      <c r="C491" s="24"/>
      <c r="D491" s="38"/>
      <c r="E491" s="80" t="s">
        <v>13</v>
      </c>
      <c r="F491" s="18"/>
      <c r="G491" s="17"/>
      <c r="H491" s="22"/>
    </row>
    <row r="492" spans="1:8" s="15" customFormat="1" x14ac:dyDescent="0.25">
      <c r="A492" s="4"/>
      <c r="B492" s="123" t="s">
        <v>20</v>
      </c>
      <c r="C492" s="85" t="s">
        <v>383</v>
      </c>
      <c r="D492" s="39"/>
      <c r="E492" s="12"/>
      <c r="F492" s="14"/>
      <c r="G492" s="26"/>
      <c r="H492" s="13"/>
    </row>
    <row r="493" spans="1:8" x14ac:dyDescent="0.25">
      <c r="B493" s="84" t="s">
        <v>14</v>
      </c>
      <c r="C493" s="121" t="s">
        <v>384</v>
      </c>
      <c r="D493" s="38"/>
      <c r="E493" s="80" t="s">
        <v>9</v>
      </c>
      <c r="F493" s="18"/>
      <c r="G493" s="24"/>
      <c r="H493" s="19" t="b">
        <f>IF(D494="x",H$2,H$1)</f>
        <v>0</v>
      </c>
    </row>
    <row r="494" spans="1:8" x14ac:dyDescent="0.25">
      <c r="B494" s="84" t="s">
        <v>14</v>
      </c>
      <c r="C494" s="121" t="s">
        <v>385</v>
      </c>
      <c r="D494" s="38"/>
      <c r="E494" s="80" t="s">
        <v>10</v>
      </c>
      <c r="F494" s="20" t="str">
        <f>IF(H495=1,IF(H493=H$2,H493,""),"")</f>
        <v/>
      </c>
      <c r="G494" s="24"/>
      <c r="H494" s="19" t="str">
        <f>IF(E$528="comprobar",COUNTIF(D493:D497,"x"),"")</f>
        <v/>
      </c>
    </row>
    <row r="495" spans="1:8" x14ac:dyDescent="0.25">
      <c r="B495" s="84" t="s">
        <v>14</v>
      </c>
      <c r="C495" s="121" t="s">
        <v>386</v>
      </c>
      <c r="D495" s="38"/>
      <c r="E495" s="80" t="s">
        <v>11</v>
      </c>
      <c r="F495" s="21" t="str">
        <f>IF(H495=-0.33,IF(H493=H$1,H493,""),"")</f>
        <v/>
      </c>
      <c r="G495" s="24"/>
      <c r="H495" s="22">
        <f t="shared" ref="H495" si="40">IF(H494=1,IF(H493=H$2,1,-0.33),0)</f>
        <v>0</v>
      </c>
    </row>
    <row r="496" spans="1:8" x14ac:dyDescent="0.25">
      <c r="B496" s="84" t="s">
        <v>14</v>
      </c>
      <c r="C496" s="121" t="s">
        <v>387</v>
      </c>
      <c r="D496" s="38"/>
      <c r="E496" s="80" t="s">
        <v>12</v>
      </c>
      <c r="F496" s="18"/>
      <c r="G496" s="24"/>
      <c r="H496" s="22"/>
    </row>
    <row r="497" spans="1:8" x14ac:dyDescent="0.25">
      <c r="B497" s="84"/>
      <c r="C497" s="24"/>
      <c r="D497" s="38"/>
      <c r="E497" s="80" t="s">
        <v>13</v>
      </c>
      <c r="F497" s="18"/>
      <c r="G497" s="17"/>
      <c r="H497" s="22"/>
    </row>
    <row r="498" spans="1:8" s="15" customFormat="1" x14ac:dyDescent="0.25">
      <c r="A498" s="4"/>
      <c r="B498" s="123" t="s">
        <v>21</v>
      </c>
      <c r="C498" s="85" t="s">
        <v>388</v>
      </c>
      <c r="D498" s="39"/>
      <c r="E498" s="12"/>
      <c r="F498" s="14"/>
      <c r="G498" s="26"/>
      <c r="H498" s="13"/>
    </row>
    <row r="499" spans="1:8" x14ac:dyDescent="0.25">
      <c r="B499" s="84" t="s">
        <v>14</v>
      </c>
      <c r="C499" s="121" t="s">
        <v>389</v>
      </c>
      <c r="D499" s="38"/>
      <c r="E499" s="80" t="s">
        <v>9</v>
      </c>
      <c r="F499" s="18"/>
      <c r="G499" s="24"/>
      <c r="H499" s="19" t="b">
        <f>IF(D501="x",H$2,H$1)</f>
        <v>0</v>
      </c>
    </row>
    <row r="500" spans="1:8" x14ac:dyDescent="0.25">
      <c r="B500" s="84" t="s">
        <v>14</v>
      </c>
      <c r="C500" s="121" t="s">
        <v>390</v>
      </c>
      <c r="D500" s="38"/>
      <c r="E500" s="80" t="s">
        <v>10</v>
      </c>
      <c r="F500" s="20" t="str">
        <f>IF(H501=1,IF(H499=H$2,H499,""),"")</f>
        <v/>
      </c>
      <c r="G500" s="24"/>
      <c r="H500" s="19" t="str">
        <f>IF(E$528="comprobar",COUNTIF(D499:D503,"x"),"")</f>
        <v/>
      </c>
    </row>
    <row r="501" spans="1:8" x14ac:dyDescent="0.25">
      <c r="B501" s="84" t="s">
        <v>14</v>
      </c>
      <c r="C501" s="121" t="s">
        <v>391</v>
      </c>
      <c r="D501" s="38"/>
      <c r="E501" s="80" t="s">
        <v>11</v>
      </c>
      <c r="F501" s="21" t="str">
        <f>IF(H501=-0.33,IF(H499=H$1,H499,""),"")</f>
        <v/>
      </c>
      <c r="G501" s="24"/>
      <c r="H501" s="22">
        <f t="shared" ref="H501" si="41">IF(H500=1,IF(H499=H$2,1,-0.33),0)</f>
        <v>0</v>
      </c>
    </row>
    <row r="502" spans="1:8" x14ac:dyDescent="0.25">
      <c r="B502" s="84" t="s">
        <v>14</v>
      </c>
      <c r="C502" s="121" t="s">
        <v>392</v>
      </c>
      <c r="D502" s="38"/>
      <c r="E502" s="80" t="s">
        <v>12</v>
      </c>
      <c r="F502" s="18"/>
      <c r="G502" s="24"/>
      <c r="H502" s="22"/>
    </row>
    <row r="503" spans="1:8" x14ac:dyDescent="0.25">
      <c r="B503" s="42"/>
      <c r="C503" s="24"/>
      <c r="D503" s="38"/>
      <c r="E503" s="80" t="s">
        <v>13</v>
      </c>
      <c r="F503" s="18"/>
      <c r="G503" s="17"/>
      <c r="H503" s="22"/>
    </row>
    <row r="504" spans="1:8" s="15" customFormat="1" x14ac:dyDescent="0.25">
      <c r="A504" s="4"/>
      <c r="B504" s="123" t="s">
        <v>22</v>
      </c>
      <c r="C504" s="85" t="s">
        <v>393</v>
      </c>
      <c r="D504" s="39"/>
      <c r="E504" s="12"/>
      <c r="F504" s="14"/>
      <c r="G504" s="26"/>
      <c r="H504" s="13"/>
    </row>
    <row r="505" spans="1:8" x14ac:dyDescent="0.25">
      <c r="B505" s="84" t="s">
        <v>14</v>
      </c>
      <c r="C505" s="121" t="s">
        <v>395</v>
      </c>
      <c r="D505" s="38"/>
      <c r="E505" s="80" t="s">
        <v>9</v>
      </c>
      <c r="F505" s="18"/>
      <c r="G505" s="24"/>
      <c r="H505" s="19" t="b">
        <f>IF(D508="x",H$2,H$1)</f>
        <v>0</v>
      </c>
    </row>
    <row r="506" spans="1:8" x14ac:dyDescent="0.25">
      <c r="B506" s="84" t="s">
        <v>14</v>
      </c>
      <c r="C506" s="121" t="s">
        <v>396</v>
      </c>
      <c r="D506" s="38"/>
      <c r="E506" s="80" t="s">
        <v>10</v>
      </c>
      <c r="F506" s="20" t="str">
        <f>IF(H507=1,IF(H505=H$2,H505,""),"")</f>
        <v/>
      </c>
      <c r="G506" s="24"/>
      <c r="H506" s="19" t="str">
        <f>IF(E$528="comprobar",COUNTIF(D505:D509,"x"),"")</f>
        <v/>
      </c>
    </row>
    <row r="507" spans="1:8" x14ac:dyDescent="0.25">
      <c r="B507" s="84" t="s">
        <v>14</v>
      </c>
      <c r="C507" s="121" t="s">
        <v>397</v>
      </c>
      <c r="D507" s="38"/>
      <c r="E507" s="80" t="s">
        <v>11</v>
      </c>
      <c r="F507" s="21" t="str">
        <f>IF(H507=-0.33,IF(H505=H$1,H505,""),"")</f>
        <v/>
      </c>
      <c r="G507" s="24"/>
      <c r="H507" s="22">
        <f t="shared" ref="H507" si="42">IF(H506=1,IF(H505=H$2,1,-0.33),0)</f>
        <v>0</v>
      </c>
    </row>
    <row r="508" spans="1:8" x14ac:dyDescent="0.25">
      <c r="B508" s="84" t="s">
        <v>14</v>
      </c>
      <c r="C508" s="121" t="s">
        <v>394</v>
      </c>
      <c r="D508" s="38"/>
      <c r="E508" s="80" t="s">
        <v>12</v>
      </c>
      <c r="F508" s="18"/>
      <c r="G508" s="24"/>
      <c r="H508" s="22"/>
    </row>
    <row r="509" spans="1:8" x14ac:dyDescent="0.25">
      <c r="B509" s="42"/>
      <c r="C509" s="24"/>
      <c r="D509" s="38"/>
      <c r="E509" s="80" t="s">
        <v>13</v>
      </c>
      <c r="F509" s="18"/>
      <c r="G509" s="17"/>
      <c r="H509" s="22"/>
    </row>
    <row r="510" spans="1:8" s="15" customFormat="1" x14ac:dyDescent="0.25">
      <c r="A510" s="4"/>
      <c r="B510" s="123" t="s">
        <v>23</v>
      </c>
      <c r="C510" s="85" t="s">
        <v>398</v>
      </c>
      <c r="D510" s="39"/>
      <c r="E510" s="12"/>
      <c r="F510" s="14"/>
      <c r="G510" s="26"/>
      <c r="H510" s="13"/>
    </row>
    <row r="511" spans="1:8" x14ac:dyDescent="0.25">
      <c r="B511" s="84" t="s">
        <v>14</v>
      </c>
      <c r="C511" s="121" t="s">
        <v>399</v>
      </c>
      <c r="D511" s="38"/>
      <c r="E511" s="80" t="s">
        <v>9</v>
      </c>
      <c r="F511" s="18"/>
      <c r="G511" s="24"/>
      <c r="H511" s="19" t="b">
        <f>IF(D513="x",H$2,H$1)</f>
        <v>0</v>
      </c>
    </row>
    <row r="512" spans="1:8" x14ac:dyDescent="0.25">
      <c r="B512" s="84" t="s">
        <v>14</v>
      </c>
      <c r="C512" s="121" t="s">
        <v>400</v>
      </c>
      <c r="D512" s="38"/>
      <c r="E512" s="80" t="s">
        <v>10</v>
      </c>
      <c r="F512" s="20" t="str">
        <f>IF(H513=1,IF(H511=H$2,H511,""),"")</f>
        <v/>
      </c>
      <c r="G512" s="24"/>
      <c r="H512" s="19" t="str">
        <f>IF(E$528="comprobar",COUNTIF(D511:D515,"x"),"")</f>
        <v/>
      </c>
    </row>
    <row r="513" spans="2:8" x14ac:dyDescent="0.25">
      <c r="B513" s="84" t="s">
        <v>14</v>
      </c>
      <c r="C513" s="121" t="s">
        <v>401</v>
      </c>
      <c r="D513" s="38"/>
      <c r="E513" s="80" t="s">
        <v>11</v>
      </c>
      <c r="F513" s="21" t="str">
        <f>IF(H513=-0.33,IF(H511=H$1,H511,""),"")</f>
        <v/>
      </c>
      <c r="G513" s="24"/>
      <c r="H513" s="22">
        <f t="shared" ref="H513" si="43">IF(H512=1,IF(H511=H$2,1,-0.33),0)</f>
        <v>0</v>
      </c>
    </row>
    <row r="514" spans="2:8" x14ac:dyDescent="0.25">
      <c r="B514" s="84" t="s">
        <v>14</v>
      </c>
      <c r="C514" s="121" t="s">
        <v>402</v>
      </c>
      <c r="D514" s="38"/>
      <c r="E514" s="80" t="s">
        <v>12</v>
      </c>
      <c r="F514" s="18"/>
      <c r="G514" s="24"/>
      <c r="H514" s="22"/>
    </row>
    <row r="515" spans="2:8" x14ac:dyDescent="0.25">
      <c r="B515" s="109"/>
      <c r="C515" s="24"/>
      <c r="D515" s="38"/>
      <c r="E515" s="80" t="s">
        <v>13</v>
      </c>
      <c r="F515" s="18"/>
      <c r="G515" s="17"/>
      <c r="H515" s="22"/>
    </row>
    <row r="516" spans="2:8" x14ac:dyDescent="0.25">
      <c r="B516" s="123" t="s">
        <v>28</v>
      </c>
      <c r="C516" s="85" t="s">
        <v>403</v>
      </c>
      <c r="D516" s="39"/>
      <c r="E516" s="12"/>
      <c r="F516" s="14"/>
      <c r="G516" s="26"/>
      <c r="H516" s="13"/>
    </row>
    <row r="517" spans="2:8" x14ac:dyDescent="0.25">
      <c r="B517" s="84" t="s">
        <v>14</v>
      </c>
      <c r="C517" s="121" t="s">
        <v>404</v>
      </c>
      <c r="D517" s="38"/>
      <c r="E517" s="122" t="s">
        <v>9</v>
      </c>
      <c r="F517" s="18"/>
      <c r="G517" s="24"/>
      <c r="H517" s="19" t="b">
        <f>IF(D520="x",H$2,H$1)</f>
        <v>0</v>
      </c>
    </row>
    <row r="518" spans="2:8" x14ac:dyDescent="0.25">
      <c r="B518" s="84" t="s">
        <v>14</v>
      </c>
      <c r="C518" s="121" t="s">
        <v>405</v>
      </c>
      <c r="D518" s="38"/>
      <c r="E518" s="122" t="s">
        <v>10</v>
      </c>
      <c r="F518" s="20" t="str">
        <f>IF(H519=1,IF(H517=H$2,H517,""),"")</f>
        <v/>
      </c>
      <c r="G518" s="24"/>
      <c r="H518" s="19" t="str">
        <f>IF(E$528="comprobar",COUNTIF(D517:D521,"x"),"")</f>
        <v/>
      </c>
    </row>
    <row r="519" spans="2:8" x14ac:dyDescent="0.25">
      <c r="B519" s="84" t="s">
        <v>14</v>
      </c>
      <c r="C519" s="121" t="s">
        <v>406</v>
      </c>
      <c r="D519" s="38"/>
      <c r="E519" s="122" t="s">
        <v>11</v>
      </c>
      <c r="F519" s="21" t="str">
        <f>IF(H519=-0.33,IF(H517=H$1,H517,""),"")</f>
        <v/>
      </c>
      <c r="G519" s="24"/>
      <c r="H519" s="22">
        <f t="shared" ref="H519" si="44">IF(H518=1,IF(H517=H$2,1,-0.33),0)</f>
        <v>0</v>
      </c>
    </row>
    <row r="520" spans="2:8" x14ac:dyDescent="0.25">
      <c r="B520" s="84" t="s">
        <v>14</v>
      </c>
      <c r="C520" s="121" t="s">
        <v>282</v>
      </c>
      <c r="D520" s="38"/>
      <c r="E520" s="122" t="s">
        <v>12</v>
      </c>
      <c r="F520" s="18"/>
      <c r="G520" s="24"/>
      <c r="H520" s="22"/>
    </row>
    <row r="521" spans="2:8" x14ac:dyDescent="0.25">
      <c r="B521" s="109"/>
      <c r="C521" s="24"/>
      <c r="D521" s="38"/>
      <c r="E521" s="122" t="s">
        <v>13</v>
      </c>
      <c r="F521" s="18"/>
      <c r="G521" s="17"/>
      <c r="H521" s="22"/>
    </row>
    <row r="522" spans="2:8" x14ac:dyDescent="0.25">
      <c r="B522" s="123" t="s">
        <v>26</v>
      </c>
      <c r="C522" s="85" t="s">
        <v>726</v>
      </c>
      <c r="D522" s="39"/>
      <c r="E522" s="12"/>
      <c r="F522" s="14"/>
      <c r="G522" s="26"/>
      <c r="H522" s="13"/>
    </row>
    <row r="523" spans="2:8" x14ac:dyDescent="0.25">
      <c r="B523" s="84" t="s">
        <v>14</v>
      </c>
      <c r="C523" s="121" t="s">
        <v>407</v>
      </c>
      <c r="D523" s="38"/>
      <c r="E523" s="122" t="s">
        <v>9</v>
      </c>
      <c r="F523" s="18"/>
      <c r="G523" s="24"/>
      <c r="H523" s="19" t="b">
        <f>IF(D526="x",H$2,H$1)</f>
        <v>0</v>
      </c>
    </row>
    <row r="524" spans="2:8" x14ac:dyDescent="0.25">
      <c r="B524" s="84" t="s">
        <v>14</v>
      </c>
      <c r="C524" s="121" t="s">
        <v>408</v>
      </c>
      <c r="D524" s="38"/>
      <c r="E524" s="122" t="s">
        <v>10</v>
      </c>
      <c r="F524" s="20" t="str">
        <f>IF(H525=1,IF(H523=H$2,H523,""),"")</f>
        <v/>
      </c>
      <c r="G524" s="24"/>
      <c r="H524" s="19" t="str">
        <f>IF(E$528="comprobar",COUNTIF(D523:D527,"x"),"")</f>
        <v/>
      </c>
    </row>
    <row r="525" spans="2:8" x14ac:dyDescent="0.25">
      <c r="B525" s="84" t="s">
        <v>14</v>
      </c>
      <c r="C525" s="121" t="s">
        <v>409</v>
      </c>
      <c r="D525" s="38"/>
      <c r="E525" s="122" t="s">
        <v>11</v>
      </c>
      <c r="F525" s="21" t="str">
        <f>IF(H525=-0.33,IF(H523=H$1,H523,""),"")</f>
        <v/>
      </c>
      <c r="G525" s="24"/>
      <c r="H525" s="22">
        <f t="shared" ref="H525" si="45">IF(H524=1,IF(H523=H$2,1,-0.33),0)</f>
        <v>0</v>
      </c>
    </row>
    <row r="526" spans="2:8" x14ac:dyDescent="0.25">
      <c r="B526" s="84" t="s">
        <v>14</v>
      </c>
      <c r="C526" s="121" t="s">
        <v>410</v>
      </c>
      <c r="D526" s="38"/>
      <c r="E526" s="122" t="s">
        <v>12</v>
      </c>
      <c r="F526" s="18"/>
      <c r="G526" s="24"/>
      <c r="H526" s="22"/>
    </row>
    <row r="527" spans="2:8" x14ac:dyDescent="0.25">
      <c r="B527" s="109"/>
      <c r="C527" s="24"/>
      <c r="D527" s="38"/>
      <c r="E527" s="122" t="s">
        <v>13</v>
      </c>
      <c r="F527" s="18"/>
      <c r="G527" s="17"/>
      <c r="H527" s="22"/>
    </row>
    <row r="528" spans="2:8" x14ac:dyDescent="0.25">
      <c r="B528" s="109"/>
      <c r="C528" s="16"/>
      <c r="D528" s="48"/>
      <c r="E528" s="54"/>
      <c r="F528" s="18"/>
      <c r="G528" s="17"/>
      <c r="H528" s="22"/>
    </row>
    <row r="529" spans="2:10" x14ac:dyDescent="0.25">
      <c r="B529" s="42"/>
      <c r="C529" s="8"/>
      <c r="D529" s="48"/>
      <c r="E529" s="59"/>
      <c r="F529" s="28" t="s">
        <v>8</v>
      </c>
      <c r="G529" s="17" t="s">
        <v>6</v>
      </c>
      <c r="H529" s="17" t="s">
        <v>7</v>
      </c>
    </row>
    <row r="530" spans="2:10" ht="19.5" x14ac:dyDescent="0.25">
      <c r="B530" s="42"/>
      <c r="C530" s="8"/>
      <c r="D530" s="145"/>
      <c r="E530" s="145"/>
      <c r="F530" s="29" t="str">
        <f>IF(E$528="comprobar",H513+H507+H501+H495+H489+H483+H477+H471+H519+H525,"")</f>
        <v/>
      </c>
      <c r="G530" s="17">
        <f>10/2</f>
        <v>5</v>
      </c>
      <c r="H530" s="17"/>
    </row>
    <row r="531" spans="2:10" ht="16.5" thickBot="1" x14ac:dyDescent="0.3">
      <c r="B531" s="65"/>
      <c r="C531" s="66"/>
      <c r="D531" s="31"/>
      <c r="E531" s="9"/>
      <c r="F531" s="32" t="str">
        <f>IF(F530&gt;G530,G529,H529)</f>
        <v>APROBADO</v>
      </c>
      <c r="G531" s="17"/>
      <c r="H531" s="17"/>
    </row>
    <row r="532" spans="2:10" ht="28.5" x14ac:dyDescent="0.45">
      <c r="B532" s="61" t="s">
        <v>94</v>
      </c>
      <c r="C532" s="125" t="s">
        <v>39</v>
      </c>
      <c r="D532" s="125"/>
      <c r="E532" s="125"/>
      <c r="F532" s="126"/>
    </row>
    <row r="533" spans="2:10" x14ac:dyDescent="0.25">
      <c r="B533" s="120" t="s">
        <v>17</v>
      </c>
      <c r="C533" s="85" t="s">
        <v>411</v>
      </c>
      <c r="D533" s="12"/>
      <c r="E533" s="12"/>
      <c r="F533" s="14"/>
      <c r="G533" s="26"/>
      <c r="H533" s="13"/>
      <c r="I533" s="15"/>
      <c r="J533" s="15"/>
    </row>
    <row r="534" spans="2:10" x14ac:dyDescent="0.25">
      <c r="B534" s="84" t="s">
        <v>14</v>
      </c>
      <c r="C534" s="121" t="s">
        <v>412</v>
      </c>
      <c r="D534" s="38"/>
      <c r="E534" s="124"/>
      <c r="F534" s="18"/>
      <c r="G534" s="24"/>
      <c r="H534" s="19" t="b">
        <f>IF(D537="x",H$2,H$1)</f>
        <v>0</v>
      </c>
    </row>
    <row r="535" spans="2:10" x14ac:dyDescent="0.25">
      <c r="B535" s="84" t="s">
        <v>14</v>
      </c>
      <c r="C535" s="121" t="s">
        <v>413</v>
      </c>
      <c r="D535" s="38"/>
      <c r="E535" s="124" t="s">
        <v>10</v>
      </c>
      <c r="F535" s="20" t="str">
        <f>IF(H536=1,IF(H534=H$2,H534,""),"")</f>
        <v/>
      </c>
      <c r="G535" s="24"/>
      <c r="H535" s="19" t="str">
        <f>IF(E$593="comprobar",COUNTIF(D534:D538,"x"),"")</f>
        <v/>
      </c>
    </row>
    <row r="536" spans="2:10" x14ac:dyDescent="0.25">
      <c r="B536" s="84" t="s">
        <v>14</v>
      </c>
      <c r="C536" s="121" t="s">
        <v>414</v>
      </c>
      <c r="D536" s="38"/>
      <c r="E536" s="124" t="s">
        <v>11</v>
      </c>
      <c r="F536" s="21" t="str">
        <f>IF(H536=-0.33,IF(H534=H$1,H534,""),"")</f>
        <v/>
      </c>
      <c r="G536" s="24"/>
      <c r="H536" s="22">
        <f>IF(H535=1,IF(H534=H$2,1,-0.33),0)</f>
        <v>0</v>
      </c>
    </row>
    <row r="537" spans="2:10" x14ac:dyDescent="0.25">
      <c r="B537" s="84" t="s">
        <v>14</v>
      </c>
      <c r="C537" s="121" t="s">
        <v>415</v>
      </c>
      <c r="D537" s="38"/>
      <c r="E537" s="124" t="s">
        <v>12</v>
      </c>
      <c r="F537" s="18"/>
      <c r="G537" s="24"/>
      <c r="H537" s="22"/>
    </row>
    <row r="538" spans="2:10" x14ac:dyDescent="0.25">
      <c r="B538" s="42"/>
      <c r="C538" s="24"/>
      <c r="D538" s="38"/>
      <c r="E538" s="124" t="s">
        <v>13</v>
      </c>
      <c r="F538" s="18"/>
      <c r="G538" s="17"/>
      <c r="H538" s="22"/>
    </row>
    <row r="539" spans="2:10" x14ac:dyDescent="0.25">
      <c r="B539" s="123" t="s">
        <v>16</v>
      </c>
      <c r="C539" s="85" t="s">
        <v>416</v>
      </c>
      <c r="D539" s="39"/>
      <c r="E539" s="12"/>
      <c r="F539" s="14"/>
      <c r="G539" s="26"/>
      <c r="H539" s="13"/>
      <c r="I539" s="15"/>
      <c r="J539" s="15"/>
    </row>
    <row r="540" spans="2:10" x14ac:dyDescent="0.25">
      <c r="B540" s="84" t="s">
        <v>14</v>
      </c>
      <c r="C540" s="121" t="s">
        <v>417</v>
      </c>
      <c r="D540" s="38"/>
      <c r="E540" s="124" t="s">
        <v>9</v>
      </c>
      <c r="F540" s="18"/>
      <c r="G540" s="24"/>
      <c r="H540" s="19" t="b">
        <f>IF(D542="x",H$2,H$1)</f>
        <v>0</v>
      </c>
    </row>
    <row r="541" spans="2:10" x14ac:dyDescent="0.25">
      <c r="B541" s="84" t="s">
        <v>14</v>
      </c>
      <c r="C541" s="121" t="s">
        <v>418</v>
      </c>
      <c r="D541" s="38"/>
      <c r="E541" s="124" t="s">
        <v>10</v>
      </c>
      <c r="F541" s="20" t="str">
        <f>IF(H542=1,IF(H540=H$2,H540,""),"")</f>
        <v/>
      </c>
      <c r="G541" s="24"/>
      <c r="H541" s="19" t="str">
        <f>IF(E$593="comprobar",COUNTIF(D540:D544,"x"),"")</f>
        <v/>
      </c>
    </row>
    <row r="542" spans="2:10" x14ac:dyDescent="0.25">
      <c r="B542" s="84" t="s">
        <v>14</v>
      </c>
      <c r="C542" s="121" t="s">
        <v>43</v>
      </c>
      <c r="D542" s="38"/>
      <c r="E542" s="124" t="s">
        <v>11</v>
      </c>
      <c r="F542" s="21" t="str">
        <f>IF(H542=-0.33,IF(H540=H$1,H540,""),"")</f>
        <v/>
      </c>
      <c r="G542" s="24"/>
      <c r="H542" s="22">
        <f t="shared" ref="H542" si="46">IF(H541=1,IF(H540=H$2,1,-0.33),0)</f>
        <v>0</v>
      </c>
    </row>
    <row r="543" spans="2:10" x14ac:dyDescent="0.25">
      <c r="B543" s="84" t="s">
        <v>14</v>
      </c>
      <c r="C543" s="121"/>
      <c r="D543" s="38"/>
      <c r="E543" s="124" t="s">
        <v>12</v>
      </c>
      <c r="F543" s="18"/>
      <c r="G543" s="24"/>
      <c r="H543" s="22"/>
    </row>
    <row r="544" spans="2:10" x14ac:dyDescent="0.25">
      <c r="B544" s="84"/>
      <c r="C544" s="24"/>
      <c r="D544" s="38"/>
      <c r="E544" s="124" t="s">
        <v>13</v>
      </c>
      <c r="F544" s="18"/>
      <c r="G544" s="17"/>
      <c r="H544" s="22"/>
    </row>
    <row r="545" spans="2:10" x14ac:dyDescent="0.25">
      <c r="B545" s="123" t="s">
        <v>18</v>
      </c>
      <c r="C545" s="85" t="s">
        <v>419</v>
      </c>
      <c r="D545" s="39"/>
      <c r="E545" s="12"/>
      <c r="F545" s="14"/>
      <c r="G545" s="26"/>
      <c r="H545" s="13"/>
      <c r="I545" s="15"/>
      <c r="J545" s="15"/>
    </row>
    <row r="546" spans="2:10" x14ac:dyDescent="0.25">
      <c r="B546" s="84" t="s">
        <v>14</v>
      </c>
      <c r="C546" s="121" t="s">
        <v>420</v>
      </c>
      <c r="D546" s="38"/>
      <c r="E546" s="124" t="s">
        <v>9</v>
      </c>
      <c r="F546" s="18"/>
      <c r="G546" s="24"/>
      <c r="H546" s="19" t="b">
        <f>IF(D546="x",H$2,H$1)</f>
        <v>0</v>
      </c>
    </row>
    <row r="547" spans="2:10" x14ac:dyDescent="0.25">
      <c r="B547" s="84" t="s">
        <v>14</v>
      </c>
      <c r="C547" s="121" t="s">
        <v>421</v>
      </c>
      <c r="D547" s="38"/>
      <c r="E547" s="124" t="s">
        <v>10</v>
      </c>
      <c r="F547" s="20" t="str">
        <f>IF(H548=1,IF(H546=H$2,H546,""),"")</f>
        <v/>
      </c>
      <c r="G547" s="24"/>
      <c r="H547" s="19" t="str">
        <f>IF(E$593="comprobar",COUNTIF(D546:D550,"x"),"")</f>
        <v/>
      </c>
    </row>
    <row r="548" spans="2:10" x14ac:dyDescent="0.25">
      <c r="B548" s="84" t="s">
        <v>14</v>
      </c>
      <c r="C548" s="121" t="s">
        <v>422</v>
      </c>
      <c r="D548" s="38"/>
      <c r="E548" s="124" t="s">
        <v>11</v>
      </c>
      <c r="F548" s="21" t="str">
        <f>IF(H548=-0.33,IF(H546=H$1,H546,""),"")</f>
        <v/>
      </c>
      <c r="G548" s="24"/>
      <c r="H548" s="22">
        <f t="shared" ref="H548" si="47">IF(H547=1,IF(H546=H$2,1,-0.33),0)</f>
        <v>0</v>
      </c>
    </row>
    <row r="549" spans="2:10" x14ac:dyDescent="0.25">
      <c r="B549" s="84" t="s">
        <v>14</v>
      </c>
      <c r="C549" s="121" t="s">
        <v>282</v>
      </c>
      <c r="D549" s="38"/>
      <c r="E549" s="124" t="s">
        <v>12</v>
      </c>
      <c r="F549" s="18"/>
      <c r="G549" s="24"/>
      <c r="H549" s="22"/>
    </row>
    <row r="550" spans="2:10" x14ac:dyDescent="0.25">
      <c r="B550" s="84"/>
      <c r="C550" s="24"/>
      <c r="D550" s="38"/>
      <c r="E550" s="124" t="s">
        <v>13</v>
      </c>
      <c r="F550" s="18"/>
      <c r="G550" s="17"/>
      <c r="H550" s="22"/>
    </row>
    <row r="551" spans="2:10" x14ac:dyDescent="0.25">
      <c r="B551" s="123" t="s">
        <v>19</v>
      </c>
      <c r="C551" s="85" t="s">
        <v>423</v>
      </c>
      <c r="D551" s="39"/>
      <c r="E551" s="12"/>
      <c r="F551" s="14"/>
      <c r="G551" s="26"/>
      <c r="H551" s="13"/>
      <c r="I551" s="15"/>
      <c r="J551" s="15"/>
    </row>
    <row r="552" spans="2:10" x14ac:dyDescent="0.25">
      <c r="B552" s="84" t="s">
        <v>14</v>
      </c>
      <c r="C552" s="121" t="s">
        <v>424</v>
      </c>
      <c r="D552" s="38"/>
      <c r="E552" s="124" t="s">
        <v>9</v>
      </c>
      <c r="F552" s="18"/>
      <c r="G552" s="24"/>
      <c r="H552" s="19" t="b">
        <f>IF(D555="x",H$2,H$1)</f>
        <v>0</v>
      </c>
    </row>
    <row r="553" spans="2:10" x14ac:dyDescent="0.25">
      <c r="B553" s="84" t="s">
        <v>14</v>
      </c>
      <c r="C553" s="121" t="s">
        <v>425</v>
      </c>
      <c r="D553" s="38"/>
      <c r="E553" s="124" t="s">
        <v>10</v>
      </c>
      <c r="F553" s="20" t="str">
        <f>IF(H554=1,IF(H552=H$2,H552,""),"")</f>
        <v/>
      </c>
      <c r="G553" s="24"/>
      <c r="H553" s="19" t="str">
        <f>IF(E$593="comprobar",COUNTIF(D552:D556,"x"),"")</f>
        <v/>
      </c>
    </row>
    <row r="554" spans="2:10" x14ac:dyDescent="0.25">
      <c r="B554" s="84" t="s">
        <v>14</v>
      </c>
      <c r="C554" s="121" t="s">
        <v>426</v>
      </c>
      <c r="D554" s="38"/>
      <c r="E554" s="124" t="s">
        <v>11</v>
      </c>
      <c r="F554" s="21" t="str">
        <f>IF(H554=-0.33,IF(H552=H$1,H552,""),"")</f>
        <v/>
      </c>
      <c r="G554" s="24"/>
      <c r="H554" s="22">
        <f t="shared" ref="H554" si="48">IF(H553=1,IF(H552=H$2,1,-0.33),0)</f>
        <v>0</v>
      </c>
    </row>
    <row r="555" spans="2:10" x14ac:dyDescent="0.25">
      <c r="B555" s="84" t="s">
        <v>14</v>
      </c>
      <c r="C555" s="121" t="s">
        <v>427</v>
      </c>
      <c r="D555" s="38"/>
      <c r="E555" s="124" t="s">
        <v>12</v>
      </c>
      <c r="F555" s="18"/>
      <c r="G555" s="24"/>
      <c r="H555" s="22"/>
    </row>
    <row r="556" spans="2:10" x14ac:dyDescent="0.25">
      <c r="B556" s="84"/>
      <c r="C556" s="24"/>
      <c r="D556" s="38"/>
      <c r="E556" s="124" t="s">
        <v>13</v>
      </c>
      <c r="F556" s="18"/>
      <c r="G556" s="17"/>
      <c r="H556" s="22"/>
    </row>
    <row r="557" spans="2:10" x14ac:dyDescent="0.25">
      <c r="B557" s="123" t="s">
        <v>20</v>
      </c>
      <c r="C557" s="85" t="s">
        <v>428</v>
      </c>
      <c r="D557" s="39"/>
      <c r="E557" s="12"/>
      <c r="F557" s="14"/>
      <c r="G557" s="26"/>
      <c r="H557" s="13"/>
      <c r="I557" s="15"/>
      <c r="J557" s="15"/>
    </row>
    <row r="558" spans="2:10" x14ac:dyDescent="0.25">
      <c r="B558" s="84" t="s">
        <v>14</v>
      </c>
      <c r="C558" s="121" t="s">
        <v>429</v>
      </c>
      <c r="D558" s="38"/>
      <c r="E558" s="124" t="s">
        <v>9</v>
      </c>
      <c r="F558" s="18"/>
      <c r="G558" s="24"/>
      <c r="H558" s="19" t="b">
        <f>IF(D559="x",H$2,H$1)</f>
        <v>0</v>
      </c>
    </row>
    <row r="559" spans="2:10" x14ac:dyDescent="0.25">
      <c r="B559" s="84" t="s">
        <v>14</v>
      </c>
      <c r="C559" s="121" t="s">
        <v>430</v>
      </c>
      <c r="D559" s="38"/>
      <c r="E559" s="124" t="s">
        <v>10</v>
      </c>
      <c r="F559" s="20" t="str">
        <f>IF(H560=1,IF(H558=H$2,H558,""),"")</f>
        <v/>
      </c>
      <c r="G559" s="24"/>
      <c r="H559" s="19" t="str">
        <f>IF(E$593="comprobar",COUNTIF(D558:D562,"x"),"")</f>
        <v/>
      </c>
    </row>
    <row r="560" spans="2:10" x14ac:dyDescent="0.25">
      <c r="B560" s="84" t="s">
        <v>14</v>
      </c>
      <c r="C560" s="121" t="s">
        <v>431</v>
      </c>
      <c r="D560" s="38"/>
      <c r="E560" s="124" t="s">
        <v>11</v>
      </c>
      <c r="F560" s="21" t="str">
        <f>IF(H560=-0.33,IF(H558=H$1,H558,""),"")</f>
        <v/>
      </c>
      <c r="G560" s="24"/>
      <c r="H560" s="22">
        <f t="shared" ref="H560" si="49">IF(H559=1,IF(H558=H$2,1,-0.33),0)</f>
        <v>0</v>
      </c>
    </row>
    <row r="561" spans="2:10" x14ac:dyDescent="0.25">
      <c r="B561" s="84" t="s">
        <v>14</v>
      </c>
      <c r="C561" s="121" t="s">
        <v>432</v>
      </c>
      <c r="D561" s="38"/>
      <c r="E561" s="124" t="s">
        <v>12</v>
      </c>
      <c r="F561" s="18"/>
      <c r="G561" s="24"/>
      <c r="H561" s="22"/>
    </row>
    <row r="562" spans="2:10" x14ac:dyDescent="0.25">
      <c r="B562" s="84"/>
      <c r="C562" s="24"/>
      <c r="D562" s="38"/>
      <c r="E562" s="124" t="s">
        <v>13</v>
      </c>
      <c r="F562" s="18"/>
      <c r="G562" s="17"/>
      <c r="H562" s="22"/>
    </row>
    <row r="563" spans="2:10" x14ac:dyDescent="0.25">
      <c r="B563" s="123" t="s">
        <v>21</v>
      </c>
      <c r="C563" s="85" t="s">
        <v>433</v>
      </c>
      <c r="D563" s="39"/>
      <c r="E563" s="12"/>
      <c r="F563" s="14"/>
      <c r="G563" s="26"/>
      <c r="H563" s="13"/>
      <c r="I563" s="15"/>
      <c r="J563" s="15"/>
    </row>
    <row r="564" spans="2:10" x14ac:dyDescent="0.25">
      <c r="B564" s="84" t="s">
        <v>14</v>
      </c>
      <c r="C564" s="121" t="s">
        <v>434</v>
      </c>
      <c r="D564" s="38"/>
      <c r="E564" s="124" t="s">
        <v>9</v>
      </c>
      <c r="F564" s="18"/>
      <c r="G564" s="24"/>
      <c r="H564" s="19" t="b">
        <f>IF(D565="x",H$2,H$1)</f>
        <v>0</v>
      </c>
    </row>
    <row r="565" spans="2:10" x14ac:dyDescent="0.25">
      <c r="B565" s="84" t="s">
        <v>14</v>
      </c>
      <c r="C565" s="121" t="s">
        <v>435</v>
      </c>
      <c r="D565" s="38"/>
      <c r="E565" s="124" t="s">
        <v>10</v>
      </c>
      <c r="F565" s="20" t="str">
        <f>IF(H566=1,IF(H564=H$2,H564,""),"")</f>
        <v/>
      </c>
      <c r="G565" s="24"/>
      <c r="H565" s="19" t="str">
        <f>IF(E$593="comprobar",COUNTIF(D564:D568,"x"),"")</f>
        <v/>
      </c>
    </row>
    <row r="566" spans="2:10" x14ac:dyDescent="0.25">
      <c r="B566" s="84" t="s">
        <v>14</v>
      </c>
      <c r="C566" s="121" t="s">
        <v>436</v>
      </c>
      <c r="D566" s="38"/>
      <c r="E566" s="124" t="s">
        <v>11</v>
      </c>
      <c r="F566" s="21" t="str">
        <f>IF(H566=-0.33,IF(H564=H$1,H564,""),"")</f>
        <v/>
      </c>
      <c r="G566" s="24"/>
      <c r="H566" s="22">
        <f t="shared" ref="H566" si="50">IF(H565=1,IF(H564=H$2,1,-0.33),0)</f>
        <v>0</v>
      </c>
    </row>
    <row r="567" spans="2:10" x14ac:dyDescent="0.25">
      <c r="B567" s="84" t="s">
        <v>14</v>
      </c>
      <c r="C567" s="121" t="s">
        <v>437</v>
      </c>
      <c r="D567" s="38"/>
      <c r="E567" s="124" t="s">
        <v>12</v>
      </c>
      <c r="F567" s="18"/>
      <c r="G567" s="24"/>
      <c r="H567" s="22"/>
    </row>
    <row r="568" spans="2:10" x14ac:dyDescent="0.25">
      <c r="B568" s="42"/>
      <c r="C568" s="24"/>
      <c r="D568" s="38"/>
      <c r="E568" s="124" t="s">
        <v>13</v>
      </c>
      <c r="F568" s="18"/>
      <c r="G568" s="17"/>
      <c r="H568" s="22"/>
    </row>
    <row r="569" spans="2:10" x14ac:dyDescent="0.25">
      <c r="B569" s="123" t="s">
        <v>22</v>
      </c>
      <c r="C569" s="85" t="s">
        <v>438</v>
      </c>
      <c r="D569" s="39"/>
      <c r="E569" s="12"/>
      <c r="F569" s="14"/>
      <c r="G569" s="26"/>
      <c r="H569" s="13"/>
      <c r="I569" s="15"/>
      <c r="J569" s="15"/>
    </row>
    <row r="570" spans="2:10" x14ac:dyDescent="0.25">
      <c r="B570" s="84" t="s">
        <v>14</v>
      </c>
      <c r="C570" s="121" t="s">
        <v>132</v>
      </c>
      <c r="D570" s="38"/>
      <c r="E570" s="124" t="s">
        <v>9</v>
      </c>
      <c r="F570" s="18"/>
      <c r="G570" s="24"/>
      <c r="H570" s="19" t="b">
        <f>IF(D570="x",H$2,H$1)</f>
        <v>0</v>
      </c>
    </row>
    <row r="571" spans="2:10" x14ac:dyDescent="0.25">
      <c r="B571" s="84" t="s">
        <v>14</v>
      </c>
      <c r="C571" s="121" t="s">
        <v>134</v>
      </c>
      <c r="D571" s="38"/>
      <c r="E571" s="124" t="s">
        <v>10</v>
      </c>
      <c r="F571" s="20" t="str">
        <f>IF(H572=1,IF(H570=H$2,H570,""),"")</f>
        <v/>
      </c>
      <c r="G571" s="24"/>
      <c r="H571" s="19" t="str">
        <f>IF(E$593="comprobar",COUNTIF(D570:D574,"x"),"")</f>
        <v/>
      </c>
    </row>
    <row r="572" spans="2:10" x14ac:dyDescent="0.25">
      <c r="B572" s="84" t="s">
        <v>14</v>
      </c>
      <c r="C572" s="121" t="s">
        <v>133</v>
      </c>
      <c r="D572" s="38"/>
      <c r="E572" s="124" t="s">
        <v>11</v>
      </c>
      <c r="F572" s="21" t="str">
        <f>IF(H572=-0.33,IF(H570=H$1,H570,""),"")</f>
        <v/>
      </c>
      <c r="G572" s="24"/>
      <c r="H572" s="22">
        <f t="shared" ref="H572" si="51">IF(H571=1,IF(H570=H$2,1,-0.33),0)</f>
        <v>0</v>
      </c>
    </row>
    <row r="573" spans="2:10" x14ac:dyDescent="0.25">
      <c r="B573" s="84" t="s">
        <v>14</v>
      </c>
      <c r="C573" s="121" t="s">
        <v>439</v>
      </c>
      <c r="D573" s="38"/>
      <c r="E573" s="124" t="s">
        <v>12</v>
      </c>
      <c r="F573" s="18"/>
      <c r="G573" s="24"/>
      <c r="H573" s="22"/>
    </row>
    <row r="574" spans="2:10" x14ac:dyDescent="0.25">
      <c r="B574" s="42"/>
      <c r="C574" s="24"/>
      <c r="D574" s="38"/>
      <c r="E574" s="124" t="s">
        <v>13</v>
      </c>
      <c r="F574" s="18"/>
      <c r="G574" s="17"/>
      <c r="H574" s="22"/>
    </row>
    <row r="575" spans="2:10" x14ac:dyDescent="0.25">
      <c r="B575" s="123" t="s">
        <v>23</v>
      </c>
      <c r="C575" s="85" t="s">
        <v>440</v>
      </c>
      <c r="D575" s="39"/>
      <c r="E575" s="12"/>
      <c r="F575" s="14"/>
      <c r="G575" s="26"/>
      <c r="H575" s="13"/>
      <c r="I575" s="15"/>
      <c r="J575" s="15"/>
    </row>
    <row r="576" spans="2:10" x14ac:dyDescent="0.25">
      <c r="B576" s="84" t="s">
        <v>14</v>
      </c>
      <c r="C576" s="121" t="s">
        <v>111</v>
      </c>
      <c r="D576" s="38"/>
      <c r="E576" s="124" t="s">
        <v>9</v>
      </c>
      <c r="F576" s="18"/>
      <c r="G576" s="24"/>
      <c r="H576" s="19" t="b">
        <f>IF(D576="x",H$2,H$1)</f>
        <v>0</v>
      </c>
    </row>
    <row r="577" spans="2:8" x14ac:dyDescent="0.25">
      <c r="B577" s="84" t="s">
        <v>14</v>
      </c>
      <c r="C577" s="121" t="s">
        <v>441</v>
      </c>
      <c r="D577" s="38"/>
      <c r="E577" s="124" t="s">
        <v>10</v>
      </c>
      <c r="F577" s="20" t="str">
        <f>IF(H578=1,IF(H576=H$2,H576,""),"")</f>
        <v/>
      </c>
      <c r="G577" s="24"/>
      <c r="H577" s="19" t="str">
        <f>IF(E$593="comprobar",COUNTIF(D576:D580,"x"),"")</f>
        <v/>
      </c>
    </row>
    <row r="578" spans="2:8" x14ac:dyDescent="0.25">
      <c r="B578" s="84" t="s">
        <v>14</v>
      </c>
      <c r="C578" s="121" t="s">
        <v>442</v>
      </c>
      <c r="D578" s="38"/>
      <c r="E578" s="124" t="s">
        <v>11</v>
      </c>
      <c r="F578" s="21" t="str">
        <f>IF(H578=-0.33,IF(H576=H$1,H576,""),"")</f>
        <v/>
      </c>
      <c r="G578" s="24"/>
      <c r="H578" s="22">
        <f t="shared" ref="H578" si="52">IF(H577=1,IF(H576=H$2,1,-0.33),0)</f>
        <v>0</v>
      </c>
    </row>
    <row r="579" spans="2:8" x14ac:dyDescent="0.25">
      <c r="B579" s="84" t="s">
        <v>14</v>
      </c>
      <c r="C579" s="121"/>
      <c r="D579" s="38"/>
      <c r="E579" s="124" t="s">
        <v>12</v>
      </c>
      <c r="F579" s="18"/>
      <c r="G579" s="24"/>
      <c r="H579" s="22"/>
    </row>
    <row r="580" spans="2:8" x14ac:dyDescent="0.25">
      <c r="B580" s="109"/>
      <c r="C580" s="24"/>
      <c r="D580" s="38"/>
      <c r="E580" s="124" t="s">
        <v>13</v>
      </c>
      <c r="F580" s="18"/>
      <c r="G580" s="17"/>
      <c r="H580" s="22"/>
    </row>
    <row r="581" spans="2:8" x14ac:dyDescent="0.25">
      <c r="B581" s="123" t="s">
        <v>28</v>
      </c>
      <c r="C581" s="85" t="s">
        <v>443</v>
      </c>
      <c r="D581" s="39"/>
      <c r="E581" s="12"/>
      <c r="F581" s="14"/>
      <c r="G581" s="26"/>
      <c r="H581" s="13"/>
    </row>
    <row r="582" spans="2:8" x14ac:dyDescent="0.25">
      <c r="B582" s="84" t="s">
        <v>14</v>
      </c>
      <c r="C582" s="121" t="s">
        <v>444</v>
      </c>
      <c r="D582" s="38"/>
      <c r="E582" s="124" t="s">
        <v>9</v>
      </c>
      <c r="F582" s="18"/>
      <c r="G582" s="24"/>
      <c r="H582" s="19" t="b">
        <f>IF(D584="x",H$2,H$1)</f>
        <v>0</v>
      </c>
    </row>
    <row r="583" spans="2:8" x14ac:dyDescent="0.25">
      <c r="B583" s="84" t="s">
        <v>14</v>
      </c>
      <c r="C583" s="121" t="s">
        <v>445</v>
      </c>
      <c r="D583" s="38"/>
      <c r="E583" s="124" t="s">
        <v>10</v>
      </c>
      <c r="F583" s="20" t="str">
        <f>IF(H584=1,IF(H582=H$2,H582,""),"")</f>
        <v/>
      </c>
      <c r="G583" s="24"/>
      <c r="H583" s="19" t="str">
        <f>IF(E$593="comprobar",COUNTIF(D582:D586,"x"),"")</f>
        <v/>
      </c>
    </row>
    <row r="584" spans="2:8" x14ac:dyDescent="0.25">
      <c r="B584" s="84" t="s">
        <v>14</v>
      </c>
      <c r="C584" s="121" t="s">
        <v>446</v>
      </c>
      <c r="D584" s="38"/>
      <c r="E584" s="124" t="s">
        <v>11</v>
      </c>
      <c r="F584" s="21" t="str">
        <f>IF(H584=-0.33,IF(H582=H$1,H582,""),"")</f>
        <v/>
      </c>
      <c r="G584" s="24"/>
      <c r="H584" s="22">
        <f t="shared" ref="H584" si="53">IF(H583=1,IF(H582=H$2,1,-0.33),0)</f>
        <v>0</v>
      </c>
    </row>
    <row r="585" spans="2:8" x14ac:dyDescent="0.25">
      <c r="B585" s="84" t="s">
        <v>14</v>
      </c>
      <c r="C585" s="121" t="s">
        <v>447</v>
      </c>
      <c r="D585" s="38"/>
      <c r="E585" s="124" t="s">
        <v>12</v>
      </c>
      <c r="F585" s="18"/>
      <c r="G585" s="24"/>
      <c r="H585" s="22"/>
    </row>
    <row r="586" spans="2:8" x14ac:dyDescent="0.25">
      <c r="B586" s="109"/>
      <c r="C586" s="24"/>
      <c r="D586" s="38"/>
      <c r="E586" s="124" t="s">
        <v>13</v>
      </c>
      <c r="F586" s="18"/>
      <c r="G586" s="17"/>
      <c r="H586" s="22"/>
    </row>
    <row r="587" spans="2:8" x14ac:dyDescent="0.25">
      <c r="B587" s="123" t="s">
        <v>26</v>
      </c>
      <c r="C587" s="85" t="s">
        <v>448</v>
      </c>
      <c r="D587" s="39"/>
      <c r="E587" s="12"/>
      <c r="F587" s="14"/>
      <c r="G587" s="26"/>
      <c r="H587" s="13"/>
    </row>
    <row r="588" spans="2:8" x14ac:dyDescent="0.25">
      <c r="B588" s="84" t="s">
        <v>14</v>
      </c>
      <c r="C588" s="121" t="s">
        <v>449</v>
      </c>
      <c r="D588" s="38"/>
      <c r="E588" s="124" t="s">
        <v>9</v>
      </c>
      <c r="F588" s="18"/>
      <c r="G588" s="24"/>
      <c r="H588" s="19" t="b">
        <f>IF(D590="x",H$2,H$1)</f>
        <v>0</v>
      </c>
    </row>
    <row r="589" spans="2:8" x14ac:dyDescent="0.25">
      <c r="B589" s="84" t="s">
        <v>14</v>
      </c>
      <c r="C589" s="121" t="s">
        <v>450</v>
      </c>
      <c r="D589" s="38"/>
      <c r="E589" s="124" t="s">
        <v>10</v>
      </c>
      <c r="F589" s="20" t="str">
        <f>IF(H590=1,IF(H588=H$2,H588,""),"")</f>
        <v/>
      </c>
      <c r="G589" s="24"/>
      <c r="H589" s="19" t="str">
        <f>IF(E$593="comprobar",COUNTIF(D588:D592,"x"),"")</f>
        <v/>
      </c>
    </row>
    <row r="590" spans="2:8" x14ac:dyDescent="0.25">
      <c r="B590" s="84" t="s">
        <v>14</v>
      </c>
      <c r="C590" s="121" t="s">
        <v>451</v>
      </c>
      <c r="D590" s="38"/>
      <c r="E590" s="124" t="s">
        <v>11</v>
      </c>
      <c r="F590" s="21" t="str">
        <f>IF(H590=-0.33,IF(H588=H$1,H588,""),"")</f>
        <v/>
      </c>
      <c r="G590" s="24"/>
      <c r="H590" s="22">
        <f t="shared" ref="H590" si="54">IF(H589=1,IF(H588=H$2,1,-0.33),0)</f>
        <v>0</v>
      </c>
    </row>
    <row r="591" spans="2:8" x14ac:dyDescent="0.25">
      <c r="B591" s="84" t="s">
        <v>14</v>
      </c>
      <c r="C591" s="121" t="s">
        <v>452</v>
      </c>
      <c r="D591" s="38"/>
      <c r="E591" s="124" t="s">
        <v>12</v>
      </c>
      <c r="F591" s="18"/>
      <c r="G591" s="24"/>
      <c r="H591" s="22"/>
    </row>
    <row r="592" spans="2:8" x14ac:dyDescent="0.25">
      <c r="B592" s="109"/>
      <c r="C592" s="24"/>
      <c r="D592" s="38"/>
      <c r="E592" s="124" t="s">
        <v>13</v>
      </c>
      <c r="F592" s="18"/>
      <c r="G592" s="17"/>
      <c r="H592" s="22"/>
    </row>
    <row r="593" spans="2:10" x14ac:dyDescent="0.25">
      <c r="B593" s="109"/>
      <c r="C593" s="16"/>
      <c r="D593" s="48"/>
      <c r="E593" s="54"/>
      <c r="F593" s="18"/>
      <c r="G593" s="17"/>
      <c r="H593" s="22"/>
    </row>
    <row r="594" spans="2:10" x14ac:dyDescent="0.25">
      <c r="B594" s="42"/>
      <c r="C594" s="8"/>
      <c r="D594" s="48"/>
      <c r="E594" s="59"/>
      <c r="F594" s="28" t="s">
        <v>8</v>
      </c>
      <c r="G594" s="17" t="s">
        <v>6</v>
      </c>
      <c r="H594" s="17" t="s">
        <v>7</v>
      </c>
    </row>
    <row r="595" spans="2:10" ht="19.5" x14ac:dyDescent="0.25">
      <c r="B595" s="42"/>
      <c r="C595" s="8"/>
      <c r="D595" s="145"/>
      <c r="E595" s="145"/>
      <c r="F595" s="29" t="str">
        <f>IF(E$593="comprobar",H578+H572+H566+H560+H554+H548+H542+H536+H584+H590,"")</f>
        <v/>
      </c>
      <c r="G595" s="17">
        <f>10/2</f>
        <v>5</v>
      </c>
      <c r="H595" s="17"/>
    </row>
    <row r="596" spans="2:10" ht="16.5" thickBot="1" x14ac:dyDescent="0.3">
      <c r="B596" s="65"/>
      <c r="C596" s="66"/>
      <c r="D596" s="31"/>
      <c r="E596" s="9"/>
      <c r="F596" s="32" t="str">
        <f>IF(F595&gt;G595,G594,H594)</f>
        <v>APROBADO</v>
      </c>
      <c r="G596" s="17"/>
      <c r="H596" s="17"/>
    </row>
    <row r="597" spans="2:10" ht="28.5" x14ac:dyDescent="0.45">
      <c r="B597" s="61" t="s">
        <v>94</v>
      </c>
      <c r="C597" s="125" t="s">
        <v>40</v>
      </c>
      <c r="D597" s="125"/>
      <c r="E597" s="125"/>
      <c r="F597" s="126"/>
    </row>
    <row r="598" spans="2:10" x14ac:dyDescent="0.25">
      <c r="B598" s="120" t="s">
        <v>17</v>
      </c>
      <c r="C598" s="85" t="s">
        <v>453</v>
      </c>
      <c r="D598" s="12"/>
      <c r="E598" s="12"/>
      <c r="F598" s="14"/>
      <c r="G598" s="26"/>
      <c r="H598" s="13"/>
      <c r="I598" s="15"/>
      <c r="J598" s="15"/>
    </row>
    <row r="599" spans="2:10" x14ac:dyDescent="0.25">
      <c r="B599" s="84" t="s">
        <v>14</v>
      </c>
      <c r="C599" s="121" t="s">
        <v>454</v>
      </c>
      <c r="D599" s="38"/>
      <c r="E599" s="124" t="s">
        <v>9</v>
      </c>
      <c r="F599" s="18"/>
      <c r="G599" s="24"/>
      <c r="H599" s="19" t="b">
        <f>IF(D600="x",H$2,H$1)</f>
        <v>0</v>
      </c>
    </row>
    <row r="600" spans="2:10" x14ac:dyDescent="0.25">
      <c r="B600" s="84" t="s">
        <v>14</v>
      </c>
      <c r="C600" s="121" t="s">
        <v>455</v>
      </c>
      <c r="D600" s="38"/>
      <c r="E600" s="124" t="s">
        <v>10</v>
      </c>
      <c r="F600" s="20" t="str">
        <f>IF(H601=1,IF(H599=H$2,H599,""),"")</f>
        <v/>
      </c>
      <c r="G600" s="24"/>
      <c r="H600" s="19" t="str">
        <f>IF(E$658="comprobar",COUNTIF(D599:D603,"x"),"")</f>
        <v/>
      </c>
    </row>
    <row r="601" spans="2:10" x14ac:dyDescent="0.25">
      <c r="B601" s="84" t="s">
        <v>14</v>
      </c>
      <c r="C601" s="121" t="s">
        <v>456</v>
      </c>
      <c r="D601" s="38"/>
      <c r="E601" s="124" t="s">
        <v>11</v>
      </c>
      <c r="F601" s="21" t="str">
        <f>IF(H601=-0.33,IF(H599=H$1,H599,""),"")</f>
        <v/>
      </c>
      <c r="G601" s="24"/>
      <c r="H601" s="22">
        <f>IF(H600=1,IF(H599=H$2,1,-0.33),0)</f>
        <v>0</v>
      </c>
    </row>
    <row r="602" spans="2:10" x14ac:dyDescent="0.25">
      <c r="B602" s="84" t="s">
        <v>14</v>
      </c>
      <c r="C602" s="121" t="s">
        <v>457</v>
      </c>
      <c r="D602" s="38"/>
      <c r="E602" s="124" t="s">
        <v>12</v>
      </c>
      <c r="F602" s="18"/>
      <c r="G602" s="24"/>
      <c r="H602" s="22"/>
    </row>
    <row r="603" spans="2:10" x14ac:dyDescent="0.25">
      <c r="B603" s="42"/>
      <c r="C603" s="24"/>
      <c r="D603" s="38"/>
      <c r="E603" s="124" t="s">
        <v>13</v>
      </c>
      <c r="F603" s="18"/>
      <c r="G603" s="17"/>
      <c r="H603" s="22"/>
    </row>
    <row r="604" spans="2:10" x14ac:dyDescent="0.25">
      <c r="B604" s="123" t="s">
        <v>16</v>
      </c>
      <c r="C604" s="85" t="s">
        <v>727</v>
      </c>
      <c r="D604" s="39"/>
      <c r="E604" s="12"/>
      <c r="F604" s="14"/>
      <c r="G604" s="26"/>
      <c r="H604" s="13"/>
      <c r="I604" s="15"/>
      <c r="J604" s="15"/>
    </row>
    <row r="605" spans="2:10" x14ac:dyDescent="0.25">
      <c r="B605" s="84" t="s">
        <v>14</v>
      </c>
      <c r="C605" s="121" t="s">
        <v>458</v>
      </c>
      <c r="D605" s="38"/>
      <c r="E605" s="124" t="s">
        <v>9</v>
      </c>
      <c r="F605" s="18"/>
      <c r="G605" s="24"/>
      <c r="H605" s="19" t="b">
        <f>IF(D608="x",H$2,H$1)</f>
        <v>0</v>
      </c>
    </row>
    <row r="606" spans="2:10" x14ac:dyDescent="0.25">
      <c r="B606" s="84" t="s">
        <v>14</v>
      </c>
      <c r="C606" s="121" t="s">
        <v>459</v>
      </c>
      <c r="D606" s="38"/>
      <c r="E606" s="124" t="s">
        <v>10</v>
      </c>
      <c r="F606" s="20" t="str">
        <f>IF(H607=1,IF(H605=H$2,H605,""),"")</f>
        <v/>
      </c>
      <c r="G606" s="24"/>
      <c r="H606" s="19" t="str">
        <f>IF(E$658="comprobar",COUNTIF(D605:D609,"x"),"")</f>
        <v/>
      </c>
    </row>
    <row r="607" spans="2:10" x14ac:dyDescent="0.25">
      <c r="B607" s="84" t="s">
        <v>14</v>
      </c>
      <c r="C607" s="121" t="s">
        <v>460</v>
      </c>
      <c r="D607" s="38"/>
      <c r="E607" s="124" t="s">
        <v>11</v>
      </c>
      <c r="F607" s="21" t="str">
        <f>IF(H607=-0.33,IF(H605=H$1,H605,""),"")</f>
        <v/>
      </c>
      <c r="G607" s="24"/>
      <c r="H607" s="22">
        <f t="shared" ref="H607" si="55">IF(H606=1,IF(H605=H$2,1,-0.33),0)</f>
        <v>0</v>
      </c>
    </row>
    <row r="608" spans="2:10" x14ac:dyDescent="0.25">
      <c r="B608" s="84" t="s">
        <v>14</v>
      </c>
      <c r="C608" s="121" t="s">
        <v>439</v>
      </c>
      <c r="D608" s="38"/>
      <c r="E608" s="124" t="s">
        <v>12</v>
      </c>
      <c r="F608" s="18"/>
      <c r="G608" s="24"/>
      <c r="H608" s="22"/>
    </row>
    <row r="609" spans="2:10" x14ac:dyDescent="0.25">
      <c r="B609" s="84"/>
      <c r="C609" s="24"/>
      <c r="D609" s="38"/>
      <c r="E609" s="124" t="s">
        <v>13</v>
      </c>
      <c r="F609" s="18"/>
      <c r="G609" s="17"/>
      <c r="H609" s="22"/>
    </row>
    <row r="610" spans="2:10" x14ac:dyDescent="0.25">
      <c r="B610" s="123" t="s">
        <v>18</v>
      </c>
      <c r="C610" s="85" t="s">
        <v>461</v>
      </c>
      <c r="D610" s="39"/>
      <c r="E610" s="12"/>
      <c r="F610" s="14"/>
      <c r="G610" s="26"/>
      <c r="H610" s="13"/>
      <c r="I610" s="15"/>
      <c r="J610" s="15"/>
    </row>
    <row r="611" spans="2:10" x14ac:dyDescent="0.25">
      <c r="B611" s="84" t="s">
        <v>14</v>
      </c>
      <c r="C611" s="121" t="s">
        <v>462</v>
      </c>
      <c r="D611" s="38"/>
      <c r="E611" s="124" t="s">
        <v>9</v>
      </c>
      <c r="F611" s="18"/>
      <c r="G611" s="24"/>
      <c r="H611" s="19" t="b">
        <f>IF(D612="x",H$2,H$1)</f>
        <v>0</v>
      </c>
    </row>
    <row r="612" spans="2:10" x14ac:dyDescent="0.25">
      <c r="B612" s="84" t="s">
        <v>14</v>
      </c>
      <c r="C612" s="121" t="s">
        <v>463</v>
      </c>
      <c r="D612" s="38"/>
      <c r="E612" s="124" t="s">
        <v>10</v>
      </c>
      <c r="F612" s="20" t="str">
        <f>IF(H613=1,IF(H611=H$2,H611,""),"")</f>
        <v/>
      </c>
      <c r="G612" s="24"/>
      <c r="H612" s="19" t="str">
        <f>IF(E$658="comprobar",COUNTIF(D611:D615,"x"),"")</f>
        <v/>
      </c>
    </row>
    <row r="613" spans="2:10" x14ac:dyDescent="0.25">
      <c r="B613" s="84" t="s">
        <v>14</v>
      </c>
      <c r="C613" s="121" t="s">
        <v>464</v>
      </c>
      <c r="D613" s="38"/>
      <c r="E613" s="124" t="s">
        <v>11</v>
      </c>
      <c r="F613" s="21" t="str">
        <f>IF(H613=-0.33,IF(H611=H$1,H611,""),"")</f>
        <v/>
      </c>
      <c r="G613" s="24"/>
      <c r="H613" s="22">
        <f t="shared" ref="H613" si="56">IF(H612=1,IF(H611=H$2,1,-0.33),0)</f>
        <v>0</v>
      </c>
    </row>
    <row r="614" spans="2:10" x14ac:dyDescent="0.25">
      <c r="B614" s="84" t="s">
        <v>14</v>
      </c>
      <c r="C614" s="121" t="s">
        <v>465</v>
      </c>
      <c r="D614" s="38"/>
      <c r="E614" s="124" t="s">
        <v>12</v>
      </c>
      <c r="F614" s="18"/>
      <c r="G614" s="24"/>
      <c r="H614" s="22"/>
    </row>
    <row r="615" spans="2:10" x14ac:dyDescent="0.25">
      <c r="B615" s="84"/>
      <c r="C615" s="24"/>
      <c r="D615" s="38"/>
      <c r="E615" s="124" t="s">
        <v>13</v>
      </c>
      <c r="F615" s="18"/>
      <c r="G615" s="17"/>
      <c r="H615" s="22"/>
    </row>
    <row r="616" spans="2:10" x14ac:dyDescent="0.25">
      <c r="B616" s="123" t="s">
        <v>19</v>
      </c>
      <c r="C616" s="85" t="s">
        <v>466</v>
      </c>
      <c r="D616" s="39"/>
      <c r="E616" s="12"/>
      <c r="F616" s="14"/>
      <c r="G616" s="26"/>
      <c r="H616" s="13"/>
      <c r="I616" s="15"/>
      <c r="J616" s="15"/>
    </row>
    <row r="617" spans="2:10" x14ac:dyDescent="0.25">
      <c r="B617" s="84" t="s">
        <v>14</v>
      </c>
      <c r="C617" s="121" t="s">
        <v>467</v>
      </c>
      <c r="D617" s="38"/>
      <c r="E617" s="124" t="s">
        <v>9</v>
      </c>
      <c r="F617" s="18"/>
      <c r="G617" s="24"/>
      <c r="H617" s="19" t="b">
        <f>IF(D617="x",H$2,H$1)</f>
        <v>0</v>
      </c>
    </row>
    <row r="618" spans="2:10" x14ac:dyDescent="0.25">
      <c r="B618" s="84" t="s">
        <v>14</v>
      </c>
      <c r="C618" s="121" t="s">
        <v>468</v>
      </c>
      <c r="D618" s="38"/>
      <c r="E618" s="124" t="s">
        <v>10</v>
      </c>
      <c r="F618" s="20" t="str">
        <f>IF(H619=1,IF(H617=H$2,H617,""),"")</f>
        <v/>
      </c>
      <c r="G618" s="24"/>
      <c r="H618" s="19" t="str">
        <f>IF(E$658="comprobar",COUNTIF(D617:D621,"x"),"")</f>
        <v/>
      </c>
    </row>
    <row r="619" spans="2:10" x14ac:dyDescent="0.25">
      <c r="B619" s="84" t="s">
        <v>14</v>
      </c>
      <c r="C619" s="121" t="s">
        <v>469</v>
      </c>
      <c r="D619" s="38"/>
      <c r="E619" s="124" t="s">
        <v>11</v>
      </c>
      <c r="F619" s="21" t="str">
        <f>IF(H619=-0.33,IF(H617=H$1,H617,""),"")</f>
        <v/>
      </c>
      <c r="G619" s="24"/>
      <c r="H619" s="22">
        <f t="shared" ref="H619" si="57">IF(H618=1,IF(H617=H$2,1,-0.33),0)</f>
        <v>0</v>
      </c>
    </row>
    <row r="620" spans="2:10" x14ac:dyDescent="0.25">
      <c r="B620" s="84" t="s">
        <v>14</v>
      </c>
      <c r="C620" s="121" t="s">
        <v>470</v>
      </c>
      <c r="D620" s="38"/>
      <c r="E620" s="124" t="s">
        <v>12</v>
      </c>
      <c r="F620" s="18"/>
      <c r="G620" s="24"/>
      <c r="H620" s="22"/>
    </row>
    <row r="621" spans="2:10" x14ac:dyDescent="0.25">
      <c r="B621" s="84"/>
      <c r="C621" s="24"/>
      <c r="D621" s="38"/>
      <c r="E621" s="124" t="s">
        <v>13</v>
      </c>
      <c r="F621" s="18"/>
      <c r="G621" s="17"/>
      <c r="H621" s="22"/>
    </row>
    <row r="622" spans="2:10" x14ac:dyDescent="0.25">
      <c r="B622" s="123" t="s">
        <v>20</v>
      </c>
      <c r="C622" s="85" t="s">
        <v>471</v>
      </c>
      <c r="D622" s="39"/>
      <c r="E622" s="12"/>
      <c r="F622" s="14"/>
      <c r="G622" s="26"/>
      <c r="H622" s="13"/>
      <c r="I622" s="15"/>
      <c r="J622" s="15"/>
    </row>
    <row r="623" spans="2:10" x14ac:dyDescent="0.25">
      <c r="B623" s="84" t="s">
        <v>14</v>
      </c>
      <c r="C623" s="121" t="s">
        <v>472</v>
      </c>
      <c r="D623" s="38"/>
      <c r="E623" s="124" t="s">
        <v>9</v>
      </c>
      <c r="F623" s="18"/>
      <c r="G623" s="24"/>
      <c r="H623" s="19" t="b">
        <f>IF(D626="x",H$2,H$1)</f>
        <v>0</v>
      </c>
    </row>
    <row r="624" spans="2:10" x14ac:dyDescent="0.25">
      <c r="B624" s="84" t="s">
        <v>14</v>
      </c>
      <c r="C624" s="121" t="s">
        <v>473</v>
      </c>
      <c r="D624" s="38"/>
      <c r="E624" s="124" t="s">
        <v>10</v>
      </c>
      <c r="F624" s="20" t="str">
        <f>IF(H625=1,IF(H623=H$2,H623,""),"")</f>
        <v/>
      </c>
      <c r="G624" s="24"/>
      <c r="H624" s="19" t="str">
        <f>IF(E$658="comprobar",COUNTIF(D623:D627,"x"),"")</f>
        <v/>
      </c>
    </row>
    <row r="625" spans="2:10" x14ac:dyDescent="0.25">
      <c r="B625" s="84" t="s">
        <v>14</v>
      </c>
      <c r="C625" s="121" t="s">
        <v>474</v>
      </c>
      <c r="D625" s="38"/>
      <c r="E625" s="124" t="s">
        <v>11</v>
      </c>
      <c r="F625" s="21" t="str">
        <f>IF(H625=-0.33,IF(H623=H$1,H623,""),"")</f>
        <v/>
      </c>
      <c r="G625" s="24"/>
      <c r="H625" s="22">
        <f t="shared" ref="H625" si="58">IF(H624=1,IF(H623=H$2,1,-0.33),0)</f>
        <v>0</v>
      </c>
    </row>
    <row r="626" spans="2:10" x14ac:dyDescent="0.25">
      <c r="B626" s="84" t="s">
        <v>14</v>
      </c>
      <c r="C626" s="121" t="s">
        <v>475</v>
      </c>
      <c r="D626" s="38"/>
      <c r="E626" s="124" t="s">
        <v>12</v>
      </c>
      <c r="F626" s="18"/>
      <c r="G626" s="24"/>
      <c r="H626" s="22"/>
    </row>
    <row r="627" spans="2:10" x14ac:dyDescent="0.25">
      <c r="B627" s="84"/>
      <c r="C627" s="24"/>
      <c r="D627" s="38"/>
      <c r="E627" s="124" t="s">
        <v>13</v>
      </c>
      <c r="F627" s="18"/>
      <c r="G627" s="17"/>
      <c r="H627" s="22"/>
    </row>
    <row r="628" spans="2:10" x14ac:dyDescent="0.25">
      <c r="B628" s="123" t="s">
        <v>21</v>
      </c>
      <c r="C628" s="85" t="s">
        <v>476</v>
      </c>
      <c r="D628" s="39"/>
      <c r="E628" s="12"/>
      <c r="F628" s="14"/>
      <c r="G628" s="26"/>
      <c r="H628" s="13"/>
      <c r="I628" s="15"/>
      <c r="J628" s="15"/>
    </row>
    <row r="629" spans="2:10" x14ac:dyDescent="0.25">
      <c r="B629" s="84" t="s">
        <v>14</v>
      </c>
      <c r="C629" s="121" t="s">
        <v>477</v>
      </c>
      <c r="D629" s="38"/>
      <c r="E629" s="124" t="s">
        <v>9</v>
      </c>
      <c r="F629" s="18"/>
      <c r="G629" s="24"/>
      <c r="H629" s="19" t="b">
        <f>IF(D629="x",H$2,H$1)</f>
        <v>0</v>
      </c>
    </row>
    <row r="630" spans="2:10" x14ac:dyDescent="0.25">
      <c r="B630" s="84" t="s">
        <v>14</v>
      </c>
      <c r="C630" s="121" t="s">
        <v>478</v>
      </c>
      <c r="D630" s="38"/>
      <c r="E630" s="124" t="s">
        <v>10</v>
      </c>
      <c r="F630" s="20" t="str">
        <f>IF(H631=1,IF(H629=H$2,H629,""),"")</f>
        <v/>
      </c>
      <c r="G630" s="24"/>
      <c r="H630" s="19" t="str">
        <f>IF(E$658="comprobar",COUNTIF(D629:D633,"x"),"")</f>
        <v/>
      </c>
    </row>
    <row r="631" spans="2:10" x14ac:dyDescent="0.25">
      <c r="B631" s="84" t="s">
        <v>14</v>
      </c>
      <c r="C631" s="121" t="s">
        <v>479</v>
      </c>
      <c r="D631" s="38"/>
      <c r="E631" s="124" t="s">
        <v>11</v>
      </c>
      <c r="F631" s="21" t="str">
        <f>IF(H631=-0.33,IF(H629=H$1,H629,""),"")</f>
        <v/>
      </c>
      <c r="G631" s="24"/>
      <c r="H631" s="22">
        <f t="shared" ref="H631" si="59">IF(H630=1,IF(H629=H$2,1,-0.33),0)</f>
        <v>0</v>
      </c>
    </row>
    <row r="632" spans="2:10" x14ac:dyDescent="0.25">
      <c r="B632" s="84" t="s">
        <v>14</v>
      </c>
      <c r="C632" s="121" t="s">
        <v>480</v>
      </c>
      <c r="D632" s="38"/>
      <c r="E632" s="124" t="s">
        <v>12</v>
      </c>
      <c r="F632" s="18"/>
      <c r="G632" s="24"/>
      <c r="H632" s="22"/>
    </row>
    <row r="633" spans="2:10" x14ac:dyDescent="0.25">
      <c r="B633" s="42"/>
      <c r="C633" s="24"/>
      <c r="D633" s="38"/>
      <c r="E633" s="124" t="s">
        <v>13</v>
      </c>
      <c r="F633" s="18"/>
      <c r="G633" s="17"/>
      <c r="H633" s="22"/>
    </row>
    <row r="634" spans="2:10" x14ac:dyDescent="0.25">
      <c r="B634" s="123" t="s">
        <v>22</v>
      </c>
      <c r="C634" s="85" t="s">
        <v>481</v>
      </c>
      <c r="D634" s="39"/>
      <c r="E634" s="12"/>
      <c r="F634" s="14"/>
      <c r="G634" s="26"/>
      <c r="H634" s="13"/>
      <c r="I634" s="15"/>
      <c r="J634" s="15"/>
    </row>
    <row r="635" spans="2:10" x14ac:dyDescent="0.25">
      <c r="B635" s="84" t="s">
        <v>14</v>
      </c>
      <c r="C635" s="121" t="s">
        <v>482</v>
      </c>
      <c r="D635" s="38"/>
      <c r="E635" s="124" t="s">
        <v>9</v>
      </c>
      <c r="F635" s="18"/>
      <c r="G635" s="24"/>
      <c r="H635" s="19" t="b">
        <f>IF(D637="x",H$2,H$1)</f>
        <v>0</v>
      </c>
    </row>
    <row r="636" spans="2:10" x14ac:dyDescent="0.25">
      <c r="B636" s="84" t="s">
        <v>14</v>
      </c>
      <c r="C636" s="121" t="s">
        <v>483</v>
      </c>
      <c r="D636" s="38"/>
      <c r="E636" s="124" t="s">
        <v>10</v>
      </c>
      <c r="F636" s="20" t="str">
        <f>IF(H637=1,IF(H635=H$2,H635,""),"")</f>
        <v/>
      </c>
      <c r="G636" s="24"/>
      <c r="H636" s="19" t="str">
        <f>IF(E$658="comprobar",COUNTIF(D635:D639,"x"),"")</f>
        <v/>
      </c>
    </row>
    <row r="637" spans="2:10" x14ac:dyDescent="0.25">
      <c r="B637" s="84" t="s">
        <v>14</v>
      </c>
      <c r="C637" s="121" t="s">
        <v>484</v>
      </c>
      <c r="D637" s="38"/>
      <c r="E637" s="124" t="s">
        <v>11</v>
      </c>
      <c r="F637" s="21" t="str">
        <f>IF(H637=-0.33,IF(H635=H$1,H635,""),"")</f>
        <v/>
      </c>
      <c r="G637" s="24"/>
      <c r="H637" s="22">
        <f t="shared" ref="H637" si="60">IF(H636=1,IF(H635=H$2,1,-0.33),0)</f>
        <v>0</v>
      </c>
    </row>
    <row r="638" spans="2:10" x14ac:dyDescent="0.25">
      <c r="B638" s="84" t="s">
        <v>14</v>
      </c>
      <c r="C638" s="121" t="s">
        <v>485</v>
      </c>
      <c r="D638" s="38"/>
      <c r="E638" s="124" t="s">
        <v>12</v>
      </c>
      <c r="F638" s="18"/>
      <c r="G638" s="24"/>
      <c r="H638" s="22"/>
    </row>
    <row r="639" spans="2:10" x14ac:dyDescent="0.25">
      <c r="B639" s="42"/>
      <c r="C639" s="24"/>
      <c r="D639" s="38"/>
      <c r="E639" s="124" t="s">
        <v>13</v>
      </c>
      <c r="F639" s="18"/>
      <c r="G639" s="17"/>
      <c r="H639" s="22"/>
    </row>
    <row r="640" spans="2:10" x14ac:dyDescent="0.25">
      <c r="B640" s="123" t="s">
        <v>23</v>
      </c>
      <c r="C640" s="85" t="s">
        <v>486</v>
      </c>
      <c r="D640" s="39"/>
      <c r="E640" s="12"/>
      <c r="F640" s="14"/>
      <c r="G640" s="26"/>
      <c r="H640" s="13"/>
      <c r="I640" s="15"/>
      <c r="J640" s="15"/>
    </row>
    <row r="641" spans="2:8" x14ac:dyDescent="0.25">
      <c r="B641" s="84" t="s">
        <v>14</v>
      </c>
      <c r="C641" s="121" t="s">
        <v>487</v>
      </c>
      <c r="D641" s="38"/>
      <c r="E641" s="124" t="s">
        <v>9</v>
      </c>
      <c r="F641" s="18"/>
      <c r="G641" s="24"/>
      <c r="H641" s="19" t="b">
        <f>IF(D644="x",H$2,H$1)</f>
        <v>0</v>
      </c>
    </row>
    <row r="642" spans="2:8" x14ac:dyDescent="0.25">
      <c r="B642" s="84" t="s">
        <v>14</v>
      </c>
      <c r="C642" s="121" t="s">
        <v>484</v>
      </c>
      <c r="D642" s="38"/>
      <c r="E642" s="124" t="s">
        <v>10</v>
      </c>
      <c r="F642" s="20" t="str">
        <f>IF(H643=1,IF(H641=H$2,H641,""),"")</f>
        <v/>
      </c>
      <c r="G642" s="24"/>
      <c r="H642" s="19" t="str">
        <f>IF(E$658="comprobar",COUNTIF(D641:D645,"x"),"")</f>
        <v/>
      </c>
    </row>
    <row r="643" spans="2:8" x14ac:dyDescent="0.25">
      <c r="B643" s="84" t="s">
        <v>14</v>
      </c>
      <c r="C643" s="121" t="s">
        <v>482</v>
      </c>
      <c r="D643" s="38"/>
      <c r="E643" s="124" t="s">
        <v>11</v>
      </c>
      <c r="F643" s="21" t="str">
        <f>IF(H643=-0.33,IF(H641=H$1,H641,""),"")</f>
        <v/>
      </c>
      <c r="G643" s="24"/>
      <c r="H643" s="22">
        <f t="shared" ref="H643" si="61">IF(H642=1,IF(H641=H$2,1,-0.33),0)</f>
        <v>0</v>
      </c>
    </row>
    <row r="644" spans="2:8" x14ac:dyDescent="0.25">
      <c r="B644" s="84" t="s">
        <v>14</v>
      </c>
      <c r="C644" s="121" t="s">
        <v>483</v>
      </c>
      <c r="D644" s="38"/>
      <c r="E644" s="124" t="s">
        <v>12</v>
      </c>
      <c r="F644" s="18"/>
      <c r="G644" s="24"/>
      <c r="H644" s="22"/>
    </row>
    <row r="645" spans="2:8" x14ac:dyDescent="0.25">
      <c r="B645" s="109"/>
      <c r="C645" s="24"/>
      <c r="D645" s="38"/>
      <c r="E645" s="124" t="s">
        <v>13</v>
      </c>
      <c r="F645" s="18"/>
      <c r="G645" s="17"/>
      <c r="H645" s="22"/>
    </row>
    <row r="646" spans="2:8" x14ac:dyDescent="0.25">
      <c r="B646" s="123" t="s">
        <v>28</v>
      </c>
      <c r="C646" s="85" t="s">
        <v>488</v>
      </c>
      <c r="D646" s="39"/>
      <c r="E646" s="12"/>
      <c r="F646" s="14"/>
      <c r="G646" s="26"/>
      <c r="H646" s="13"/>
    </row>
    <row r="647" spans="2:8" x14ac:dyDescent="0.25">
      <c r="B647" s="84" t="s">
        <v>14</v>
      </c>
      <c r="C647" s="121" t="s">
        <v>489</v>
      </c>
      <c r="D647" s="38"/>
      <c r="E647" s="124" t="s">
        <v>9</v>
      </c>
      <c r="F647" s="18"/>
      <c r="G647" s="24"/>
      <c r="H647" s="19" t="b">
        <f>IF(D647="x",H$2,H$1)</f>
        <v>0</v>
      </c>
    </row>
    <row r="648" spans="2:8" x14ac:dyDescent="0.25">
      <c r="B648" s="84" t="s">
        <v>14</v>
      </c>
      <c r="C648" s="121" t="s">
        <v>490</v>
      </c>
      <c r="D648" s="38"/>
      <c r="E648" s="124" t="s">
        <v>10</v>
      </c>
      <c r="F648" s="20" t="str">
        <f>IF(H649=1,IF(H647=H$2,H647,""),"")</f>
        <v/>
      </c>
      <c r="G648" s="24"/>
      <c r="H648" s="19" t="str">
        <f>IF(E$658="comprobar",COUNTIF(D647:D651,"x"),"")</f>
        <v/>
      </c>
    </row>
    <row r="649" spans="2:8" x14ac:dyDescent="0.25">
      <c r="B649" s="84" t="s">
        <v>14</v>
      </c>
      <c r="C649" s="121" t="s">
        <v>491</v>
      </c>
      <c r="D649" s="38"/>
      <c r="E649" s="124" t="s">
        <v>11</v>
      </c>
      <c r="F649" s="21" t="str">
        <f>IF(H649=-0.33,IF(H647=H$1,H647,""),"")</f>
        <v/>
      </c>
      <c r="G649" s="24"/>
      <c r="H649" s="22">
        <f t="shared" ref="H649" si="62">IF(H648=1,IF(H647=H$2,1,-0.33),0)</f>
        <v>0</v>
      </c>
    </row>
    <row r="650" spans="2:8" x14ac:dyDescent="0.25">
      <c r="B650" s="84" t="s">
        <v>14</v>
      </c>
      <c r="C650" s="121" t="s">
        <v>492</v>
      </c>
      <c r="D650" s="38"/>
      <c r="E650" s="124" t="s">
        <v>12</v>
      </c>
      <c r="F650" s="18"/>
      <c r="G650" s="24"/>
      <c r="H650" s="22"/>
    </row>
    <row r="651" spans="2:8" x14ac:dyDescent="0.25">
      <c r="B651" s="109"/>
      <c r="C651" s="24"/>
      <c r="D651" s="38"/>
      <c r="E651" s="124" t="s">
        <v>13</v>
      </c>
      <c r="F651" s="18"/>
      <c r="G651" s="17"/>
      <c r="H651" s="22"/>
    </row>
    <row r="652" spans="2:8" x14ac:dyDescent="0.25">
      <c r="B652" s="123" t="s">
        <v>26</v>
      </c>
      <c r="C652" s="85" t="s">
        <v>493</v>
      </c>
      <c r="D652" s="39"/>
      <c r="E652" s="12"/>
      <c r="F652" s="14"/>
      <c r="G652" s="26"/>
      <c r="H652" s="13"/>
    </row>
    <row r="653" spans="2:8" x14ac:dyDescent="0.25">
      <c r="B653" s="84" t="s">
        <v>14</v>
      </c>
      <c r="C653" s="121" t="s">
        <v>494</v>
      </c>
      <c r="D653" s="38"/>
      <c r="E653" s="124" t="s">
        <v>9</v>
      </c>
      <c r="F653" s="18"/>
      <c r="G653" s="24"/>
      <c r="H653" s="19" t="b">
        <f>IF(D654="x",H$2,H$1)</f>
        <v>0</v>
      </c>
    </row>
    <row r="654" spans="2:8" x14ac:dyDescent="0.25">
      <c r="B654" s="84" t="s">
        <v>14</v>
      </c>
      <c r="C654" s="121" t="s">
        <v>495</v>
      </c>
      <c r="D654" s="38"/>
      <c r="E654" s="124" t="s">
        <v>10</v>
      </c>
      <c r="F654" s="20" t="str">
        <f>IF(H655=1,IF(H653=H$2,H653,""),"")</f>
        <v/>
      </c>
      <c r="G654" s="24"/>
      <c r="H654" s="19" t="str">
        <f>IF(E$658="comprobar",COUNTIF(D653:D657,"x"),"")</f>
        <v/>
      </c>
    </row>
    <row r="655" spans="2:8" x14ac:dyDescent="0.25">
      <c r="B655" s="84" t="s">
        <v>14</v>
      </c>
      <c r="C655" s="121" t="s">
        <v>496</v>
      </c>
      <c r="D655" s="38"/>
      <c r="E655" s="124" t="s">
        <v>11</v>
      </c>
      <c r="F655" s="21" t="str">
        <f>IF(H655=-0.33,IF(H653=H$1,H653,""),"")</f>
        <v/>
      </c>
      <c r="G655" s="24"/>
      <c r="H655" s="22">
        <f t="shared" ref="H655" si="63">IF(H654=1,IF(H653=H$2,1,-0.33),0)</f>
        <v>0</v>
      </c>
    </row>
    <row r="656" spans="2:8" x14ac:dyDescent="0.25">
      <c r="B656" s="84" t="s">
        <v>14</v>
      </c>
      <c r="C656" s="121" t="s">
        <v>497</v>
      </c>
      <c r="D656" s="38"/>
      <c r="E656" s="124" t="s">
        <v>12</v>
      </c>
      <c r="F656" s="18"/>
      <c r="G656" s="24"/>
      <c r="H656" s="22"/>
    </row>
    <row r="657" spans="2:10" x14ac:dyDescent="0.25">
      <c r="B657" s="109"/>
      <c r="C657" s="24"/>
      <c r="D657" s="38"/>
      <c r="E657" s="124" t="s">
        <v>13</v>
      </c>
      <c r="F657" s="18"/>
      <c r="G657" s="17"/>
      <c r="H657" s="22"/>
    </row>
    <row r="658" spans="2:10" x14ac:dyDescent="0.25">
      <c r="B658" s="109"/>
      <c r="C658" s="16"/>
      <c r="D658" s="48"/>
      <c r="E658" s="54"/>
      <c r="F658" s="18"/>
      <c r="G658" s="17"/>
      <c r="H658" s="22"/>
    </row>
    <row r="659" spans="2:10" x14ac:dyDescent="0.25">
      <c r="B659" s="42"/>
      <c r="C659" s="8"/>
      <c r="D659" s="48"/>
      <c r="E659" s="59"/>
      <c r="F659" s="28" t="s">
        <v>8</v>
      </c>
      <c r="G659" s="17" t="s">
        <v>6</v>
      </c>
      <c r="H659" s="17" t="s">
        <v>7</v>
      </c>
    </row>
    <row r="660" spans="2:10" ht="19.5" x14ac:dyDescent="0.25">
      <c r="B660" s="42"/>
      <c r="C660" s="8"/>
      <c r="D660" s="145"/>
      <c r="E660" s="145"/>
      <c r="F660" s="29" t="str">
        <f>IF(E$658="comprobar",H643+H637+H631+H625+H619+H613+H607+H601+H649+H655,"")</f>
        <v/>
      </c>
      <c r="G660" s="17">
        <f>10/2</f>
        <v>5</v>
      </c>
      <c r="H660" s="17"/>
    </row>
    <row r="661" spans="2:10" ht="16.5" thickBot="1" x14ac:dyDescent="0.3">
      <c r="B661" s="65"/>
      <c r="C661" s="66"/>
      <c r="D661" s="31"/>
      <c r="E661" s="9"/>
      <c r="F661" s="32" t="str">
        <f>IF(F660&gt;G660,G659,H659)</f>
        <v>APROBADO</v>
      </c>
      <c r="G661" s="17"/>
      <c r="H661" s="17"/>
    </row>
    <row r="662" spans="2:10" ht="28.5" x14ac:dyDescent="0.45">
      <c r="B662" s="61" t="s">
        <v>94</v>
      </c>
      <c r="C662" s="125" t="s">
        <v>41</v>
      </c>
      <c r="D662" s="125"/>
      <c r="E662" s="125"/>
      <c r="F662" s="126"/>
    </row>
    <row r="663" spans="2:10" x14ac:dyDescent="0.25">
      <c r="B663" s="120" t="s">
        <v>17</v>
      </c>
      <c r="C663" s="85" t="s">
        <v>498</v>
      </c>
      <c r="D663" s="12"/>
      <c r="E663" s="12"/>
      <c r="F663" s="14"/>
      <c r="G663" s="26"/>
      <c r="H663" s="13"/>
      <c r="I663" s="15"/>
      <c r="J663" s="15"/>
    </row>
    <row r="664" spans="2:10" x14ac:dyDescent="0.25">
      <c r="B664" s="84" t="s">
        <v>14</v>
      </c>
      <c r="C664" s="121" t="s">
        <v>499</v>
      </c>
      <c r="D664" s="38"/>
      <c r="E664" s="124"/>
      <c r="F664" s="18"/>
      <c r="G664" s="24"/>
      <c r="H664" s="19" t="b">
        <f>IF(D665="x",H$2,H$1)</f>
        <v>0</v>
      </c>
    </row>
    <row r="665" spans="2:10" x14ac:dyDescent="0.25">
      <c r="B665" s="84" t="s">
        <v>14</v>
      </c>
      <c r="C665" s="121" t="s">
        <v>500</v>
      </c>
      <c r="D665" s="38"/>
      <c r="E665" s="124" t="s">
        <v>10</v>
      </c>
      <c r="F665" s="20" t="str">
        <f>IF(H666=1,IF(H664=H$2,H664,""),"")</f>
        <v/>
      </c>
      <c r="G665" s="24"/>
      <c r="H665" s="19" t="str">
        <f>IF(E$723="comprobar",COUNTIF(D664:D668,"x"),"")</f>
        <v/>
      </c>
    </row>
    <row r="666" spans="2:10" x14ac:dyDescent="0.25">
      <c r="B666" s="84" t="s">
        <v>14</v>
      </c>
      <c r="C666" s="121" t="s">
        <v>501</v>
      </c>
      <c r="D666" s="38"/>
      <c r="E666" s="124" t="s">
        <v>11</v>
      </c>
      <c r="F666" s="21" t="str">
        <f>IF(H666=-0.33,IF(H664=H$1,H664,""),"")</f>
        <v/>
      </c>
      <c r="G666" s="24"/>
      <c r="H666" s="22">
        <f>IF(H665=1,IF(H664=H$2,1,-0.33),0)</f>
        <v>0</v>
      </c>
    </row>
    <row r="667" spans="2:10" x14ac:dyDescent="0.25">
      <c r="B667" s="84" t="s">
        <v>14</v>
      </c>
      <c r="C667" s="121" t="s">
        <v>502</v>
      </c>
      <c r="D667" s="38"/>
      <c r="E667" s="124" t="s">
        <v>12</v>
      </c>
      <c r="F667" s="18"/>
      <c r="G667" s="24"/>
      <c r="H667" s="22"/>
    </row>
    <row r="668" spans="2:10" x14ac:dyDescent="0.25">
      <c r="B668" s="42"/>
      <c r="C668" s="24"/>
      <c r="D668" s="38"/>
      <c r="E668" s="124" t="s">
        <v>13</v>
      </c>
      <c r="F668" s="18"/>
      <c r="G668" s="17"/>
      <c r="H668" s="22"/>
    </row>
    <row r="669" spans="2:10" x14ac:dyDescent="0.25">
      <c r="B669" s="123" t="s">
        <v>16</v>
      </c>
      <c r="C669" s="85" t="s">
        <v>728</v>
      </c>
      <c r="D669" s="39"/>
      <c r="E669" s="12"/>
      <c r="F669" s="14"/>
      <c r="G669" s="26"/>
      <c r="H669" s="13"/>
      <c r="I669" s="15"/>
      <c r="J669" s="15"/>
    </row>
    <row r="670" spans="2:10" x14ac:dyDescent="0.25">
      <c r="B670" s="84" t="s">
        <v>14</v>
      </c>
      <c r="C670" s="121" t="s">
        <v>503</v>
      </c>
      <c r="D670" s="38"/>
      <c r="E670" s="124" t="s">
        <v>9</v>
      </c>
      <c r="F670" s="18"/>
      <c r="G670" s="24"/>
      <c r="H670" s="19" t="b">
        <f>IF(D671="x",H$2,H$1)</f>
        <v>0</v>
      </c>
    </row>
    <row r="671" spans="2:10" x14ac:dyDescent="0.25">
      <c r="B671" s="84" t="s">
        <v>14</v>
      </c>
      <c r="C671" s="121" t="s">
        <v>504</v>
      </c>
      <c r="D671" s="38"/>
      <c r="E671" s="124" t="s">
        <v>10</v>
      </c>
      <c r="F671" s="20" t="str">
        <f>IF(H672=1,IF(H670=H$2,H670,""),"")</f>
        <v/>
      </c>
      <c r="G671" s="24"/>
      <c r="H671" s="19" t="str">
        <f>IF(E$723="comprobar",COUNTIF(D670:D674,"x"),"")</f>
        <v/>
      </c>
    </row>
    <row r="672" spans="2:10" x14ac:dyDescent="0.25">
      <c r="B672" s="84" t="s">
        <v>14</v>
      </c>
      <c r="C672" s="121" t="s">
        <v>505</v>
      </c>
      <c r="D672" s="38"/>
      <c r="E672" s="124" t="s">
        <v>11</v>
      </c>
      <c r="F672" s="21" t="str">
        <f>IF(H672=-0.33,IF(H670=H$1,H670,""),"")</f>
        <v/>
      </c>
      <c r="G672" s="24"/>
      <c r="H672" s="22">
        <f t="shared" ref="H672" si="64">IF(H671=1,IF(H670=H$2,1,-0.33),0)</f>
        <v>0</v>
      </c>
    </row>
    <row r="673" spans="2:10" x14ac:dyDescent="0.25">
      <c r="B673" s="84" t="s">
        <v>14</v>
      </c>
      <c r="C673" s="121" t="s">
        <v>506</v>
      </c>
      <c r="D673" s="38"/>
      <c r="E673" s="124" t="s">
        <v>12</v>
      </c>
      <c r="F673" s="18"/>
      <c r="G673" s="24"/>
      <c r="H673" s="22"/>
    </row>
    <row r="674" spans="2:10" x14ac:dyDescent="0.25">
      <c r="B674" s="84"/>
      <c r="C674" s="24"/>
      <c r="D674" s="38"/>
      <c r="E674" s="124" t="s">
        <v>13</v>
      </c>
      <c r="F674" s="18"/>
      <c r="G674" s="17"/>
      <c r="H674" s="22"/>
    </row>
    <row r="675" spans="2:10" x14ac:dyDescent="0.25">
      <c r="B675" s="123" t="s">
        <v>18</v>
      </c>
      <c r="C675" s="85" t="s">
        <v>729</v>
      </c>
      <c r="D675" s="39"/>
      <c r="E675" s="12"/>
      <c r="F675" s="14"/>
      <c r="G675" s="26"/>
      <c r="H675" s="13"/>
      <c r="I675" s="15"/>
      <c r="J675" s="15"/>
    </row>
    <row r="676" spans="2:10" x14ac:dyDescent="0.25">
      <c r="B676" s="84" t="s">
        <v>14</v>
      </c>
      <c r="C676" s="121" t="s">
        <v>507</v>
      </c>
      <c r="D676" s="38"/>
      <c r="E676" s="124" t="s">
        <v>9</v>
      </c>
      <c r="F676" s="18"/>
      <c r="G676" s="24"/>
      <c r="H676" s="19" t="b">
        <f>IF(D678="x",H$2,H$1)</f>
        <v>0</v>
      </c>
    </row>
    <row r="677" spans="2:10" x14ac:dyDescent="0.25">
      <c r="B677" s="84" t="s">
        <v>14</v>
      </c>
      <c r="C677" s="121" t="s">
        <v>508</v>
      </c>
      <c r="D677" s="38"/>
      <c r="E677" s="124" t="s">
        <v>10</v>
      </c>
      <c r="F677" s="20" t="str">
        <f>IF(H678=1,IF(H676=H$2,H676,""),"")</f>
        <v/>
      </c>
      <c r="G677" s="24"/>
      <c r="H677" s="19" t="str">
        <f>IF(E$723="comprobar",COUNTIF(D676:D680,"x"),"")</f>
        <v/>
      </c>
    </row>
    <row r="678" spans="2:10" x14ac:dyDescent="0.25">
      <c r="B678" s="84" t="s">
        <v>14</v>
      </c>
      <c r="C678" s="121" t="s">
        <v>509</v>
      </c>
      <c r="D678" s="38"/>
      <c r="E678" s="124" t="s">
        <v>11</v>
      </c>
      <c r="F678" s="21" t="str">
        <f>IF(H678=-0.33,IF(H676=H$1,H676,""),"")</f>
        <v/>
      </c>
      <c r="G678" s="24"/>
      <c r="H678" s="22">
        <f t="shared" ref="H678" si="65">IF(H677=1,IF(H676=H$2,1,-0.33),0)</f>
        <v>0</v>
      </c>
    </row>
    <row r="679" spans="2:10" x14ac:dyDescent="0.25">
      <c r="B679" s="84" t="s">
        <v>14</v>
      </c>
      <c r="C679" s="121" t="s">
        <v>510</v>
      </c>
      <c r="D679" s="38"/>
      <c r="E679" s="124" t="s">
        <v>12</v>
      </c>
      <c r="F679" s="18"/>
      <c r="G679" s="24"/>
      <c r="H679" s="22"/>
    </row>
    <row r="680" spans="2:10" x14ac:dyDescent="0.25">
      <c r="B680" s="84"/>
      <c r="C680" s="24"/>
      <c r="D680" s="38"/>
      <c r="E680" s="124" t="s">
        <v>13</v>
      </c>
      <c r="F680" s="18"/>
      <c r="G680" s="17"/>
      <c r="H680" s="22"/>
    </row>
    <row r="681" spans="2:10" x14ac:dyDescent="0.25">
      <c r="B681" s="123" t="s">
        <v>19</v>
      </c>
      <c r="C681" s="85" t="s">
        <v>511</v>
      </c>
      <c r="D681" s="39"/>
      <c r="E681" s="12"/>
      <c r="F681" s="14"/>
      <c r="G681" s="26"/>
      <c r="H681" s="13"/>
      <c r="I681" s="15"/>
      <c r="J681" s="15"/>
    </row>
    <row r="682" spans="2:10" x14ac:dyDescent="0.25">
      <c r="B682" s="84" t="s">
        <v>14</v>
      </c>
      <c r="C682" s="121" t="s">
        <v>432</v>
      </c>
      <c r="D682" s="38"/>
      <c r="E682" s="124" t="s">
        <v>9</v>
      </c>
      <c r="F682" s="18"/>
      <c r="G682" s="24"/>
      <c r="H682" s="19" t="b">
        <f>IF(D683="x",H$2,H$1)</f>
        <v>0</v>
      </c>
    </row>
    <row r="683" spans="2:10" x14ac:dyDescent="0.25">
      <c r="B683" s="84" t="s">
        <v>14</v>
      </c>
      <c r="C683" s="121" t="s">
        <v>430</v>
      </c>
      <c r="D683" s="38"/>
      <c r="E683" s="124" t="s">
        <v>10</v>
      </c>
      <c r="F683" s="20" t="str">
        <f>IF(H684=1,IF(H682=H$2,H682,""),"")</f>
        <v/>
      </c>
      <c r="G683" s="24"/>
      <c r="H683" s="19" t="str">
        <f>IF(E$723="comprobar",COUNTIF(D682:D686,"x"),"")</f>
        <v/>
      </c>
    </row>
    <row r="684" spans="2:10" x14ac:dyDescent="0.25">
      <c r="B684" s="84" t="s">
        <v>14</v>
      </c>
      <c r="C684" s="121" t="s">
        <v>512</v>
      </c>
      <c r="D684" s="38"/>
      <c r="E684" s="124" t="s">
        <v>11</v>
      </c>
      <c r="F684" s="21" t="str">
        <f>IF(H684=-0.33,IF(H682=H$1,H682,""),"")</f>
        <v/>
      </c>
      <c r="G684" s="24"/>
      <c r="H684" s="22">
        <f t="shared" ref="H684" si="66">IF(H683=1,IF(H682=H$2,1,-0.33),0)</f>
        <v>0</v>
      </c>
    </row>
    <row r="685" spans="2:10" x14ac:dyDescent="0.25">
      <c r="B685" s="84" t="s">
        <v>14</v>
      </c>
      <c r="C685" s="121" t="s">
        <v>513</v>
      </c>
      <c r="D685" s="38"/>
      <c r="E685" s="124" t="s">
        <v>12</v>
      </c>
      <c r="F685" s="18"/>
      <c r="G685" s="24"/>
      <c r="H685" s="22"/>
    </row>
    <row r="686" spans="2:10" x14ac:dyDescent="0.25">
      <c r="B686" s="84"/>
      <c r="C686" s="24"/>
      <c r="D686" s="38"/>
      <c r="E686" s="124" t="s">
        <v>13</v>
      </c>
      <c r="F686" s="18"/>
      <c r="G686" s="17"/>
      <c r="H686" s="22"/>
    </row>
    <row r="687" spans="2:10" x14ac:dyDescent="0.25">
      <c r="B687" s="123" t="s">
        <v>20</v>
      </c>
      <c r="C687" s="85" t="s">
        <v>514</v>
      </c>
      <c r="D687" s="39"/>
      <c r="E687" s="12"/>
      <c r="F687" s="14"/>
      <c r="G687" s="26"/>
      <c r="H687" s="13"/>
      <c r="I687" s="15"/>
      <c r="J687" s="15"/>
    </row>
    <row r="688" spans="2:10" x14ac:dyDescent="0.25">
      <c r="B688" s="84" t="s">
        <v>14</v>
      </c>
      <c r="C688" s="121" t="s">
        <v>515</v>
      </c>
      <c r="D688" s="38"/>
      <c r="E688" s="124" t="s">
        <v>9</v>
      </c>
      <c r="F688" s="18"/>
      <c r="G688" s="24"/>
      <c r="H688" s="19" t="b">
        <f>IF(D690="x",H$2,H$1)</f>
        <v>0</v>
      </c>
    </row>
    <row r="689" spans="2:10" x14ac:dyDescent="0.25">
      <c r="B689" s="84" t="s">
        <v>14</v>
      </c>
      <c r="C689" s="121" t="s">
        <v>516</v>
      </c>
      <c r="D689" s="38"/>
      <c r="E689" s="124" t="s">
        <v>10</v>
      </c>
      <c r="F689" s="20" t="str">
        <f>IF(H690=1,IF(H688=H$2,H688,""),"")</f>
        <v/>
      </c>
      <c r="G689" s="24"/>
      <c r="H689" s="19" t="str">
        <f>IF(E$723="comprobar",COUNTIF(D688:D692,"x"),"")</f>
        <v/>
      </c>
    </row>
    <row r="690" spans="2:10" x14ac:dyDescent="0.25">
      <c r="B690" s="84" t="s">
        <v>14</v>
      </c>
      <c r="C690" s="121" t="s">
        <v>517</v>
      </c>
      <c r="D690" s="38"/>
      <c r="E690" s="124" t="s">
        <v>11</v>
      </c>
      <c r="F690" s="21" t="str">
        <f>IF(H690=-0.33,IF(H688=H$1,H688,""),"")</f>
        <v/>
      </c>
      <c r="G690" s="24"/>
      <c r="H690" s="22">
        <f t="shared" ref="H690" si="67">IF(H689=1,IF(H688=H$2,1,-0.33),0)</f>
        <v>0</v>
      </c>
    </row>
    <row r="691" spans="2:10" x14ac:dyDescent="0.25">
      <c r="B691" s="84" t="s">
        <v>14</v>
      </c>
      <c r="C691" s="121" t="s">
        <v>518</v>
      </c>
      <c r="D691" s="38"/>
      <c r="E691" s="124" t="s">
        <v>12</v>
      </c>
      <c r="F691" s="18"/>
      <c r="G691" s="24"/>
      <c r="H691" s="22"/>
    </row>
    <row r="692" spans="2:10" x14ac:dyDescent="0.25">
      <c r="B692" s="84"/>
      <c r="C692" s="24"/>
      <c r="D692" s="38"/>
      <c r="E692" s="124" t="s">
        <v>13</v>
      </c>
      <c r="F692" s="18"/>
      <c r="G692" s="17"/>
      <c r="H692" s="22"/>
    </row>
    <row r="693" spans="2:10" x14ac:dyDescent="0.25">
      <c r="B693" s="123" t="s">
        <v>21</v>
      </c>
      <c r="C693" s="85" t="s">
        <v>519</v>
      </c>
      <c r="D693" s="39"/>
      <c r="E693" s="12"/>
      <c r="F693" s="14"/>
      <c r="G693" s="26"/>
      <c r="H693" s="13"/>
      <c r="I693" s="15"/>
      <c r="J693" s="15"/>
    </row>
    <row r="694" spans="2:10" x14ac:dyDescent="0.25">
      <c r="B694" s="84" t="s">
        <v>14</v>
      </c>
      <c r="C694" s="121" t="s">
        <v>520</v>
      </c>
      <c r="D694" s="38"/>
      <c r="E694" s="124" t="s">
        <v>9</v>
      </c>
      <c r="F694" s="18"/>
      <c r="G694" s="24"/>
      <c r="H694" s="19" t="b">
        <f>IF(D694="x",H$2,H$1)</f>
        <v>0</v>
      </c>
    </row>
    <row r="695" spans="2:10" x14ac:dyDescent="0.25">
      <c r="B695" s="84" t="s">
        <v>14</v>
      </c>
      <c r="C695" s="121" t="s">
        <v>521</v>
      </c>
      <c r="D695" s="38"/>
      <c r="E695" s="124" t="s">
        <v>10</v>
      </c>
      <c r="F695" s="20" t="str">
        <f>IF(H696=1,IF(H694=H$2,H694,""),"")</f>
        <v/>
      </c>
      <c r="G695" s="24"/>
      <c r="H695" s="19" t="str">
        <f>IF(E$723="comprobar",COUNTIF(D694:D698,"x"),"")</f>
        <v/>
      </c>
    </row>
    <row r="696" spans="2:10" x14ac:dyDescent="0.25">
      <c r="B696" s="84" t="s">
        <v>14</v>
      </c>
      <c r="C696" s="121" t="s">
        <v>451</v>
      </c>
      <c r="D696" s="38"/>
      <c r="E696" s="124" t="s">
        <v>11</v>
      </c>
      <c r="F696" s="21" t="str">
        <f>IF(H696=-0.33,IF(H694=H$1,H694,""),"")</f>
        <v/>
      </c>
      <c r="G696" s="24"/>
      <c r="H696" s="22">
        <f t="shared" ref="H696" si="68">IF(H695=1,IF(H694=H$2,1,-0.33),0)</f>
        <v>0</v>
      </c>
    </row>
    <row r="697" spans="2:10" x14ac:dyDescent="0.25">
      <c r="B697" s="84" t="s">
        <v>14</v>
      </c>
      <c r="C697" s="121" t="s">
        <v>522</v>
      </c>
      <c r="D697" s="38"/>
      <c r="E697" s="124" t="s">
        <v>12</v>
      </c>
      <c r="F697" s="18"/>
      <c r="G697" s="24"/>
      <c r="H697" s="22"/>
    </row>
    <row r="698" spans="2:10" x14ac:dyDescent="0.25">
      <c r="B698" s="42"/>
      <c r="C698" s="24"/>
      <c r="D698" s="38"/>
      <c r="E698" s="124" t="s">
        <v>13</v>
      </c>
      <c r="F698" s="18"/>
      <c r="G698" s="17"/>
      <c r="H698" s="22"/>
    </row>
    <row r="699" spans="2:10" x14ac:dyDescent="0.25">
      <c r="B699" s="123" t="s">
        <v>22</v>
      </c>
      <c r="C699" s="85" t="s">
        <v>523</v>
      </c>
      <c r="D699" s="39"/>
      <c r="E699" s="12"/>
      <c r="F699" s="14"/>
      <c r="G699" s="26"/>
      <c r="H699" s="13"/>
      <c r="I699" s="15"/>
      <c r="J699" s="15"/>
    </row>
    <row r="700" spans="2:10" x14ac:dyDescent="0.25">
      <c r="B700" s="84" t="s">
        <v>14</v>
      </c>
      <c r="C700" s="121" t="s">
        <v>524</v>
      </c>
      <c r="D700" s="38"/>
      <c r="E700" s="124" t="s">
        <v>9</v>
      </c>
      <c r="F700" s="18"/>
      <c r="G700" s="24"/>
      <c r="H700" s="19" t="b">
        <f>IF(D703="x",H$2,H$1)</f>
        <v>0</v>
      </c>
    </row>
    <row r="701" spans="2:10" x14ac:dyDescent="0.25">
      <c r="B701" s="84" t="s">
        <v>14</v>
      </c>
      <c r="C701" s="121" t="s">
        <v>525</v>
      </c>
      <c r="D701" s="38"/>
      <c r="E701" s="124" t="s">
        <v>10</v>
      </c>
      <c r="F701" s="20" t="str">
        <f>IF(H702=1,IF(H700=H$2,H700,""),"")</f>
        <v/>
      </c>
      <c r="G701" s="24"/>
      <c r="H701" s="19" t="str">
        <f>IF(E$723="comprobar",COUNTIF(D700:D704,"x"),"")</f>
        <v/>
      </c>
    </row>
    <row r="702" spans="2:10" x14ac:dyDescent="0.25">
      <c r="B702" s="84" t="s">
        <v>14</v>
      </c>
      <c r="C702" s="121" t="s">
        <v>47</v>
      </c>
      <c r="D702" s="38"/>
      <c r="E702" s="124" t="s">
        <v>11</v>
      </c>
      <c r="F702" s="21" t="str">
        <f>IF(H702=-0.33,IF(H700=H$1,H700,""),"")</f>
        <v/>
      </c>
      <c r="G702" s="24"/>
      <c r="H702" s="22">
        <f t="shared" ref="H702" si="69">IF(H701=1,IF(H700=H$2,1,-0.33),0)</f>
        <v>0</v>
      </c>
    </row>
    <row r="703" spans="2:10" x14ac:dyDescent="0.25">
      <c r="B703" s="84" t="s">
        <v>14</v>
      </c>
      <c r="C703" s="121" t="s">
        <v>109</v>
      </c>
      <c r="D703" s="38"/>
      <c r="E703" s="124" t="s">
        <v>12</v>
      </c>
      <c r="F703" s="18"/>
      <c r="G703" s="24"/>
      <c r="H703" s="22"/>
    </row>
    <row r="704" spans="2:10" x14ac:dyDescent="0.25">
      <c r="B704" s="42"/>
      <c r="C704" s="24"/>
      <c r="D704" s="38"/>
      <c r="E704" s="124" t="s">
        <v>13</v>
      </c>
      <c r="F704" s="18"/>
      <c r="G704" s="17"/>
      <c r="H704" s="22"/>
    </row>
    <row r="705" spans="2:10" x14ac:dyDescent="0.25">
      <c r="B705" s="123" t="s">
        <v>23</v>
      </c>
      <c r="C705" s="85" t="s">
        <v>526</v>
      </c>
      <c r="D705" s="39"/>
      <c r="E705" s="12"/>
      <c r="F705" s="14"/>
      <c r="G705" s="26"/>
      <c r="H705" s="13"/>
      <c r="I705" s="15"/>
      <c r="J705" s="15"/>
    </row>
    <row r="706" spans="2:10" x14ac:dyDescent="0.25">
      <c r="B706" s="84" t="s">
        <v>14</v>
      </c>
      <c r="C706" s="121" t="s">
        <v>527</v>
      </c>
      <c r="D706" s="38"/>
      <c r="E706" s="124" t="s">
        <v>9</v>
      </c>
      <c r="F706" s="18"/>
      <c r="G706" s="24"/>
      <c r="H706" s="19" t="b">
        <f>IF(D708="x",H$2,H$1)</f>
        <v>0</v>
      </c>
    </row>
    <row r="707" spans="2:10" x14ac:dyDescent="0.25">
      <c r="B707" s="84" t="s">
        <v>14</v>
      </c>
      <c r="C707" s="121" t="s">
        <v>528</v>
      </c>
      <c r="D707" s="38"/>
      <c r="E707" s="124" t="s">
        <v>10</v>
      </c>
      <c r="F707" s="20" t="str">
        <f>IF(H708=1,IF(H706=H$2,H706,""),"")</f>
        <v/>
      </c>
      <c r="G707" s="24"/>
      <c r="H707" s="19" t="str">
        <f>IF(E$723="comprobar",COUNTIF(D706:D710,"x"),"")</f>
        <v/>
      </c>
    </row>
    <row r="708" spans="2:10" x14ac:dyDescent="0.25">
      <c r="B708" s="84" t="s">
        <v>14</v>
      </c>
      <c r="C708" s="121" t="s">
        <v>529</v>
      </c>
      <c r="D708" s="38"/>
      <c r="E708" s="124" t="s">
        <v>11</v>
      </c>
      <c r="F708" s="21" t="str">
        <f>IF(H708=-0.33,IF(H706=H$1,H706,""),"")</f>
        <v/>
      </c>
      <c r="G708" s="24"/>
      <c r="H708" s="22">
        <f t="shared" ref="H708" si="70">IF(H707=1,IF(H706=H$2,1,-0.33),0)</f>
        <v>0</v>
      </c>
    </row>
    <row r="709" spans="2:10" x14ac:dyDescent="0.25">
      <c r="B709" s="84" t="s">
        <v>14</v>
      </c>
      <c r="C709" s="121" t="s">
        <v>394</v>
      </c>
      <c r="D709" s="38"/>
      <c r="E709" s="124" t="s">
        <v>12</v>
      </c>
      <c r="F709" s="18"/>
      <c r="G709" s="24"/>
      <c r="H709" s="22"/>
    </row>
    <row r="710" spans="2:10" x14ac:dyDescent="0.25">
      <c r="B710" s="109"/>
      <c r="C710" s="24"/>
      <c r="D710" s="38"/>
      <c r="E710" s="124" t="s">
        <v>13</v>
      </c>
      <c r="F710" s="18"/>
      <c r="G710" s="17"/>
      <c r="H710" s="22"/>
    </row>
    <row r="711" spans="2:10" x14ac:dyDescent="0.25">
      <c r="B711" s="123" t="s">
        <v>28</v>
      </c>
      <c r="C711" s="85" t="s">
        <v>530</v>
      </c>
      <c r="D711" s="39"/>
      <c r="E711" s="12"/>
      <c r="F711" s="14"/>
      <c r="G711" s="26"/>
      <c r="H711" s="13"/>
    </row>
    <row r="712" spans="2:10" x14ac:dyDescent="0.25">
      <c r="B712" s="84" t="s">
        <v>14</v>
      </c>
      <c r="C712" s="121" t="s">
        <v>531</v>
      </c>
      <c r="D712" s="38"/>
      <c r="E712" s="124" t="s">
        <v>9</v>
      </c>
      <c r="F712" s="18"/>
      <c r="G712" s="24"/>
      <c r="H712" s="19" t="b">
        <f>IF(D714="x",H$2,H$1)</f>
        <v>0</v>
      </c>
    </row>
    <row r="713" spans="2:10" x14ac:dyDescent="0.25">
      <c r="B713" s="84" t="s">
        <v>14</v>
      </c>
      <c r="C713" s="121" t="s">
        <v>532</v>
      </c>
      <c r="D713" s="38"/>
      <c r="E713" s="124" t="s">
        <v>10</v>
      </c>
      <c r="F713" s="20" t="str">
        <f>IF(H714=1,IF(H712=H$2,H712,""),"")</f>
        <v/>
      </c>
      <c r="G713" s="24"/>
      <c r="H713" s="19" t="str">
        <f>IF(E$723="comprobar",COUNTIF(D712:D716,"x"),"")</f>
        <v/>
      </c>
    </row>
    <row r="714" spans="2:10" x14ac:dyDescent="0.25">
      <c r="B714" s="84" t="s">
        <v>14</v>
      </c>
      <c r="C714" s="121" t="s">
        <v>533</v>
      </c>
      <c r="D714" s="38"/>
      <c r="E714" s="124" t="s">
        <v>11</v>
      </c>
      <c r="F714" s="21" t="str">
        <f>IF(H714=-0.33,IF(H712=H$1,H712,""),"")</f>
        <v/>
      </c>
      <c r="G714" s="24"/>
      <c r="H714" s="22">
        <f t="shared" ref="H714" si="71">IF(H713=1,IF(H712=H$2,1,-0.33),0)</f>
        <v>0</v>
      </c>
    </row>
    <row r="715" spans="2:10" x14ac:dyDescent="0.25">
      <c r="B715" s="84" t="s">
        <v>14</v>
      </c>
      <c r="C715" s="121" t="s">
        <v>534</v>
      </c>
      <c r="D715" s="38"/>
      <c r="E715" s="124" t="s">
        <v>12</v>
      </c>
      <c r="F715" s="18"/>
      <c r="G715" s="24"/>
      <c r="H715" s="22"/>
    </row>
    <row r="716" spans="2:10" x14ac:dyDescent="0.25">
      <c r="B716" s="109"/>
      <c r="C716" s="24"/>
      <c r="D716" s="38"/>
      <c r="E716" s="124" t="s">
        <v>13</v>
      </c>
      <c r="F716" s="18"/>
      <c r="G716" s="17"/>
      <c r="H716" s="22"/>
    </row>
    <row r="717" spans="2:10" x14ac:dyDescent="0.25">
      <c r="B717" s="123" t="s">
        <v>26</v>
      </c>
      <c r="C717" s="85" t="s">
        <v>535</v>
      </c>
      <c r="D717" s="39"/>
      <c r="E717" s="12"/>
      <c r="F717" s="14"/>
      <c r="G717" s="26"/>
      <c r="H717" s="13"/>
    </row>
    <row r="718" spans="2:10" x14ac:dyDescent="0.25">
      <c r="B718" s="84" t="s">
        <v>14</v>
      </c>
      <c r="C718" s="121" t="s">
        <v>536</v>
      </c>
      <c r="D718" s="38"/>
      <c r="E718" s="124" t="s">
        <v>9</v>
      </c>
      <c r="F718" s="18"/>
      <c r="G718" s="24"/>
      <c r="H718" s="19" t="b">
        <f>IF(D721="x",H$2,H$1)</f>
        <v>0</v>
      </c>
    </row>
    <row r="719" spans="2:10" x14ac:dyDescent="0.25">
      <c r="B719" s="84" t="s">
        <v>14</v>
      </c>
      <c r="C719" s="121" t="s">
        <v>537</v>
      </c>
      <c r="D719" s="38"/>
      <c r="E719" s="124" t="s">
        <v>10</v>
      </c>
      <c r="F719" s="20" t="str">
        <f>IF(H720=1,IF(H718=H$2,H718,""),"")</f>
        <v/>
      </c>
      <c r="G719" s="24"/>
      <c r="H719" s="19" t="str">
        <f>IF(E$723="comprobar",COUNTIF(D718:D722,"x"),"")</f>
        <v/>
      </c>
    </row>
    <row r="720" spans="2:10" x14ac:dyDescent="0.25">
      <c r="B720" s="84" t="s">
        <v>14</v>
      </c>
      <c r="C720" s="121" t="s">
        <v>538</v>
      </c>
      <c r="D720" s="38"/>
      <c r="E720" s="124" t="s">
        <v>11</v>
      </c>
      <c r="F720" s="21" t="str">
        <f>IF(H720=-0.33,IF(H718=H$1,H718,""),"")</f>
        <v/>
      </c>
      <c r="G720" s="24"/>
      <c r="H720" s="22">
        <f t="shared" ref="H720" si="72">IF(H719=1,IF(H718=H$2,1,-0.33),0)</f>
        <v>0</v>
      </c>
    </row>
    <row r="721" spans="2:10" x14ac:dyDescent="0.25">
      <c r="B721" s="84" t="s">
        <v>14</v>
      </c>
      <c r="C721" s="121" t="s">
        <v>539</v>
      </c>
      <c r="D721" s="38"/>
      <c r="E721" s="124" t="s">
        <v>12</v>
      </c>
      <c r="F721" s="18"/>
      <c r="G721" s="24"/>
      <c r="H721" s="22"/>
    </row>
    <row r="722" spans="2:10" x14ac:dyDescent="0.25">
      <c r="B722" s="109"/>
      <c r="C722" s="24"/>
      <c r="D722" s="38"/>
      <c r="E722" s="124" t="s">
        <v>13</v>
      </c>
      <c r="F722" s="18"/>
      <c r="G722" s="17"/>
      <c r="H722" s="22"/>
    </row>
    <row r="723" spans="2:10" x14ac:dyDescent="0.25">
      <c r="B723" s="109"/>
      <c r="C723" s="16"/>
      <c r="D723" s="48"/>
      <c r="E723" s="54"/>
      <c r="F723" s="18"/>
      <c r="G723" s="17"/>
      <c r="H723" s="22"/>
    </row>
    <row r="724" spans="2:10" x14ac:dyDescent="0.25">
      <c r="B724" s="42"/>
      <c r="C724" s="8"/>
      <c r="D724" s="48"/>
      <c r="E724" s="59"/>
      <c r="F724" s="28" t="s">
        <v>8</v>
      </c>
      <c r="G724" s="17" t="s">
        <v>6</v>
      </c>
      <c r="H724" s="17" t="s">
        <v>7</v>
      </c>
    </row>
    <row r="725" spans="2:10" ht="19.5" x14ac:dyDescent="0.25">
      <c r="B725" s="42"/>
      <c r="C725" s="8"/>
      <c r="D725" s="145"/>
      <c r="E725" s="145"/>
      <c r="F725" s="29" t="str">
        <f>IF(E$723="comprobar",H708+H702+H696+H690+H684+H678+H672+H666+H714+H720,"")</f>
        <v/>
      </c>
      <c r="G725" s="17">
        <f>10/2</f>
        <v>5</v>
      </c>
      <c r="H725" s="17"/>
    </row>
    <row r="726" spans="2:10" ht="16.5" thickBot="1" x14ac:dyDescent="0.3">
      <c r="B726" s="65"/>
      <c r="C726" s="66"/>
      <c r="D726" s="31"/>
      <c r="E726" s="9"/>
      <c r="F726" s="32" t="str">
        <f>IF(F725&gt;G725,G724,H724)</f>
        <v>APROBADO</v>
      </c>
      <c r="G726" s="17"/>
      <c r="H726" s="17"/>
    </row>
    <row r="727" spans="2:10" ht="28.5" x14ac:dyDescent="0.45">
      <c r="B727" s="61" t="s">
        <v>94</v>
      </c>
      <c r="C727" s="125" t="s">
        <v>42</v>
      </c>
      <c r="D727" s="125"/>
      <c r="E727" s="125"/>
      <c r="F727" s="126"/>
    </row>
    <row r="728" spans="2:10" x14ac:dyDescent="0.25">
      <c r="B728" s="120" t="s">
        <v>17</v>
      </c>
      <c r="C728" s="85" t="s">
        <v>543</v>
      </c>
      <c r="D728" s="12"/>
      <c r="E728" s="12"/>
      <c r="F728" s="14"/>
      <c r="G728" s="26"/>
      <c r="H728" s="13"/>
      <c r="I728" s="15"/>
      <c r="J728" s="15"/>
    </row>
    <row r="729" spans="2:10" x14ac:dyDescent="0.25">
      <c r="B729" s="84" t="s">
        <v>14</v>
      </c>
      <c r="C729" s="121" t="s">
        <v>544</v>
      </c>
      <c r="D729" s="38"/>
      <c r="E729" s="124"/>
      <c r="F729" s="18"/>
      <c r="G729" s="24"/>
      <c r="H729" s="19" t="b">
        <f>IF(D730="x",H$2,H$1)</f>
        <v>0</v>
      </c>
    </row>
    <row r="730" spans="2:10" x14ac:dyDescent="0.25">
      <c r="B730" s="84" t="s">
        <v>14</v>
      </c>
      <c r="C730" s="121" t="s">
        <v>545</v>
      </c>
      <c r="D730" s="38"/>
      <c r="E730" s="124" t="s">
        <v>10</v>
      </c>
      <c r="F730" s="20" t="str">
        <f>IF(H731=1,IF(H729=H$2,H729,""),"")</f>
        <v/>
      </c>
      <c r="G730" s="24"/>
      <c r="H730" s="19" t="str">
        <f>IF(E$788="comprobar",COUNTIF(D729:D733,"x"),"")</f>
        <v/>
      </c>
    </row>
    <row r="731" spans="2:10" x14ac:dyDescent="0.25">
      <c r="B731" s="84" t="s">
        <v>14</v>
      </c>
      <c r="C731" s="121" t="s">
        <v>546</v>
      </c>
      <c r="D731" s="38"/>
      <c r="E731" s="124" t="s">
        <v>11</v>
      </c>
      <c r="F731" s="21" t="str">
        <f>IF(H731=-0.33,IF(H729=H$1,H729,""),"")</f>
        <v/>
      </c>
      <c r="G731" s="24"/>
      <c r="H731" s="22">
        <f>IF(H730=1,IF(H729=H$2,1,-0.33),0)</f>
        <v>0</v>
      </c>
    </row>
    <row r="732" spans="2:10" x14ac:dyDescent="0.25">
      <c r="B732" s="84" t="s">
        <v>14</v>
      </c>
      <c r="C732" s="121" t="s">
        <v>547</v>
      </c>
      <c r="D732" s="38"/>
      <c r="E732" s="124" t="s">
        <v>12</v>
      </c>
      <c r="F732" s="18"/>
      <c r="G732" s="24"/>
      <c r="H732" s="22"/>
    </row>
    <row r="733" spans="2:10" x14ac:dyDescent="0.25">
      <c r="B733" s="42"/>
      <c r="C733" s="24"/>
      <c r="D733" s="38"/>
      <c r="E733" s="124" t="s">
        <v>13</v>
      </c>
      <c r="F733" s="18"/>
      <c r="G733" s="17"/>
      <c r="H733" s="22"/>
    </row>
    <row r="734" spans="2:10" x14ac:dyDescent="0.25">
      <c r="B734" s="123" t="s">
        <v>16</v>
      </c>
      <c r="C734" s="85" t="s">
        <v>548</v>
      </c>
      <c r="D734" s="39"/>
      <c r="E734" s="12"/>
      <c r="F734" s="14"/>
      <c r="G734" s="26"/>
      <c r="H734" s="13"/>
      <c r="I734" s="15"/>
      <c r="J734" s="15"/>
    </row>
    <row r="735" spans="2:10" x14ac:dyDescent="0.25">
      <c r="B735" s="84" t="s">
        <v>14</v>
      </c>
      <c r="C735" s="121" t="s">
        <v>549</v>
      </c>
      <c r="D735" s="38"/>
      <c r="E735" s="124" t="s">
        <v>9</v>
      </c>
      <c r="F735" s="18"/>
      <c r="G735" s="24"/>
      <c r="H735" s="19" t="b">
        <f>IF(D738="x",H$2,H$1)</f>
        <v>0</v>
      </c>
    </row>
    <row r="736" spans="2:10" x14ac:dyDescent="0.25">
      <c r="B736" s="84" t="s">
        <v>14</v>
      </c>
      <c r="C736" s="121" t="s">
        <v>550</v>
      </c>
      <c r="D736" s="38"/>
      <c r="E736" s="124" t="s">
        <v>10</v>
      </c>
      <c r="F736" s="20" t="str">
        <f>IF(H737=1,IF(H735=H$2,H735,""),"")</f>
        <v/>
      </c>
      <c r="G736" s="24"/>
      <c r="H736" s="19" t="str">
        <f>IF(E$788="comprobar",COUNTIF(D735:D739,"x"),"")</f>
        <v/>
      </c>
    </row>
    <row r="737" spans="2:10" x14ac:dyDescent="0.25">
      <c r="B737" s="84" t="s">
        <v>14</v>
      </c>
      <c r="C737" s="121" t="s">
        <v>551</v>
      </c>
      <c r="D737" s="38"/>
      <c r="E737" s="124" t="s">
        <v>11</v>
      </c>
      <c r="F737" s="21" t="str">
        <f>IF(H737=-0.33,IF(H735=H$1,H735,""),"")</f>
        <v/>
      </c>
      <c r="G737" s="24"/>
      <c r="H737" s="22">
        <f t="shared" ref="H737" si="73">IF(H736=1,IF(H735=H$2,1,-0.33),0)</f>
        <v>0</v>
      </c>
    </row>
    <row r="738" spans="2:10" x14ac:dyDescent="0.25">
      <c r="B738" s="84" t="s">
        <v>14</v>
      </c>
      <c r="C738" s="121" t="s">
        <v>552</v>
      </c>
      <c r="D738" s="38"/>
      <c r="E738" s="124" t="s">
        <v>12</v>
      </c>
      <c r="F738" s="18"/>
      <c r="G738" s="24"/>
      <c r="H738" s="22"/>
    </row>
    <row r="739" spans="2:10" x14ac:dyDescent="0.25">
      <c r="B739" s="84"/>
      <c r="C739" s="24"/>
      <c r="D739" s="38"/>
      <c r="E739" s="124" t="s">
        <v>13</v>
      </c>
      <c r="F739" s="18"/>
      <c r="G739" s="17"/>
      <c r="H739" s="22"/>
    </row>
    <row r="740" spans="2:10" x14ac:dyDescent="0.25">
      <c r="B740" s="123" t="s">
        <v>18</v>
      </c>
      <c r="C740" s="85" t="s">
        <v>553</v>
      </c>
      <c r="D740" s="39"/>
      <c r="E740" s="12"/>
      <c r="F740" s="14"/>
      <c r="G740" s="26"/>
      <c r="H740" s="13"/>
      <c r="I740" s="15"/>
      <c r="J740" s="15"/>
    </row>
    <row r="741" spans="2:10" x14ac:dyDescent="0.25">
      <c r="B741" s="84" t="s">
        <v>14</v>
      </c>
      <c r="C741" s="134" t="s">
        <v>554</v>
      </c>
      <c r="D741" s="38"/>
      <c r="E741" s="124" t="s">
        <v>9</v>
      </c>
      <c r="F741" s="18"/>
      <c r="G741" s="24"/>
      <c r="H741" s="19" t="b">
        <f>IF(D744="x",H$2,H$1)</f>
        <v>0</v>
      </c>
    </row>
    <row r="742" spans="2:10" x14ac:dyDescent="0.25">
      <c r="B742" s="84" t="s">
        <v>14</v>
      </c>
      <c r="C742" s="134" t="s">
        <v>555</v>
      </c>
      <c r="D742" s="38"/>
      <c r="E742" s="124" t="s">
        <v>10</v>
      </c>
      <c r="F742" s="20" t="str">
        <f>IF(H743=1,IF(H741=H$2,H741,""),"")</f>
        <v/>
      </c>
      <c r="G742" s="24"/>
      <c r="H742" s="19" t="str">
        <f>IF(E$788="comprobar",COUNTIF(D741:D745,"x"),"")</f>
        <v/>
      </c>
    </row>
    <row r="743" spans="2:10" x14ac:dyDescent="0.25">
      <c r="B743" s="84" t="s">
        <v>14</v>
      </c>
      <c r="C743" s="134" t="s">
        <v>556</v>
      </c>
      <c r="D743" s="38"/>
      <c r="E743" s="124" t="s">
        <v>11</v>
      </c>
      <c r="F743" s="21" t="str">
        <f>IF(H743=-0.33,IF(H741=H$1,H741,""),"")</f>
        <v/>
      </c>
      <c r="G743" s="24"/>
      <c r="H743" s="22">
        <f t="shared" ref="H743" si="74">IF(H742=1,IF(H741=H$2,1,-0.33),0)</f>
        <v>0</v>
      </c>
    </row>
    <row r="744" spans="2:10" x14ac:dyDescent="0.25">
      <c r="B744" s="84" t="s">
        <v>14</v>
      </c>
      <c r="C744" s="134" t="s">
        <v>557</v>
      </c>
      <c r="D744" s="38"/>
      <c r="E744" s="124" t="s">
        <v>12</v>
      </c>
      <c r="F744" s="18"/>
      <c r="G744" s="24"/>
      <c r="H744" s="22"/>
    </row>
    <row r="745" spans="2:10" x14ac:dyDescent="0.25">
      <c r="B745" s="84"/>
      <c r="C745" s="24"/>
      <c r="D745" s="38"/>
      <c r="E745" s="124" t="s">
        <v>13</v>
      </c>
      <c r="F745" s="18"/>
      <c r="G745" s="17"/>
      <c r="H745" s="22"/>
    </row>
    <row r="746" spans="2:10" x14ac:dyDescent="0.25">
      <c r="B746" s="123" t="s">
        <v>19</v>
      </c>
      <c r="C746" s="85" t="s">
        <v>558</v>
      </c>
      <c r="D746" s="39"/>
      <c r="E746" s="12"/>
      <c r="F746" s="14"/>
      <c r="G746" s="26"/>
      <c r="H746" s="13"/>
      <c r="I746" s="15"/>
      <c r="J746" s="15"/>
    </row>
    <row r="747" spans="2:10" x14ac:dyDescent="0.25">
      <c r="B747" s="84" t="s">
        <v>14</v>
      </c>
      <c r="C747" s="121" t="s">
        <v>559</v>
      </c>
      <c r="D747" s="38"/>
      <c r="E747" s="124" t="s">
        <v>9</v>
      </c>
      <c r="F747" s="18"/>
      <c r="G747" s="24"/>
      <c r="H747" s="19" t="b">
        <f>IF(D749="x",H$2,H$1)</f>
        <v>0</v>
      </c>
    </row>
    <row r="748" spans="2:10" x14ac:dyDescent="0.25">
      <c r="B748" s="84" t="s">
        <v>14</v>
      </c>
      <c r="C748" s="121" t="s">
        <v>560</v>
      </c>
      <c r="D748" s="38"/>
      <c r="E748" s="124" t="s">
        <v>10</v>
      </c>
      <c r="F748" s="20" t="str">
        <f>IF(H749=1,IF(H747=H$2,H747,""),"")</f>
        <v/>
      </c>
      <c r="G748" s="24"/>
      <c r="H748" s="19" t="str">
        <f>IF(E$788="comprobar",COUNTIF(D747:D751,"x"),"")</f>
        <v/>
      </c>
    </row>
    <row r="749" spans="2:10" x14ac:dyDescent="0.25">
      <c r="B749" s="84" t="s">
        <v>14</v>
      </c>
      <c r="C749" s="121" t="s">
        <v>561</v>
      </c>
      <c r="D749" s="38"/>
      <c r="E749" s="124" t="s">
        <v>11</v>
      </c>
      <c r="F749" s="21" t="str">
        <f>IF(H749=-0.33,IF(H747=H$1,H747,""),"")</f>
        <v/>
      </c>
      <c r="G749" s="24"/>
      <c r="H749" s="22">
        <f t="shared" ref="H749" si="75">IF(H748=1,IF(H747=H$2,1,-0.33),0)</f>
        <v>0</v>
      </c>
    </row>
    <row r="750" spans="2:10" x14ac:dyDescent="0.25">
      <c r="B750" s="84" t="s">
        <v>14</v>
      </c>
      <c r="C750" s="121" t="s">
        <v>562</v>
      </c>
      <c r="D750" s="38"/>
      <c r="E750" s="124" t="s">
        <v>12</v>
      </c>
      <c r="F750" s="18"/>
      <c r="G750" s="24"/>
      <c r="H750" s="22"/>
    </row>
    <row r="751" spans="2:10" x14ac:dyDescent="0.25">
      <c r="B751" s="84"/>
      <c r="C751" s="24"/>
      <c r="D751" s="38"/>
      <c r="E751" s="124" t="s">
        <v>13</v>
      </c>
      <c r="F751" s="18"/>
      <c r="G751" s="17"/>
      <c r="H751" s="22"/>
    </row>
    <row r="752" spans="2:10" x14ac:dyDescent="0.25">
      <c r="B752" s="123" t="s">
        <v>20</v>
      </c>
      <c r="C752" s="85" t="s">
        <v>563</v>
      </c>
      <c r="D752" s="39"/>
      <c r="E752" s="12"/>
      <c r="F752" s="14"/>
      <c r="G752" s="26"/>
      <c r="H752" s="13"/>
      <c r="I752" s="15"/>
      <c r="J752" s="15"/>
    </row>
    <row r="753" spans="2:10" x14ac:dyDescent="0.25">
      <c r="B753" s="84" t="s">
        <v>14</v>
      </c>
      <c r="C753" s="121" t="s">
        <v>564</v>
      </c>
      <c r="D753" s="38"/>
      <c r="E753" s="124" t="s">
        <v>9</v>
      </c>
      <c r="F753" s="18"/>
      <c r="G753" s="24"/>
      <c r="H753" s="19" t="b">
        <f>IF(D755="x",H$2,H$1)</f>
        <v>0</v>
      </c>
    </row>
    <row r="754" spans="2:10" x14ac:dyDescent="0.25">
      <c r="B754" s="84" t="s">
        <v>14</v>
      </c>
      <c r="C754" s="121" t="s">
        <v>565</v>
      </c>
      <c r="D754" s="38"/>
      <c r="E754" s="124" t="s">
        <v>10</v>
      </c>
      <c r="F754" s="20" t="str">
        <f>IF(H755=1,IF(H753=H$2,H753,""),"")</f>
        <v/>
      </c>
      <c r="G754" s="24"/>
      <c r="H754" s="19" t="str">
        <f>IF(E$788="comprobar",COUNTIF(D753:D757,"x"),"")</f>
        <v/>
      </c>
    </row>
    <row r="755" spans="2:10" x14ac:dyDescent="0.25">
      <c r="B755" s="84" t="s">
        <v>14</v>
      </c>
      <c r="C755" s="121" t="s">
        <v>566</v>
      </c>
      <c r="D755" s="38"/>
      <c r="E755" s="124" t="s">
        <v>11</v>
      </c>
      <c r="F755" s="21" t="str">
        <f>IF(H755=-0.33,IF(H753=H$1,H753,""),"")</f>
        <v/>
      </c>
      <c r="G755" s="24"/>
      <c r="H755" s="22">
        <f t="shared" ref="H755" si="76">IF(H754=1,IF(H753=H$2,1,-0.33),0)</f>
        <v>0</v>
      </c>
    </row>
    <row r="756" spans="2:10" x14ac:dyDescent="0.25">
      <c r="B756" s="84" t="s">
        <v>14</v>
      </c>
      <c r="C756" s="121" t="s">
        <v>567</v>
      </c>
      <c r="D756" s="38"/>
      <c r="E756" s="124" t="s">
        <v>12</v>
      </c>
      <c r="F756" s="18"/>
      <c r="G756" s="24"/>
      <c r="H756" s="22"/>
    </row>
    <row r="757" spans="2:10" x14ac:dyDescent="0.25">
      <c r="B757" s="84"/>
      <c r="C757" s="24"/>
      <c r="D757" s="38"/>
      <c r="E757" s="124" t="s">
        <v>13</v>
      </c>
      <c r="F757" s="18"/>
      <c r="G757" s="17"/>
      <c r="H757" s="22"/>
    </row>
    <row r="758" spans="2:10" x14ac:dyDescent="0.25">
      <c r="B758" s="123" t="s">
        <v>21</v>
      </c>
      <c r="C758" s="85" t="s">
        <v>568</v>
      </c>
      <c r="D758" s="39"/>
      <c r="E758" s="12"/>
      <c r="F758" s="14"/>
      <c r="G758" s="26"/>
      <c r="H758" s="13"/>
      <c r="I758" s="15"/>
      <c r="J758" s="15"/>
    </row>
    <row r="759" spans="2:10" x14ac:dyDescent="0.25">
      <c r="B759" s="84" t="s">
        <v>14</v>
      </c>
      <c r="C759" s="121" t="s">
        <v>569</v>
      </c>
      <c r="D759" s="38"/>
      <c r="E759" s="124" t="s">
        <v>9</v>
      </c>
      <c r="F759" s="18"/>
      <c r="G759" s="24"/>
      <c r="H759" s="19" t="b">
        <f>IF(D761="x",H$2,H$1)</f>
        <v>0</v>
      </c>
    </row>
    <row r="760" spans="2:10" x14ac:dyDescent="0.25">
      <c r="B760" s="84" t="s">
        <v>14</v>
      </c>
      <c r="C760" s="121" t="s">
        <v>570</v>
      </c>
      <c r="D760" s="38"/>
      <c r="E760" s="124" t="s">
        <v>10</v>
      </c>
      <c r="F760" s="20" t="str">
        <f>IF(H761=1,IF(H759=H$2,H759,""),"")</f>
        <v/>
      </c>
      <c r="G760" s="24"/>
      <c r="H760" s="19" t="str">
        <f>IF(E$788="comprobar",COUNTIF(D759:D763,"x"),"")</f>
        <v/>
      </c>
    </row>
    <row r="761" spans="2:10" x14ac:dyDescent="0.25">
      <c r="B761" s="84" t="s">
        <v>14</v>
      </c>
      <c r="C761" s="121" t="s">
        <v>571</v>
      </c>
      <c r="D761" s="38"/>
      <c r="E761" s="124" t="s">
        <v>11</v>
      </c>
      <c r="F761" s="21" t="str">
        <f>IF(H761=-0.33,IF(H759=H$1,H759,""),"")</f>
        <v/>
      </c>
      <c r="G761" s="24"/>
      <c r="H761" s="22">
        <f t="shared" ref="H761" si="77">IF(H760=1,IF(H759=H$2,1,-0.33),0)</f>
        <v>0</v>
      </c>
    </row>
    <row r="762" spans="2:10" x14ac:dyDescent="0.25">
      <c r="B762" s="84" t="s">
        <v>14</v>
      </c>
      <c r="C762" s="121" t="s">
        <v>282</v>
      </c>
      <c r="D762" s="38"/>
      <c r="E762" s="124" t="s">
        <v>12</v>
      </c>
      <c r="F762" s="18"/>
      <c r="G762" s="24"/>
      <c r="H762" s="22"/>
    </row>
    <row r="763" spans="2:10" x14ac:dyDescent="0.25">
      <c r="B763" s="42"/>
      <c r="C763" s="24"/>
      <c r="D763" s="38"/>
      <c r="E763" s="124" t="s">
        <v>13</v>
      </c>
      <c r="F763" s="18"/>
      <c r="G763" s="17"/>
      <c r="H763" s="22"/>
    </row>
    <row r="764" spans="2:10" x14ac:dyDescent="0.25">
      <c r="B764" s="123" t="s">
        <v>22</v>
      </c>
      <c r="C764" s="85" t="s">
        <v>572</v>
      </c>
      <c r="D764" s="39"/>
      <c r="E764" s="12"/>
      <c r="F764" s="14"/>
      <c r="G764" s="26"/>
      <c r="H764" s="13"/>
      <c r="I764" s="15"/>
      <c r="J764" s="15"/>
    </row>
    <row r="765" spans="2:10" x14ac:dyDescent="0.25">
      <c r="B765" s="84" t="s">
        <v>14</v>
      </c>
      <c r="C765" s="121" t="s">
        <v>573</v>
      </c>
      <c r="D765" s="38"/>
      <c r="E765" s="124" t="s">
        <v>9</v>
      </c>
      <c r="F765" s="18"/>
      <c r="G765" s="24"/>
      <c r="H765" s="19" t="b">
        <f>IF(D767="x",H$2,H$1)</f>
        <v>0</v>
      </c>
    </row>
    <row r="766" spans="2:10" x14ac:dyDescent="0.25">
      <c r="B766" s="84" t="s">
        <v>14</v>
      </c>
      <c r="C766" s="121" t="s">
        <v>574</v>
      </c>
      <c r="D766" s="38"/>
      <c r="E766" s="124" t="s">
        <v>10</v>
      </c>
      <c r="F766" s="20" t="str">
        <f>IF(H767=1,IF(H765=H$2,H765,""),"")</f>
        <v/>
      </c>
      <c r="G766" s="24"/>
      <c r="H766" s="19" t="str">
        <f>IF(E$788="comprobar",COUNTIF(D765:D769,"x"),"")</f>
        <v/>
      </c>
    </row>
    <row r="767" spans="2:10" x14ac:dyDescent="0.25">
      <c r="B767" s="84" t="s">
        <v>14</v>
      </c>
      <c r="C767" s="121" t="s">
        <v>575</v>
      </c>
      <c r="D767" s="38"/>
      <c r="E767" s="124" t="s">
        <v>11</v>
      </c>
      <c r="F767" s="21" t="str">
        <f>IF(H767=-0.33,IF(H765=H$1,H765,""),"")</f>
        <v/>
      </c>
      <c r="G767" s="24"/>
      <c r="H767" s="22">
        <f t="shared" ref="H767" si="78">IF(H766=1,IF(H765=H$2,1,-0.33),0)</f>
        <v>0</v>
      </c>
    </row>
    <row r="768" spans="2:10" x14ac:dyDescent="0.25">
      <c r="B768" s="84" t="s">
        <v>14</v>
      </c>
      <c r="C768" s="121" t="s">
        <v>576</v>
      </c>
      <c r="D768" s="38"/>
      <c r="E768" s="124" t="s">
        <v>12</v>
      </c>
      <c r="F768" s="18"/>
      <c r="G768" s="24"/>
      <c r="H768" s="22"/>
    </row>
    <row r="769" spans="2:10" x14ac:dyDescent="0.25">
      <c r="B769" s="42"/>
      <c r="C769" s="24"/>
      <c r="D769" s="38"/>
      <c r="E769" s="124" t="s">
        <v>13</v>
      </c>
      <c r="F769" s="18"/>
      <c r="G769" s="17"/>
      <c r="H769" s="22"/>
    </row>
    <row r="770" spans="2:10" x14ac:dyDescent="0.25">
      <c r="B770" s="123" t="s">
        <v>23</v>
      </c>
      <c r="C770" s="85" t="s">
        <v>577</v>
      </c>
      <c r="D770" s="39"/>
      <c r="E770" s="12"/>
      <c r="F770" s="14"/>
      <c r="G770" s="26"/>
      <c r="H770" s="13"/>
      <c r="I770" s="15"/>
      <c r="J770" s="15"/>
    </row>
    <row r="771" spans="2:10" x14ac:dyDescent="0.25">
      <c r="B771" s="84" t="s">
        <v>14</v>
      </c>
      <c r="C771" s="121" t="s">
        <v>578</v>
      </c>
      <c r="D771" s="38"/>
      <c r="E771" s="124" t="s">
        <v>9</v>
      </c>
      <c r="F771" s="18"/>
      <c r="G771" s="24"/>
      <c r="H771" s="19" t="b">
        <f>IF(D771="x",H$2,H$1)</f>
        <v>0</v>
      </c>
    </row>
    <row r="772" spans="2:10" x14ac:dyDescent="0.25">
      <c r="B772" s="84" t="s">
        <v>14</v>
      </c>
      <c r="C772" s="121" t="s">
        <v>579</v>
      </c>
      <c r="D772" s="38"/>
      <c r="E772" s="124" t="s">
        <v>10</v>
      </c>
      <c r="F772" s="20" t="str">
        <f>IF(H773=1,IF(H771=H$2,H771,""),"")</f>
        <v/>
      </c>
      <c r="G772" s="24"/>
      <c r="H772" s="19" t="str">
        <f>IF(E$788="comprobar",COUNTIF(D771:D775,"x"),"")</f>
        <v/>
      </c>
    </row>
    <row r="773" spans="2:10" x14ac:dyDescent="0.25">
      <c r="B773" s="84" t="s">
        <v>14</v>
      </c>
      <c r="C773" s="121" t="s">
        <v>580</v>
      </c>
      <c r="D773" s="38"/>
      <c r="E773" s="124" t="s">
        <v>11</v>
      </c>
      <c r="F773" s="21" t="str">
        <f>IF(H773=-0.33,IF(H771=H$1,H771,""),"")</f>
        <v/>
      </c>
      <c r="G773" s="24"/>
      <c r="H773" s="22">
        <f t="shared" ref="H773" si="79">IF(H772=1,IF(H771=H$2,1,-0.33),0)</f>
        <v>0</v>
      </c>
    </row>
    <row r="774" spans="2:10" x14ac:dyDescent="0.25">
      <c r="B774" s="84" t="s">
        <v>14</v>
      </c>
      <c r="C774" s="121" t="s">
        <v>581</v>
      </c>
      <c r="D774" s="38"/>
      <c r="E774" s="124" t="s">
        <v>12</v>
      </c>
      <c r="F774" s="18"/>
      <c r="G774" s="24"/>
      <c r="H774" s="22"/>
    </row>
    <row r="775" spans="2:10" x14ac:dyDescent="0.25">
      <c r="B775" s="109"/>
      <c r="C775" s="24"/>
      <c r="D775" s="38"/>
      <c r="E775" s="124" t="s">
        <v>13</v>
      </c>
      <c r="F775" s="18"/>
      <c r="G775" s="17"/>
      <c r="H775" s="22"/>
    </row>
    <row r="776" spans="2:10" ht="31.5" x14ac:dyDescent="0.25">
      <c r="B776" s="123" t="s">
        <v>28</v>
      </c>
      <c r="C776" s="143" t="s">
        <v>730</v>
      </c>
      <c r="D776" s="39"/>
      <c r="E776" s="12"/>
      <c r="F776" s="14"/>
      <c r="G776" s="26"/>
      <c r="H776" s="13"/>
    </row>
    <row r="777" spans="2:10" x14ac:dyDescent="0.25">
      <c r="B777" s="84" t="s">
        <v>14</v>
      </c>
      <c r="C777" s="121" t="s">
        <v>582</v>
      </c>
      <c r="D777" s="38"/>
      <c r="E777" s="124" t="s">
        <v>9</v>
      </c>
      <c r="F777" s="18"/>
      <c r="G777" s="24"/>
      <c r="H777" s="19" t="b">
        <f>IF(D780="x",H$2,H$1)</f>
        <v>0</v>
      </c>
    </row>
    <row r="778" spans="2:10" x14ac:dyDescent="0.25">
      <c r="B778" s="84" t="s">
        <v>14</v>
      </c>
      <c r="C778" s="121" t="s">
        <v>583</v>
      </c>
      <c r="D778" s="38"/>
      <c r="E778" s="124" t="s">
        <v>10</v>
      </c>
      <c r="F778" s="20" t="str">
        <f>IF(H779=1,IF(H777=H$2,H777,""),"")</f>
        <v/>
      </c>
      <c r="G778" s="24"/>
      <c r="H778" s="19" t="str">
        <f>IF(E$788="comprobar",COUNTIF(D777:D781,"x"),"")</f>
        <v/>
      </c>
    </row>
    <row r="779" spans="2:10" x14ac:dyDescent="0.25">
      <c r="B779" s="84" t="s">
        <v>14</v>
      </c>
      <c r="C779" s="121" t="s">
        <v>584</v>
      </c>
      <c r="D779" s="38"/>
      <c r="E779" s="124" t="s">
        <v>11</v>
      </c>
      <c r="F779" s="21" t="str">
        <f>IF(H779=-0.33,IF(H777=H$1,H777,""),"")</f>
        <v/>
      </c>
      <c r="G779" s="24"/>
      <c r="H779" s="22">
        <f t="shared" ref="H779" si="80">IF(H778=1,IF(H777=H$2,1,-0.33),0)</f>
        <v>0</v>
      </c>
    </row>
    <row r="780" spans="2:10" x14ac:dyDescent="0.25">
      <c r="B780" s="84" t="s">
        <v>14</v>
      </c>
      <c r="C780" s="121" t="s">
        <v>585</v>
      </c>
      <c r="D780" s="38"/>
      <c r="E780" s="124" t="s">
        <v>12</v>
      </c>
      <c r="F780" s="18"/>
      <c r="G780" s="24"/>
      <c r="H780" s="22"/>
    </row>
    <row r="781" spans="2:10" x14ac:dyDescent="0.25">
      <c r="B781" s="109"/>
      <c r="C781" s="24"/>
      <c r="D781" s="38"/>
      <c r="E781" s="124" t="s">
        <v>13</v>
      </c>
      <c r="F781" s="18"/>
      <c r="G781" s="17"/>
      <c r="H781" s="22"/>
    </row>
    <row r="782" spans="2:10" x14ac:dyDescent="0.25">
      <c r="B782" s="123" t="s">
        <v>26</v>
      </c>
      <c r="C782" s="85" t="s">
        <v>586</v>
      </c>
      <c r="D782" s="39"/>
      <c r="E782" s="12"/>
      <c r="F782" s="14"/>
      <c r="G782" s="26"/>
      <c r="H782" s="13"/>
    </row>
    <row r="783" spans="2:10" x14ac:dyDescent="0.25">
      <c r="B783" s="84" t="s">
        <v>14</v>
      </c>
      <c r="C783" s="121" t="s">
        <v>587</v>
      </c>
      <c r="D783" s="38"/>
      <c r="E783" s="124" t="s">
        <v>9</v>
      </c>
      <c r="F783" s="18"/>
      <c r="G783" s="24"/>
      <c r="H783" s="19" t="b">
        <f>IF(D783="x",H$2,H$1)</f>
        <v>0</v>
      </c>
    </row>
    <row r="784" spans="2:10" x14ac:dyDescent="0.25">
      <c r="B784" s="84" t="s">
        <v>14</v>
      </c>
      <c r="C784" s="121" t="s">
        <v>588</v>
      </c>
      <c r="D784" s="38"/>
      <c r="E784" s="124" t="s">
        <v>10</v>
      </c>
      <c r="F784" s="20" t="str">
        <f>IF(H785=1,IF(H783=H$2,H783,""),"")</f>
        <v/>
      </c>
      <c r="G784" s="24"/>
      <c r="H784" s="19" t="str">
        <f>IF(E$788="comprobar",COUNTIF(D783:D787,"x"),"")</f>
        <v/>
      </c>
    </row>
    <row r="785" spans="2:10" x14ac:dyDescent="0.25">
      <c r="B785" s="84" t="s">
        <v>14</v>
      </c>
      <c r="C785" s="121" t="s">
        <v>589</v>
      </c>
      <c r="D785" s="38"/>
      <c r="E785" s="124" t="s">
        <v>11</v>
      </c>
      <c r="F785" s="21" t="str">
        <f>IF(H785=-0.33,IF(H783=H$1,H783,""),"")</f>
        <v/>
      </c>
      <c r="G785" s="24"/>
      <c r="H785" s="22">
        <f t="shared" ref="H785" si="81">IF(H784=1,IF(H783=H$2,1,-0.33),0)</f>
        <v>0</v>
      </c>
    </row>
    <row r="786" spans="2:10" x14ac:dyDescent="0.25">
      <c r="B786" s="84" t="s">
        <v>14</v>
      </c>
      <c r="C786" s="121" t="s">
        <v>590</v>
      </c>
      <c r="D786" s="38"/>
      <c r="E786" s="124" t="s">
        <v>12</v>
      </c>
      <c r="F786" s="18"/>
      <c r="G786" s="24"/>
      <c r="H786" s="22"/>
    </row>
    <row r="787" spans="2:10" x14ac:dyDescent="0.25">
      <c r="B787" s="109"/>
      <c r="C787" s="24"/>
      <c r="D787" s="38"/>
      <c r="E787" s="124" t="s">
        <v>13</v>
      </c>
      <c r="F787" s="18"/>
      <c r="G787" s="17"/>
      <c r="H787" s="22"/>
    </row>
    <row r="788" spans="2:10" x14ac:dyDescent="0.25">
      <c r="B788" s="109"/>
      <c r="C788" s="16"/>
      <c r="D788" s="48"/>
      <c r="E788" s="54"/>
      <c r="F788" s="18"/>
      <c r="G788" s="17"/>
      <c r="H788" s="22"/>
    </row>
    <row r="789" spans="2:10" x14ac:dyDescent="0.25">
      <c r="B789" s="42"/>
      <c r="C789" s="8"/>
      <c r="D789" s="48"/>
      <c r="E789" s="59"/>
      <c r="F789" s="28" t="s">
        <v>8</v>
      </c>
      <c r="G789" s="17" t="s">
        <v>6</v>
      </c>
      <c r="H789" s="17" t="s">
        <v>7</v>
      </c>
    </row>
    <row r="790" spans="2:10" ht="19.5" x14ac:dyDescent="0.25">
      <c r="B790" s="42"/>
      <c r="C790" s="8"/>
      <c r="D790" s="145"/>
      <c r="E790" s="145"/>
      <c r="F790" s="29" t="str">
        <f>IF(E$788="comprobar",H773+H767+H761+H755+H749+H743+H737+H731+H779+H785,"")</f>
        <v/>
      </c>
      <c r="G790" s="17">
        <f>10/2</f>
        <v>5</v>
      </c>
      <c r="H790" s="17"/>
    </row>
    <row r="791" spans="2:10" ht="16.5" thickBot="1" x14ac:dyDescent="0.3">
      <c r="B791" s="42"/>
      <c r="C791" s="8"/>
      <c r="D791" s="128"/>
      <c r="E791" s="128"/>
      <c r="F791" s="28" t="str">
        <f>IF(F790&gt;G790,G789,H789)</f>
        <v>APROBADO</v>
      </c>
      <c r="G791" s="17"/>
      <c r="H791" s="17"/>
    </row>
    <row r="792" spans="2:10" ht="28.5" x14ac:dyDescent="0.45">
      <c r="B792" s="61" t="s">
        <v>94</v>
      </c>
      <c r="C792" s="129" t="s">
        <v>540</v>
      </c>
      <c r="D792" s="129"/>
      <c r="E792" s="129"/>
      <c r="F792" s="130"/>
    </row>
    <row r="793" spans="2:10" x14ac:dyDescent="0.25">
      <c r="B793" s="120" t="s">
        <v>17</v>
      </c>
      <c r="C793" s="85" t="s">
        <v>591</v>
      </c>
      <c r="D793" s="12"/>
      <c r="E793" s="12"/>
      <c r="F793" s="14"/>
      <c r="G793" s="26"/>
      <c r="H793" s="13"/>
      <c r="I793" s="15"/>
      <c r="J793" s="15"/>
    </row>
    <row r="794" spans="2:10" x14ac:dyDescent="0.25">
      <c r="B794" s="84" t="s">
        <v>14</v>
      </c>
      <c r="C794" s="121" t="s">
        <v>592</v>
      </c>
      <c r="D794" s="38"/>
      <c r="E794" s="128"/>
      <c r="F794" s="18"/>
      <c r="G794" s="24"/>
      <c r="H794" s="19" t="b">
        <f>IF(D795="x",H$2,H$1)</f>
        <v>0</v>
      </c>
    </row>
    <row r="795" spans="2:10" x14ac:dyDescent="0.25">
      <c r="B795" s="84" t="s">
        <v>14</v>
      </c>
      <c r="C795" s="121" t="s">
        <v>593</v>
      </c>
      <c r="D795" s="38"/>
      <c r="E795" s="128" t="s">
        <v>10</v>
      </c>
      <c r="F795" s="20" t="str">
        <f>IF(H796=1,IF(H794=H$2,H794,""),"")</f>
        <v/>
      </c>
      <c r="G795" s="24"/>
      <c r="H795" s="19" t="str">
        <f>IF(E$853="comprobar",COUNTIF(D794:D798,"x"),"")</f>
        <v/>
      </c>
    </row>
    <row r="796" spans="2:10" x14ac:dyDescent="0.25">
      <c r="B796" s="84" t="s">
        <v>14</v>
      </c>
      <c r="C796" s="121" t="s">
        <v>594</v>
      </c>
      <c r="D796" s="38"/>
      <c r="E796" s="128" t="s">
        <v>11</v>
      </c>
      <c r="F796" s="21" t="str">
        <f>IF(H796=-0.33,IF(H794=H$1,H794,""),"")</f>
        <v/>
      </c>
      <c r="G796" s="24"/>
      <c r="H796" s="22">
        <f>IF(H795=1,IF(H794=H$2,1,-0.33),0)</f>
        <v>0</v>
      </c>
    </row>
    <row r="797" spans="2:10" x14ac:dyDescent="0.25">
      <c r="B797" s="84" t="s">
        <v>14</v>
      </c>
      <c r="C797" s="121" t="s">
        <v>595</v>
      </c>
      <c r="D797" s="38"/>
      <c r="E797" s="128" t="s">
        <v>12</v>
      </c>
      <c r="F797" s="18"/>
      <c r="G797" s="24"/>
      <c r="H797" s="22"/>
    </row>
    <row r="798" spans="2:10" x14ac:dyDescent="0.25">
      <c r="B798" s="42"/>
      <c r="C798" s="24"/>
      <c r="D798" s="38"/>
      <c r="E798" s="128" t="s">
        <v>13</v>
      </c>
      <c r="F798" s="18"/>
      <c r="G798" s="17"/>
      <c r="H798" s="22"/>
    </row>
    <row r="799" spans="2:10" x14ac:dyDescent="0.25">
      <c r="B799" s="123" t="s">
        <v>16</v>
      </c>
      <c r="C799" s="85" t="s">
        <v>596</v>
      </c>
      <c r="D799" s="39"/>
      <c r="E799" s="12"/>
      <c r="F799" s="14"/>
      <c r="G799" s="26"/>
      <c r="H799" s="13"/>
      <c r="I799" s="15"/>
      <c r="J799" s="15"/>
    </row>
    <row r="800" spans="2:10" x14ac:dyDescent="0.25">
      <c r="B800" s="84" t="s">
        <v>14</v>
      </c>
      <c r="C800" s="121" t="s">
        <v>111</v>
      </c>
      <c r="D800" s="38"/>
      <c r="E800" s="128" t="s">
        <v>9</v>
      </c>
      <c r="F800" s="18"/>
      <c r="G800" s="24"/>
      <c r="H800" s="19" t="b">
        <f>IF(D801="x",H$2,H$1)</f>
        <v>0</v>
      </c>
    </row>
    <row r="801" spans="2:10" x14ac:dyDescent="0.25">
      <c r="B801" s="84" t="s">
        <v>14</v>
      </c>
      <c r="C801" s="121" t="s">
        <v>112</v>
      </c>
      <c r="D801" s="38"/>
      <c r="E801" s="128" t="s">
        <v>10</v>
      </c>
      <c r="F801" s="20" t="str">
        <f>IF(H802=1,IF(H800=H$2,H800,""),"")</f>
        <v/>
      </c>
      <c r="G801" s="24"/>
      <c r="H801" s="19" t="str">
        <f>IF(E$853="comprobar",COUNTIF(D800:D804,"x"),"")</f>
        <v/>
      </c>
    </row>
    <row r="802" spans="2:10" x14ac:dyDescent="0.25">
      <c r="B802" s="84" t="s">
        <v>14</v>
      </c>
      <c r="C802" s="121" t="s">
        <v>597</v>
      </c>
      <c r="D802" s="38"/>
      <c r="E802" s="128" t="s">
        <v>11</v>
      </c>
      <c r="F802" s="21" t="str">
        <f>IF(H802=-0.33,IF(H800=H$1,H800,""),"")</f>
        <v/>
      </c>
      <c r="G802" s="24"/>
      <c r="H802" s="22">
        <f t="shared" ref="H802" si="82">IF(H801=1,IF(H800=H$2,1,-0.33),0)</f>
        <v>0</v>
      </c>
    </row>
    <row r="803" spans="2:10" x14ac:dyDescent="0.25">
      <c r="B803" s="84" t="s">
        <v>14</v>
      </c>
      <c r="C803" s="121" t="s">
        <v>598</v>
      </c>
      <c r="D803" s="38"/>
      <c r="E803" s="128" t="s">
        <v>12</v>
      </c>
      <c r="F803" s="18"/>
      <c r="G803" s="24"/>
      <c r="H803" s="22"/>
    </row>
    <row r="804" spans="2:10" x14ac:dyDescent="0.25">
      <c r="B804" s="84"/>
      <c r="C804" s="24"/>
      <c r="D804" s="38"/>
      <c r="E804" s="128" t="s">
        <v>13</v>
      </c>
      <c r="F804" s="18"/>
      <c r="G804" s="17"/>
      <c r="H804" s="22"/>
    </row>
    <row r="805" spans="2:10" x14ac:dyDescent="0.25">
      <c r="B805" s="123" t="s">
        <v>18</v>
      </c>
      <c r="C805" s="144" t="s">
        <v>731</v>
      </c>
      <c r="D805" s="39"/>
      <c r="E805" s="12"/>
      <c r="F805" s="14"/>
      <c r="G805" s="26"/>
      <c r="H805" s="13"/>
      <c r="I805" s="15"/>
      <c r="J805" s="15"/>
    </row>
    <row r="806" spans="2:10" x14ac:dyDescent="0.25">
      <c r="B806" s="84" t="s">
        <v>14</v>
      </c>
      <c r="C806" s="121" t="s">
        <v>599</v>
      </c>
      <c r="D806" s="38"/>
      <c r="E806" s="128" t="s">
        <v>9</v>
      </c>
      <c r="F806" s="18"/>
      <c r="G806" s="24"/>
      <c r="H806" s="19" t="b">
        <f>IF(D809="x",H$2,H$1)</f>
        <v>0</v>
      </c>
    </row>
    <row r="807" spans="2:10" x14ac:dyDescent="0.25">
      <c r="B807" s="84" t="s">
        <v>14</v>
      </c>
      <c r="C807" s="121" t="s">
        <v>600</v>
      </c>
      <c r="D807" s="38"/>
      <c r="E807" s="128" t="s">
        <v>10</v>
      </c>
      <c r="F807" s="20" t="str">
        <f>IF(H808=1,IF(H806=H$2,H806,""),"")</f>
        <v/>
      </c>
      <c r="G807" s="24"/>
      <c r="H807" s="19" t="str">
        <f>IF(E$853="comprobar",COUNTIF(D806:D810,"x"),"")</f>
        <v/>
      </c>
    </row>
    <row r="808" spans="2:10" x14ac:dyDescent="0.25">
      <c r="B808" s="84" t="s">
        <v>14</v>
      </c>
      <c r="C808" s="121" t="s">
        <v>601</v>
      </c>
      <c r="D808" s="38"/>
      <c r="E808" s="128" t="s">
        <v>11</v>
      </c>
      <c r="F808" s="21" t="str">
        <f>IF(H808=-0.33,IF(H806=H$1,H806,""),"")</f>
        <v/>
      </c>
      <c r="G808" s="24"/>
      <c r="H808" s="22">
        <f t="shared" ref="H808" si="83">IF(H807=1,IF(H806=H$2,1,-0.33),0)</f>
        <v>0</v>
      </c>
    </row>
    <row r="809" spans="2:10" x14ac:dyDescent="0.25">
      <c r="B809" s="84" t="s">
        <v>14</v>
      </c>
      <c r="C809" s="121" t="s">
        <v>394</v>
      </c>
      <c r="D809" s="38"/>
      <c r="E809" s="128" t="s">
        <v>12</v>
      </c>
      <c r="F809" s="18"/>
      <c r="G809" s="24"/>
      <c r="H809" s="22"/>
    </row>
    <row r="810" spans="2:10" x14ac:dyDescent="0.25">
      <c r="B810" s="84"/>
      <c r="C810" s="24"/>
      <c r="D810" s="38"/>
      <c r="E810" s="128" t="s">
        <v>13</v>
      </c>
      <c r="F810" s="18"/>
      <c r="G810" s="17"/>
      <c r="H810" s="22"/>
    </row>
    <row r="811" spans="2:10" x14ac:dyDescent="0.25">
      <c r="B811" s="123" t="s">
        <v>19</v>
      </c>
      <c r="C811" s="85" t="s">
        <v>602</v>
      </c>
      <c r="D811" s="39"/>
      <c r="E811" s="12"/>
      <c r="F811" s="14"/>
      <c r="G811" s="26"/>
      <c r="H811" s="13"/>
      <c r="I811" s="15"/>
      <c r="J811" s="15"/>
    </row>
    <row r="812" spans="2:10" x14ac:dyDescent="0.25">
      <c r="B812" s="84" t="s">
        <v>14</v>
      </c>
      <c r="C812" s="121" t="s">
        <v>298</v>
      </c>
      <c r="D812" s="38"/>
      <c r="E812" s="128" t="s">
        <v>9</v>
      </c>
      <c r="F812" s="18"/>
      <c r="G812" s="24"/>
      <c r="H812" s="19" t="b">
        <f>IF(D812="x",H$2,H$1)</f>
        <v>0</v>
      </c>
    </row>
    <row r="813" spans="2:10" x14ac:dyDescent="0.25">
      <c r="B813" s="84" t="s">
        <v>14</v>
      </c>
      <c r="C813" s="121" t="s">
        <v>299</v>
      </c>
      <c r="D813" s="38"/>
      <c r="E813" s="128" t="s">
        <v>10</v>
      </c>
      <c r="F813" s="20" t="str">
        <f>IF(H814=1,IF(H812=H$2,H812,""),"")</f>
        <v/>
      </c>
      <c r="G813" s="24"/>
      <c r="H813" s="19" t="str">
        <f>IF(E$853="comprobar",COUNTIF(D812:D816,"x"),"")</f>
        <v/>
      </c>
    </row>
    <row r="814" spans="2:10" x14ac:dyDescent="0.25">
      <c r="B814" s="84" t="s">
        <v>14</v>
      </c>
      <c r="C814" s="121" t="s">
        <v>300</v>
      </c>
      <c r="D814" s="38"/>
      <c r="E814" s="128" t="s">
        <v>11</v>
      </c>
      <c r="F814" s="21" t="str">
        <f>IF(H814=-0.33,IF(H812=H$1,H812,""),"")</f>
        <v/>
      </c>
      <c r="G814" s="24"/>
      <c r="H814" s="22">
        <f t="shared" ref="H814" si="84">IF(H813=1,IF(H812=H$2,1,-0.33),0)</f>
        <v>0</v>
      </c>
    </row>
    <row r="815" spans="2:10" x14ac:dyDescent="0.25">
      <c r="B815" s="84" t="s">
        <v>14</v>
      </c>
      <c r="C815" s="121" t="s">
        <v>301</v>
      </c>
      <c r="D815" s="38"/>
      <c r="E815" s="128" t="s">
        <v>12</v>
      </c>
      <c r="F815" s="18"/>
      <c r="G815" s="24"/>
      <c r="H815" s="22"/>
    </row>
    <row r="816" spans="2:10" x14ac:dyDescent="0.25">
      <c r="B816" s="84"/>
      <c r="C816" s="24"/>
      <c r="D816" s="38"/>
      <c r="E816" s="128" t="s">
        <v>13</v>
      </c>
      <c r="F816" s="18"/>
      <c r="G816" s="17"/>
      <c r="H816" s="22"/>
    </row>
    <row r="817" spans="2:10" x14ac:dyDescent="0.25">
      <c r="B817" s="123" t="s">
        <v>20</v>
      </c>
      <c r="C817" s="85" t="s">
        <v>603</v>
      </c>
      <c r="D817" s="39"/>
      <c r="E817" s="12"/>
      <c r="F817" s="14"/>
      <c r="G817" s="26"/>
      <c r="H817" s="13"/>
      <c r="I817" s="15"/>
      <c r="J817" s="15"/>
    </row>
    <row r="818" spans="2:10" x14ac:dyDescent="0.25">
      <c r="B818" s="84" t="s">
        <v>14</v>
      </c>
      <c r="C818" s="121" t="s">
        <v>604</v>
      </c>
      <c r="D818" s="38"/>
      <c r="E818" s="128" t="s">
        <v>9</v>
      </c>
      <c r="F818" s="18"/>
      <c r="G818" s="24"/>
      <c r="H818" s="19" t="b">
        <f>IF(D820="x",H$2,H$1)</f>
        <v>0</v>
      </c>
    </row>
    <row r="819" spans="2:10" x14ac:dyDescent="0.25">
      <c r="B819" s="84" t="s">
        <v>14</v>
      </c>
      <c r="C819" s="121" t="s">
        <v>605</v>
      </c>
      <c r="D819" s="38"/>
      <c r="E819" s="128" t="s">
        <v>10</v>
      </c>
      <c r="F819" s="20" t="str">
        <f>IF(H820=1,IF(H818=H$2,H818,""),"")</f>
        <v/>
      </c>
      <c r="G819" s="24"/>
      <c r="H819" s="19" t="str">
        <f>IF(E$853="comprobar",COUNTIF(D818:D822,"x"),"")</f>
        <v/>
      </c>
    </row>
    <row r="820" spans="2:10" x14ac:dyDescent="0.25">
      <c r="B820" s="84" t="s">
        <v>14</v>
      </c>
      <c r="C820" s="121" t="s">
        <v>606</v>
      </c>
      <c r="D820" s="38"/>
      <c r="E820" s="128" t="s">
        <v>11</v>
      </c>
      <c r="F820" s="21" t="str">
        <f>IF(H820=-0.33,IF(H818=H$1,H818,""),"")</f>
        <v/>
      </c>
      <c r="G820" s="24"/>
      <c r="H820" s="22">
        <f t="shared" ref="H820" si="85">IF(H819=1,IF(H818=H$2,1,-0.33),0)</f>
        <v>0</v>
      </c>
    </row>
    <row r="821" spans="2:10" x14ac:dyDescent="0.25">
      <c r="B821" s="84" t="s">
        <v>14</v>
      </c>
      <c r="C821" s="121" t="s">
        <v>607</v>
      </c>
      <c r="D821" s="38"/>
      <c r="E821" s="128" t="s">
        <v>12</v>
      </c>
      <c r="F821" s="18"/>
      <c r="G821" s="24"/>
      <c r="H821" s="22"/>
    </row>
    <row r="822" spans="2:10" x14ac:dyDescent="0.25">
      <c r="B822" s="84"/>
      <c r="C822" s="24"/>
      <c r="D822" s="38"/>
      <c r="E822" s="128" t="s">
        <v>13</v>
      </c>
      <c r="F822" s="18"/>
      <c r="G822" s="17"/>
      <c r="H822" s="22"/>
    </row>
    <row r="823" spans="2:10" x14ac:dyDescent="0.25">
      <c r="B823" s="123" t="s">
        <v>21</v>
      </c>
      <c r="C823" s="85" t="s">
        <v>608</v>
      </c>
      <c r="D823" s="39"/>
      <c r="E823" s="12"/>
      <c r="F823" s="14"/>
      <c r="G823" s="26"/>
      <c r="H823" s="13"/>
      <c r="I823" s="15"/>
      <c r="J823" s="15"/>
    </row>
    <row r="824" spans="2:10" x14ac:dyDescent="0.25">
      <c r="B824" s="84" t="s">
        <v>14</v>
      </c>
      <c r="C824" s="121" t="s">
        <v>604</v>
      </c>
      <c r="D824" s="38"/>
      <c r="E824" s="128" t="s">
        <v>9</v>
      </c>
      <c r="F824" s="18"/>
      <c r="G824" s="24"/>
      <c r="H824" s="19" t="b">
        <f>IF(D824="x",H$2,H$1)</f>
        <v>0</v>
      </c>
    </row>
    <row r="825" spans="2:10" x14ac:dyDescent="0.25">
      <c r="B825" s="84" t="s">
        <v>14</v>
      </c>
      <c r="C825" s="121" t="s">
        <v>605</v>
      </c>
      <c r="D825" s="38"/>
      <c r="E825" s="128" t="s">
        <v>10</v>
      </c>
      <c r="F825" s="20" t="str">
        <f>IF(H826=1,IF(H824=H$2,H824,""),"")</f>
        <v/>
      </c>
      <c r="G825" s="24"/>
      <c r="H825" s="19" t="str">
        <f>IF(E$853="comprobar",COUNTIF(D824:D828,"x"),"")</f>
        <v/>
      </c>
    </row>
    <row r="826" spans="2:10" x14ac:dyDescent="0.25">
      <c r="B826" s="84" t="s">
        <v>14</v>
      </c>
      <c r="C826" s="121" t="s">
        <v>606</v>
      </c>
      <c r="D826" s="38"/>
      <c r="E826" s="128" t="s">
        <v>11</v>
      </c>
      <c r="F826" s="21" t="str">
        <f>IF(H826=-0.33,IF(H824=H$1,H824,""),"")</f>
        <v/>
      </c>
      <c r="G826" s="24"/>
      <c r="H826" s="22">
        <f t="shared" ref="H826" si="86">IF(H825=1,IF(H824=H$2,1,-0.33),0)</f>
        <v>0</v>
      </c>
    </row>
    <row r="827" spans="2:10" x14ac:dyDescent="0.25">
      <c r="B827" s="84" t="s">
        <v>14</v>
      </c>
      <c r="C827" s="121" t="s">
        <v>607</v>
      </c>
      <c r="D827" s="38"/>
      <c r="E827" s="128" t="s">
        <v>12</v>
      </c>
      <c r="F827" s="18"/>
      <c r="G827" s="24"/>
      <c r="H827" s="22"/>
    </row>
    <row r="828" spans="2:10" x14ac:dyDescent="0.25">
      <c r="B828" s="42"/>
      <c r="C828" s="24"/>
      <c r="D828" s="38"/>
      <c r="E828" s="128" t="s">
        <v>13</v>
      </c>
      <c r="F828" s="18"/>
      <c r="G828" s="17"/>
      <c r="H828" s="22"/>
    </row>
    <row r="829" spans="2:10" x14ac:dyDescent="0.25">
      <c r="B829" s="123" t="s">
        <v>22</v>
      </c>
      <c r="C829" s="85" t="s">
        <v>609</v>
      </c>
      <c r="D829" s="39"/>
      <c r="E829" s="12"/>
      <c r="F829" s="14"/>
      <c r="G829" s="26"/>
      <c r="H829" s="13"/>
      <c r="I829" s="15"/>
      <c r="J829" s="15"/>
    </row>
    <row r="830" spans="2:10" x14ac:dyDescent="0.25">
      <c r="B830" s="84" t="s">
        <v>14</v>
      </c>
      <c r="C830" s="121" t="s">
        <v>610</v>
      </c>
      <c r="D830" s="38"/>
      <c r="E830" s="128" t="s">
        <v>9</v>
      </c>
      <c r="F830" s="18"/>
      <c r="G830" s="24"/>
      <c r="H830" s="19" t="b">
        <f>IF(D833="x",H$2,H$1)</f>
        <v>0</v>
      </c>
    </row>
    <row r="831" spans="2:10" x14ac:dyDescent="0.25">
      <c r="B831" s="84" t="s">
        <v>14</v>
      </c>
      <c r="C831" s="121" t="s">
        <v>611</v>
      </c>
      <c r="D831" s="38"/>
      <c r="E831" s="128" t="s">
        <v>10</v>
      </c>
      <c r="F831" s="20" t="str">
        <f>IF(H832=1,IF(H830=H$2,H830,""),"")</f>
        <v/>
      </c>
      <c r="G831" s="24"/>
      <c r="H831" s="19" t="str">
        <f>IF(E$853="comprobar",COUNTIF(D830:D834,"x"),"")</f>
        <v/>
      </c>
    </row>
    <row r="832" spans="2:10" x14ac:dyDescent="0.25">
      <c r="B832" s="84" t="s">
        <v>14</v>
      </c>
      <c r="C832" s="121" t="s">
        <v>612</v>
      </c>
      <c r="D832" s="38"/>
      <c r="E832" s="128" t="s">
        <v>11</v>
      </c>
      <c r="F832" s="21" t="str">
        <f>IF(H832=-0.33,IF(H830=H$1,H830,""),"")</f>
        <v/>
      </c>
      <c r="G832" s="24"/>
      <c r="H832" s="22">
        <f t="shared" ref="H832" si="87">IF(H831=1,IF(H830=H$2,1,-0.33),0)</f>
        <v>0</v>
      </c>
    </row>
    <row r="833" spans="2:10" x14ac:dyDescent="0.25">
      <c r="B833" s="84" t="s">
        <v>14</v>
      </c>
      <c r="C833" s="121" t="s">
        <v>439</v>
      </c>
      <c r="D833" s="38"/>
      <c r="E833" s="128" t="s">
        <v>12</v>
      </c>
      <c r="F833" s="18"/>
      <c r="G833" s="24"/>
      <c r="H833" s="22"/>
    </row>
    <row r="834" spans="2:10" x14ac:dyDescent="0.25">
      <c r="B834" s="42"/>
      <c r="C834" s="24"/>
      <c r="D834" s="38"/>
      <c r="E834" s="128" t="s">
        <v>13</v>
      </c>
      <c r="F834" s="18"/>
      <c r="G834" s="17"/>
      <c r="H834" s="22"/>
    </row>
    <row r="835" spans="2:10" x14ac:dyDescent="0.25">
      <c r="B835" s="123" t="s">
        <v>23</v>
      </c>
      <c r="C835" s="85" t="s">
        <v>613</v>
      </c>
      <c r="D835" s="39"/>
      <c r="E835" s="12"/>
      <c r="F835" s="14"/>
      <c r="G835" s="26"/>
      <c r="H835" s="13"/>
      <c r="I835" s="15"/>
      <c r="J835" s="15"/>
    </row>
    <row r="836" spans="2:10" x14ac:dyDescent="0.25">
      <c r="B836" s="84" t="s">
        <v>14</v>
      </c>
      <c r="C836" s="121" t="s">
        <v>614</v>
      </c>
      <c r="D836" s="38"/>
      <c r="E836" s="128" t="s">
        <v>9</v>
      </c>
      <c r="F836" s="18"/>
      <c r="G836" s="24"/>
      <c r="H836" s="19" t="b">
        <f>IF(D836="x",H$2,H$1)</f>
        <v>0</v>
      </c>
    </row>
    <row r="837" spans="2:10" x14ac:dyDescent="0.25">
      <c r="B837" s="84" t="s">
        <v>14</v>
      </c>
      <c r="C837" s="121" t="s">
        <v>615</v>
      </c>
      <c r="D837" s="38"/>
      <c r="E837" s="128" t="s">
        <v>10</v>
      </c>
      <c r="F837" s="20" t="str">
        <f>IF(H838=1,IF(H836=H$2,H836,""),"")</f>
        <v/>
      </c>
      <c r="G837" s="24"/>
      <c r="H837" s="19" t="str">
        <f>IF(E$853="comprobar",COUNTIF(D836:D840,"x"),"")</f>
        <v/>
      </c>
    </row>
    <row r="838" spans="2:10" x14ac:dyDescent="0.25">
      <c r="B838" s="84" t="s">
        <v>14</v>
      </c>
      <c r="C838" s="121" t="s">
        <v>616</v>
      </c>
      <c r="D838" s="38"/>
      <c r="E838" s="128" t="s">
        <v>11</v>
      </c>
      <c r="F838" s="21" t="str">
        <f>IF(H838=-0.33,IF(H836=H$1,H836,""),"")</f>
        <v/>
      </c>
      <c r="G838" s="24"/>
      <c r="H838" s="22">
        <f t="shared" ref="H838" si="88">IF(H837=1,IF(H836=H$2,1,-0.33),0)</f>
        <v>0</v>
      </c>
    </row>
    <row r="839" spans="2:10" x14ac:dyDescent="0.25">
      <c r="B839" s="84" t="s">
        <v>14</v>
      </c>
      <c r="C839" s="121" t="s">
        <v>617</v>
      </c>
      <c r="D839" s="38"/>
      <c r="E839" s="128" t="s">
        <v>12</v>
      </c>
      <c r="F839" s="18"/>
      <c r="G839" s="24"/>
      <c r="H839" s="22"/>
    </row>
    <row r="840" spans="2:10" x14ac:dyDescent="0.25">
      <c r="B840" s="109"/>
      <c r="C840" s="24"/>
      <c r="D840" s="38"/>
      <c r="E840" s="128" t="s">
        <v>13</v>
      </c>
      <c r="F840" s="18"/>
      <c r="G840" s="17"/>
      <c r="H840" s="22"/>
    </row>
    <row r="841" spans="2:10" x14ac:dyDescent="0.25">
      <c r="B841" s="123" t="s">
        <v>28</v>
      </c>
      <c r="C841" s="85" t="s">
        <v>618</v>
      </c>
      <c r="D841" s="39"/>
      <c r="E841" s="12"/>
      <c r="F841" s="14"/>
      <c r="G841" s="26"/>
      <c r="H841" s="13"/>
    </row>
    <row r="842" spans="2:10" x14ac:dyDescent="0.25">
      <c r="B842" s="84" t="s">
        <v>14</v>
      </c>
      <c r="C842" s="121" t="s">
        <v>619</v>
      </c>
      <c r="D842" s="38"/>
      <c r="E842" s="128" t="s">
        <v>9</v>
      </c>
      <c r="F842" s="18"/>
      <c r="G842" s="24"/>
      <c r="H842" s="19" t="b">
        <f>IF(D845="x",H$2,H$1)</f>
        <v>0</v>
      </c>
    </row>
    <row r="843" spans="2:10" x14ac:dyDescent="0.25">
      <c r="B843" s="84" t="s">
        <v>14</v>
      </c>
      <c r="C843" s="121" t="s">
        <v>620</v>
      </c>
      <c r="D843" s="38"/>
      <c r="E843" s="128" t="s">
        <v>10</v>
      </c>
      <c r="F843" s="20" t="str">
        <f>IF(H844=1,IF(H842=H$2,H842,""),"")</f>
        <v/>
      </c>
      <c r="G843" s="24"/>
      <c r="H843" s="19" t="str">
        <f>IF(E$853="comprobar",COUNTIF(D842:D846,"x"),"")</f>
        <v/>
      </c>
    </row>
    <row r="844" spans="2:10" x14ac:dyDescent="0.25">
      <c r="B844" s="84" t="s">
        <v>14</v>
      </c>
      <c r="C844" s="121" t="s">
        <v>621</v>
      </c>
      <c r="D844" s="38"/>
      <c r="E844" s="128" t="s">
        <v>11</v>
      </c>
      <c r="F844" s="21" t="str">
        <f>IF(H844=-0.33,IF(H842=H$1,H842,""),"")</f>
        <v/>
      </c>
      <c r="G844" s="24"/>
      <c r="H844" s="22">
        <f t="shared" ref="H844" si="89">IF(H843=1,IF(H842=H$2,1,-0.33),0)</f>
        <v>0</v>
      </c>
    </row>
    <row r="845" spans="2:10" x14ac:dyDescent="0.25">
      <c r="B845" s="84" t="s">
        <v>14</v>
      </c>
      <c r="C845" s="121" t="s">
        <v>622</v>
      </c>
      <c r="D845" s="38"/>
      <c r="E845" s="128" t="s">
        <v>12</v>
      </c>
      <c r="F845" s="18"/>
      <c r="G845" s="24"/>
      <c r="H845" s="22"/>
    </row>
    <row r="846" spans="2:10" x14ac:dyDescent="0.25">
      <c r="B846" s="109"/>
      <c r="C846" s="24"/>
      <c r="D846" s="38"/>
      <c r="E846" s="128" t="s">
        <v>13</v>
      </c>
      <c r="F846" s="18"/>
      <c r="G846" s="17"/>
      <c r="H846" s="22"/>
    </row>
    <row r="847" spans="2:10" x14ac:dyDescent="0.25">
      <c r="B847" s="123" t="s">
        <v>26</v>
      </c>
      <c r="C847" s="85" t="s">
        <v>623</v>
      </c>
      <c r="D847" s="39"/>
      <c r="E847" s="12"/>
      <c r="F847" s="14"/>
      <c r="G847" s="26"/>
      <c r="H847" s="13"/>
    </row>
    <row r="848" spans="2:10" x14ac:dyDescent="0.25">
      <c r="B848" s="84" t="s">
        <v>14</v>
      </c>
      <c r="C848" s="121" t="s">
        <v>624</v>
      </c>
      <c r="D848" s="38"/>
      <c r="E848" s="128" t="s">
        <v>9</v>
      </c>
      <c r="F848" s="18"/>
      <c r="G848" s="24"/>
      <c r="H848" s="19" t="b">
        <f>IF(D849="x",H$2,H$1)</f>
        <v>0</v>
      </c>
    </row>
    <row r="849" spans="2:10" x14ac:dyDescent="0.25">
      <c r="B849" s="84" t="s">
        <v>14</v>
      </c>
      <c r="C849" s="121" t="s">
        <v>625</v>
      </c>
      <c r="D849" s="38"/>
      <c r="E849" s="128" t="s">
        <v>10</v>
      </c>
      <c r="F849" s="20" t="str">
        <f>IF(H850=1,IF(H848=H$2,H848,""),"")</f>
        <v/>
      </c>
      <c r="G849" s="24"/>
      <c r="H849" s="19" t="str">
        <f>IF(E$853="comprobar",COUNTIF(D848:D852,"x"),"")</f>
        <v/>
      </c>
    </row>
    <row r="850" spans="2:10" x14ac:dyDescent="0.25">
      <c r="B850" s="84" t="s">
        <v>14</v>
      </c>
      <c r="C850" s="121" t="s">
        <v>626</v>
      </c>
      <c r="D850" s="38"/>
      <c r="E850" s="128" t="s">
        <v>11</v>
      </c>
      <c r="F850" s="21" t="str">
        <f>IF(H850=-0.33,IF(H848=H$1,H848,""),"")</f>
        <v/>
      </c>
      <c r="G850" s="24"/>
      <c r="H850" s="22">
        <f t="shared" ref="H850" si="90">IF(H849=1,IF(H848=H$2,1,-0.33),0)</f>
        <v>0</v>
      </c>
    </row>
    <row r="851" spans="2:10" x14ac:dyDescent="0.25">
      <c r="B851" s="84" t="s">
        <v>14</v>
      </c>
      <c r="C851" s="121" t="s">
        <v>627</v>
      </c>
      <c r="D851" s="38"/>
      <c r="E851" s="128" t="s">
        <v>12</v>
      </c>
      <c r="F851" s="18"/>
      <c r="G851" s="24"/>
      <c r="H851" s="22"/>
    </row>
    <row r="852" spans="2:10" x14ac:dyDescent="0.25">
      <c r="B852" s="109"/>
      <c r="C852" s="24"/>
      <c r="D852" s="38"/>
      <c r="E852" s="128" t="s">
        <v>13</v>
      </c>
      <c r="F852" s="18"/>
      <c r="G852" s="17"/>
      <c r="H852" s="22"/>
    </row>
    <row r="853" spans="2:10" x14ac:dyDescent="0.25">
      <c r="B853" s="109"/>
      <c r="C853" s="16"/>
      <c r="D853" s="48"/>
      <c r="E853" s="54"/>
      <c r="F853" s="18"/>
      <c r="G853" s="17"/>
      <c r="H853" s="22"/>
    </row>
    <row r="854" spans="2:10" x14ac:dyDescent="0.25">
      <c r="B854" s="42"/>
      <c r="C854" s="8"/>
      <c r="D854" s="48"/>
      <c r="E854" s="59"/>
      <c r="F854" s="28" t="s">
        <v>8</v>
      </c>
      <c r="G854" s="17" t="s">
        <v>6</v>
      </c>
      <c r="H854" s="17" t="s">
        <v>7</v>
      </c>
    </row>
    <row r="855" spans="2:10" ht="19.5" x14ac:dyDescent="0.25">
      <c r="B855" s="42"/>
      <c r="C855" s="8"/>
      <c r="D855" s="145"/>
      <c r="E855" s="145"/>
      <c r="F855" s="29" t="str">
        <f>IF(E$853="comprobar",H838+H832+H826+H820+H814+H808+H802+H796+H844+H850,"")</f>
        <v/>
      </c>
      <c r="G855" s="17">
        <f>10/2</f>
        <v>5</v>
      </c>
      <c r="H855" s="17"/>
    </row>
    <row r="856" spans="2:10" ht="16.5" thickBot="1" x14ac:dyDescent="0.3">
      <c r="B856" s="42"/>
      <c r="C856" s="8"/>
      <c r="D856" s="128"/>
      <c r="E856" s="128"/>
      <c r="F856" s="28" t="str">
        <f>IF(F855&gt;G855,G854,H854)</f>
        <v>APROBADO</v>
      </c>
      <c r="G856" s="17"/>
      <c r="H856" s="17"/>
    </row>
    <row r="857" spans="2:10" ht="28.5" x14ac:dyDescent="0.45">
      <c r="B857" s="61" t="s">
        <v>32</v>
      </c>
      <c r="C857" s="129" t="s">
        <v>541</v>
      </c>
      <c r="D857" s="129"/>
      <c r="E857" s="129"/>
      <c r="F857" s="130"/>
    </row>
    <row r="858" spans="2:10" x14ac:dyDescent="0.25">
      <c r="B858" s="120" t="s">
        <v>17</v>
      </c>
      <c r="C858" s="85" t="s">
        <v>628</v>
      </c>
      <c r="D858" s="12"/>
      <c r="E858" s="12"/>
      <c r="F858" s="14"/>
      <c r="G858" s="26"/>
      <c r="H858" s="13"/>
      <c r="I858" s="15"/>
      <c r="J858" s="15"/>
    </row>
    <row r="859" spans="2:10" x14ac:dyDescent="0.25">
      <c r="B859" s="84" t="s">
        <v>14</v>
      </c>
      <c r="C859" s="121" t="s">
        <v>629</v>
      </c>
      <c r="D859" s="38"/>
      <c r="E859" s="128"/>
      <c r="F859" s="18"/>
      <c r="G859" s="24"/>
      <c r="H859" s="19" t="b">
        <f>IF(D860="x",H$2,H$1)</f>
        <v>0</v>
      </c>
    </row>
    <row r="860" spans="2:10" x14ac:dyDescent="0.25">
      <c r="B860" s="84" t="s">
        <v>14</v>
      </c>
      <c r="C860" s="121" t="s">
        <v>630</v>
      </c>
      <c r="D860" s="38"/>
      <c r="E860" s="128" t="s">
        <v>10</v>
      </c>
      <c r="F860" s="20" t="str">
        <f>IF(H861=1,IF(H859=H$2,H859,""),"")</f>
        <v/>
      </c>
      <c r="G860" s="24"/>
      <c r="H860" s="19" t="str">
        <f>IF(E$918="comprobar",COUNTIF(D859:D863,"x"),"")</f>
        <v/>
      </c>
    </row>
    <row r="861" spans="2:10" x14ac:dyDescent="0.25">
      <c r="B861" s="84" t="s">
        <v>14</v>
      </c>
      <c r="C861" s="121" t="s">
        <v>631</v>
      </c>
      <c r="D861" s="38"/>
      <c r="E861" s="128" t="s">
        <v>11</v>
      </c>
      <c r="F861" s="21" t="str">
        <f>IF(H861=-0.33,IF(H859=H$1,H859,""),"")</f>
        <v/>
      </c>
      <c r="G861" s="24"/>
      <c r="H861" s="22">
        <f>IF(H860=1,IF(H859=H$2,1,-0.33),0)</f>
        <v>0</v>
      </c>
    </row>
    <row r="862" spans="2:10" x14ac:dyDescent="0.25">
      <c r="B862" s="84" t="s">
        <v>14</v>
      </c>
      <c r="C862" s="121" t="s">
        <v>136</v>
      </c>
      <c r="D862" s="38"/>
      <c r="E862" s="128" t="s">
        <v>12</v>
      </c>
      <c r="F862" s="18"/>
      <c r="G862" s="24"/>
      <c r="H862" s="22"/>
    </row>
    <row r="863" spans="2:10" x14ac:dyDescent="0.25">
      <c r="B863" s="42"/>
      <c r="C863" s="24"/>
      <c r="D863" s="38"/>
      <c r="E863" s="128" t="s">
        <v>13</v>
      </c>
      <c r="F863" s="18"/>
      <c r="G863" s="17"/>
      <c r="H863" s="22"/>
    </row>
    <row r="864" spans="2:10" x14ac:dyDescent="0.25">
      <c r="B864" s="123" t="s">
        <v>16</v>
      </c>
      <c r="C864" s="85" t="s">
        <v>632</v>
      </c>
      <c r="D864" s="39"/>
      <c r="E864" s="12"/>
      <c r="F864" s="14"/>
      <c r="G864" s="26"/>
      <c r="H864" s="13"/>
      <c r="I864" s="15"/>
      <c r="J864" s="15"/>
    </row>
    <row r="865" spans="2:10" x14ac:dyDescent="0.25">
      <c r="B865" s="84" t="s">
        <v>14</v>
      </c>
      <c r="C865" s="121" t="s">
        <v>633</v>
      </c>
      <c r="D865" s="38"/>
      <c r="E865" s="128" t="s">
        <v>9</v>
      </c>
      <c r="F865" s="18"/>
      <c r="G865" s="24"/>
      <c r="H865" s="19" t="b">
        <f>IF(D867="x",H$2,H$1)</f>
        <v>0</v>
      </c>
    </row>
    <row r="866" spans="2:10" x14ac:dyDescent="0.25">
      <c r="B866" s="84" t="s">
        <v>14</v>
      </c>
      <c r="C866" s="121" t="s">
        <v>634</v>
      </c>
      <c r="D866" s="38"/>
      <c r="E866" s="128" t="s">
        <v>10</v>
      </c>
      <c r="F866" s="20" t="str">
        <f>IF(H867=1,IF(H865=H$2,H865,""),"")</f>
        <v/>
      </c>
      <c r="G866" s="24"/>
      <c r="H866" s="19" t="str">
        <f>IF(E$918="comprobar",COUNTIF(D865:D869,"x"),"")</f>
        <v/>
      </c>
    </row>
    <row r="867" spans="2:10" x14ac:dyDescent="0.25">
      <c r="B867" s="84" t="s">
        <v>14</v>
      </c>
      <c r="C867" s="121" t="s">
        <v>635</v>
      </c>
      <c r="D867" s="38"/>
      <c r="E867" s="128" t="s">
        <v>11</v>
      </c>
      <c r="F867" s="21" t="str">
        <f>IF(H867=-0.33,IF(H865=H$1,H865,""),"")</f>
        <v/>
      </c>
      <c r="G867" s="24"/>
      <c r="H867" s="22">
        <f t="shared" ref="H867" si="91">IF(H866=1,IF(H865=H$2,1,-0.33),0)</f>
        <v>0</v>
      </c>
    </row>
    <row r="868" spans="2:10" x14ac:dyDescent="0.25">
      <c r="B868" s="84" t="s">
        <v>14</v>
      </c>
      <c r="C868" s="121" t="s">
        <v>636</v>
      </c>
      <c r="D868" s="38"/>
      <c r="E868" s="128" t="s">
        <v>12</v>
      </c>
      <c r="F868" s="18"/>
      <c r="G868" s="24"/>
      <c r="H868" s="22"/>
    </row>
    <row r="869" spans="2:10" x14ac:dyDescent="0.25">
      <c r="B869" s="84"/>
      <c r="C869" s="24"/>
      <c r="D869" s="38"/>
      <c r="E869" s="128" t="s">
        <v>13</v>
      </c>
      <c r="F869" s="18"/>
      <c r="G869" s="17"/>
      <c r="H869" s="22"/>
    </row>
    <row r="870" spans="2:10" x14ac:dyDescent="0.25">
      <c r="B870" s="123" t="s">
        <v>18</v>
      </c>
      <c r="C870" s="85" t="s">
        <v>637</v>
      </c>
      <c r="D870" s="39"/>
      <c r="E870" s="12"/>
      <c r="F870" s="14"/>
      <c r="G870" s="26"/>
      <c r="H870" s="13"/>
      <c r="I870" s="15"/>
      <c r="J870" s="15"/>
    </row>
    <row r="871" spans="2:10" x14ac:dyDescent="0.25">
      <c r="B871" s="84" t="s">
        <v>14</v>
      </c>
      <c r="C871" s="121" t="s">
        <v>638</v>
      </c>
      <c r="D871" s="38"/>
      <c r="E871" s="128" t="s">
        <v>9</v>
      </c>
      <c r="F871" s="18"/>
      <c r="G871" s="24"/>
      <c r="H871" s="19" t="b">
        <f>IF(D871="x",H$2,H$1)</f>
        <v>0</v>
      </c>
    </row>
    <row r="872" spans="2:10" x14ac:dyDescent="0.25">
      <c r="B872" s="84" t="s">
        <v>14</v>
      </c>
      <c r="C872" s="121" t="s">
        <v>639</v>
      </c>
      <c r="D872" s="38"/>
      <c r="E872" s="128" t="s">
        <v>10</v>
      </c>
      <c r="F872" s="20" t="str">
        <f>IF(H873=1,IF(H871=H$2,H871,""),"")</f>
        <v/>
      </c>
      <c r="G872" s="24"/>
      <c r="H872" s="19" t="str">
        <f>IF(E$918="comprobar",COUNTIF(D871:D875,"x"),"")</f>
        <v/>
      </c>
    </row>
    <row r="873" spans="2:10" x14ac:dyDescent="0.25">
      <c r="B873" s="84" t="s">
        <v>14</v>
      </c>
      <c r="C873" s="121" t="s">
        <v>640</v>
      </c>
      <c r="D873" s="38"/>
      <c r="E873" s="128" t="s">
        <v>11</v>
      </c>
      <c r="F873" s="21" t="str">
        <f>IF(H873=-0.33,IF(H871=H$1,H871,""),"")</f>
        <v/>
      </c>
      <c r="G873" s="24"/>
      <c r="H873" s="22">
        <f t="shared" ref="H873" si="92">IF(H872=1,IF(H871=H$2,1,-0.33),0)</f>
        <v>0</v>
      </c>
    </row>
    <row r="874" spans="2:10" x14ac:dyDescent="0.25">
      <c r="B874" s="84" t="s">
        <v>14</v>
      </c>
      <c r="C874" s="121" t="s">
        <v>641</v>
      </c>
      <c r="D874" s="38"/>
      <c r="E874" s="128" t="s">
        <v>12</v>
      </c>
      <c r="F874" s="18"/>
      <c r="G874" s="24"/>
      <c r="H874" s="22"/>
    </row>
    <row r="875" spans="2:10" x14ac:dyDescent="0.25">
      <c r="B875" s="84"/>
      <c r="C875" s="24"/>
      <c r="D875" s="38"/>
      <c r="E875" s="128" t="s">
        <v>13</v>
      </c>
      <c r="F875" s="18"/>
      <c r="G875" s="17"/>
      <c r="H875" s="22"/>
    </row>
    <row r="876" spans="2:10" x14ac:dyDescent="0.25">
      <c r="B876" s="123" t="s">
        <v>19</v>
      </c>
      <c r="C876" s="85" t="s">
        <v>642</v>
      </c>
      <c r="D876" s="39"/>
      <c r="E876" s="12"/>
      <c r="F876" s="14"/>
      <c r="G876" s="26"/>
      <c r="H876" s="13"/>
      <c r="I876" s="15"/>
      <c r="J876" s="15"/>
    </row>
    <row r="877" spans="2:10" x14ac:dyDescent="0.25">
      <c r="B877" s="84" t="s">
        <v>14</v>
      </c>
      <c r="C877" s="121" t="s">
        <v>643</v>
      </c>
      <c r="D877" s="38"/>
      <c r="E877" s="128" t="s">
        <v>9</v>
      </c>
      <c r="F877" s="18"/>
      <c r="G877" s="24"/>
      <c r="H877" s="19" t="b">
        <f>IF(D878="x",H$2,H$1)</f>
        <v>0</v>
      </c>
    </row>
    <row r="878" spans="2:10" x14ac:dyDescent="0.25">
      <c r="B878" s="84" t="s">
        <v>14</v>
      </c>
      <c r="C878" s="121" t="s">
        <v>644</v>
      </c>
      <c r="D878" s="38"/>
      <c r="E878" s="128" t="s">
        <v>10</v>
      </c>
      <c r="F878" s="20" t="str">
        <f>IF(H879=1,IF(H877=H$2,H877,""),"")</f>
        <v/>
      </c>
      <c r="G878" s="24"/>
      <c r="H878" s="19" t="str">
        <f>IF(E$918="comprobar",COUNTIF(D877:D881,"x"),"")</f>
        <v/>
      </c>
    </row>
    <row r="879" spans="2:10" x14ac:dyDescent="0.25">
      <c r="B879" s="84" t="s">
        <v>14</v>
      </c>
      <c r="C879" s="121" t="s">
        <v>732</v>
      </c>
      <c r="D879" s="38"/>
      <c r="E879" s="128" t="s">
        <v>11</v>
      </c>
      <c r="F879" s="21" t="str">
        <f>IF(H879=-0.33,IF(H877=H$1,H877,""),"")</f>
        <v/>
      </c>
      <c r="G879" s="24"/>
      <c r="H879" s="22">
        <f t="shared" ref="H879" si="93">IF(H878=1,IF(H877=H$2,1,-0.33),0)</f>
        <v>0</v>
      </c>
    </row>
    <row r="880" spans="2:10" x14ac:dyDescent="0.25">
      <c r="B880" s="84" t="s">
        <v>14</v>
      </c>
      <c r="C880" s="121" t="s">
        <v>576</v>
      </c>
      <c r="D880" s="38"/>
      <c r="E880" s="128" t="s">
        <v>12</v>
      </c>
      <c r="F880" s="18"/>
      <c r="G880" s="24"/>
      <c r="H880" s="22"/>
    </row>
    <row r="881" spans="2:10" x14ac:dyDescent="0.25">
      <c r="B881" s="84"/>
      <c r="C881" s="24"/>
      <c r="D881" s="38"/>
      <c r="E881" s="128" t="s">
        <v>13</v>
      </c>
      <c r="F881" s="18"/>
      <c r="G881" s="17"/>
      <c r="H881" s="22"/>
    </row>
    <row r="882" spans="2:10" x14ac:dyDescent="0.25">
      <c r="B882" s="123" t="s">
        <v>20</v>
      </c>
      <c r="C882" s="85" t="s">
        <v>645</v>
      </c>
      <c r="D882" s="39"/>
      <c r="E882" s="12"/>
      <c r="F882" s="14"/>
      <c r="G882" s="26"/>
      <c r="H882" s="13"/>
      <c r="I882" s="15"/>
      <c r="J882" s="15"/>
    </row>
    <row r="883" spans="2:10" x14ac:dyDescent="0.25">
      <c r="B883" s="84" t="s">
        <v>14</v>
      </c>
      <c r="C883" s="121" t="s">
        <v>630</v>
      </c>
      <c r="D883" s="38"/>
      <c r="E883" s="128" t="s">
        <v>9</v>
      </c>
      <c r="F883" s="18"/>
      <c r="G883" s="24"/>
      <c r="H883" s="19" t="b">
        <f>IF(D885="x",H$2,H$1)</f>
        <v>0</v>
      </c>
    </row>
    <row r="884" spans="2:10" x14ac:dyDescent="0.25">
      <c r="B884" s="84" t="s">
        <v>14</v>
      </c>
      <c r="C884" s="121" t="s">
        <v>646</v>
      </c>
      <c r="D884" s="38"/>
      <c r="E884" s="128" t="s">
        <v>10</v>
      </c>
      <c r="F884" s="20" t="str">
        <f>IF(H885=1,IF(H883=H$2,H883,""),"")</f>
        <v/>
      </c>
      <c r="G884" s="24"/>
      <c r="H884" s="19" t="str">
        <f>IF(E$918="comprobar",COUNTIF(D883:D887,"x"),"")</f>
        <v/>
      </c>
    </row>
    <row r="885" spans="2:10" x14ac:dyDescent="0.25">
      <c r="B885" s="84" t="s">
        <v>14</v>
      </c>
      <c r="C885" s="121" t="s">
        <v>629</v>
      </c>
      <c r="D885" s="38"/>
      <c r="E885" s="128" t="s">
        <v>11</v>
      </c>
      <c r="F885" s="21" t="str">
        <f>IF(H885=-0.33,IF(H883=H$1,H883,""),"")</f>
        <v/>
      </c>
      <c r="G885" s="24"/>
      <c r="H885" s="22">
        <f t="shared" ref="H885" si="94">IF(H884=1,IF(H883=H$2,1,-0.33),0)</f>
        <v>0</v>
      </c>
    </row>
    <row r="886" spans="2:10" x14ac:dyDescent="0.25">
      <c r="B886" s="84" t="s">
        <v>14</v>
      </c>
      <c r="C886" s="121" t="s">
        <v>647</v>
      </c>
      <c r="D886" s="38"/>
      <c r="E886" s="128" t="s">
        <v>12</v>
      </c>
      <c r="F886" s="18"/>
      <c r="G886" s="24"/>
      <c r="H886" s="22"/>
    </row>
    <row r="887" spans="2:10" x14ac:dyDescent="0.25">
      <c r="B887" s="84"/>
      <c r="C887" s="24"/>
      <c r="D887" s="38"/>
      <c r="E887" s="128" t="s">
        <v>13</v>
      </c>
      <c r="F887" s="18"/>
      <c r="G887" s="17"/>
      <c r="H887" s="22"/>
    </row>
    <row r="888" spans="2:10" x14ac:dyDescent="0.25">
      <c r="B888" s="123" t="s">
        <v>21</v>
      </c>
      <c r="C888" s="85" t="s">
        <v>733</v>
      </c>
      <c r="D888" s="39"/>
      <c r="E888" s="12"/>
      <c r="F888" s="14"/>
      <c r="G888" s="26"/>
      <c r="H888" s="13"/>
      <c r="I888" s="15"/>
      <c r="J888" s="15"/>
    </row>
    <row r="889" spans="2:10" x14ac:dyDescent="0.25">
      <c r="B889" s="84" t="s">
        <v>14</v>
      </c>
      <c r="C889" s="121" t="s">
        <v>648</v>
      </c>
      <c r="D889" s="38"/>
      <c r="E889" s="128" t="s">
        <v>9</v>
      </c>
      <c r="F889" s="18"/>
      <c r="G889" s="24"/>
      <c r="H889" s="19" t="b">
        <f>IF(D890="x",H$2,H$1)</f>
        <v>0</v>
      </c>
    </row>
    <row r="890" spans="2:10" x14ac:dyDescent="0.25">
      <c r="B890" s="84" t="s">
        <v>14</v>
      </c>
      <c r="C890" s="121" t="s">
        <v>649</v>
      </c>
      <c r="D890" s="38"/>
      <c r="E890" s="128" t="s">
        <v>10</v>
      </c>
      <c r="F890" s="20" t="str">
        <f>IF(H891=1,IF(H889=H$2,H889,""),"")</f>
        <v/>
      </c>
      <c r="G890" s="24"/>
      <c r="H890" s="19" t="str">
        <f>IF(E$918="comprobar",COUNTIF(D889:D893,"x"),"")</f>
        <v/>
      </c>
    </row>
    <row r="891" spans="2:10" x14ac:dyDescent="0.25">
      <c r="B891" s="84" t="s">
        <v>14</v>
      </c>
      <c r="C891" s="121" t="s">
        <v>650</v>
      </c>
      <c r="D891" s="38"/>
      <c r="E891" s="128" t="s">
        <v>11</v>
      </c>
      <c r="F891" s="21" t="str">
        <f>IF(H891=-0.33,IF(H889=H$1,H889,""),"")</f>
        <v/>
      </c>
      <c r="G891" s="24"/>
      <c r="H891" s="22">
        <f t="shared" ref="H891" si="95">IF(H890=1,IF(H889=H$2,1,-0.33),0)</f>
        <v>0</v>
      </c>
    </row>
    <row r="892" spans="2:10" x14ac:dyDescent="0.25">
      <c r="B892" s="84" t="s">
        <v>14</v>
      </c>
      <c r="C892" s="121" t="s">
        <v>651</v>
      </c>
      <c r="D892" s="38"/>
      <c r="E892" s="128" t="s">
        <v>12</v>
      </c>
      <c r="F892" s="18"/>
      <c r="G892" s="24"/>
      <c r="H892" s="22"/>
    </row>
    <row r="893" spans="2:10" x14ac:dyDescent="0.25">
      <c r="B893" s="42"/>
      <c r="C893" s="24"/>
      <c r="D893" s="38"/>
      <c r="E893" s="128" t="s">
        <v>13</v>
      </c>
      <c r="F893" s="18"/>
      <c r="G893" s="17"/>
      <c r="H893" s="22"/>
    </row>
    <row r="894" spans="2:10" x14ac:dyDescent="0.25">
      <c r="B894" s="123" t="s">
        <v>22</v>
      </c>
      <c r="C894" s="85" t="s">
        <v>652</v>
      </c>
      <c r="D894" s="39"/>
      <c r="E894" s="12"/>
      <c r="F894" s="14"/>
      <c r="G894" s="26"/>
      <c r="H894" s="13"/>
      <c r="I894" s="15"/>
      <c r="J894" s="15"/>
    </row>
    <row r="895" spans="2:10" x14ac:dyDescent="0.25">
      <c r="B895" s="84" t="s">
        <v>14</v>
      </c>
      <c r="C895" s="121" t="s">
        <v>653</v>
      </c>
      <c r="D895" s="38"/>
      <c r="E895" s="128" t="s">
        <v>9</v>
      </c>
      <c r="F895" s="18"/>
      <c r="G895" s="24"/>
      <c r="H895" s="19" t="b">
        <f>IF(D898="x",H$2,H$1)</f>
        <v>0</v>
      </c>
    </row>
    <row r="896" spans="2:10" x14ac:dyDescent="0.25">
      <c r="B896" s="84" t="s">
        <v>14</v>
      </c>
      <c r="C896" s="121" t="s">
        <v>654</v>
      </c>
      <c r="D896" s="38"/>
      <c r="E896" s="128" t="s">
        <v>10</v>
      </c>
      <c r="F896" s="20" t="str">
        <f>IF(H897=1,IF(H895=H$2,H895,""),"")</f>
        <v/>
      </c>
      <c r="G896" s="24"/>
      <c r="H896" s="19" t="str">
        <f>IF(E$918="comprobar",COUNTIF(D895:D899,"x"),"")</f>
        <v/>
      </c>
      <c r="I896" s="146" t="s">
        <v>670</v>
      </c>
      <c r="J896" s="146"/>
    </row>
    <row r="897" spans="2:10" x14ac:dyDescent="0.25">
      <c r="B897" s="84" t="s">
        <v>14</v>
      </c>
      <c r="C897" s="121" t="s">
        <v>655</v>
      </c>
      <c r="D897" s="38"/>
      <c r="E897" s="128" t="s">
        <v>11</v>
      </c>
      <c r="F897" s="21" t="str">
        <f>IF(H897=-0.33,IF(H895=H$1,H895,""),"")</f>
        <v/>
      </c>
      <c r="G897" s="24"/>
      <c r="H897" s="22">
        <f t="shared" ref="H897" si="96">IF(H896=1,IF(H895=H$2,1,-0.33),0)</f>
        <v>0</v>
      </c>
      <c r="I897" s="146"/>
      <c r="J897" s="146"/>
    </row>
    <row r="898" spans="2:10" x14ac:dyDescent="0.25">
      <c r="B898" s="84" t="s">
        <v>14</v>
      </c>
      <c r="C898" s="121" t="s">
        <v>734</v>
      </c>
      <c r="D898" s="38"/>
      <c r="E898" s="128" t="s">
        <v>12</v>
      </c>
      <c r="F898" s="18"/>
      <c r="G898" s="24"/>
      <c r="H898" s="22"/>
      <c r="I898" s="146"/>
      <c r="J898" s="146"/>
    </row>
    <row r="899" spans="2:10" x14ac:dyDescent="0.25">
      <c r="B899" s="42"/>
      <c r="C899" s="24"/>
      <c r="D899" s="38"/>
      <c r="E899" s="128" t="s">
        <v>13</v>
      </c>
      <c r="F899" s="18"/>
      <c r="G899" s="17"/>
      <c r="H899" s="22"/>
    </row>
    <row r="900" spans="2:10" x14ac:dyDescent="0.25">
      <c r="B900" s="123" t="s">
        <v>23</v>
      </c>
      <c r="C900" s="85" t="s">
        <v>656</v>
      </c>
      <c r="D900" s="39"/>
      <c r="E900" s="12"/>
      <c r="F900" s="14"/>
      <c r="G900" s="26"/>
      <c r="H900" s="13"/>
      <c r="I900" s="15"/>
      <c r="J900" s="15"/>
    </row>
    <row r="901" spans="2:10" x14ac:dyDescent="0.25">
      <c r="B901" s="84" t="s">
        <v>14</v>
      </c>
      <c r="C901" s="121" t="s">
        <v>657</v>
      </c>
      <c r="D901" s="38"/>
      <c r="E901" s="128" t="s">
        <v>9</v>
      </c>
      <c r="F901" s="18"/>
      <c r="G901" s="24"/>
      <c r="H901" s="19" t="b">
        <f>IF(D903="x",H$2,H$1)</f>
        <v>0</v>
      </c>
    </row>
    <row r="902" spans="2:10" x14ac:dyDescent="0.25">
      <c r="B902" s="84" t="s">
        <v>14</v>
      </c>
      <c r="C902" s="121" t="s">
        <v>658</v>
      </c>
      <c r="D902" s="38"/>
      <c r="E902" s="128" t="s">
        <v>10</v>
      </c>
      <c r="F902" s="20" t="str">
        <f>IF(H903=1,IF(H901=H$2,H901,""),"")</f>
        <v/>
      </c>
      <c r="G902" s="24"/>
      <c r="H902" s="19" t="str">
        <f>IF(E$918="comprobar",COUNTIF(D901:D905,"x"),"")</f>
        <v/>
      </c>
    </row>
    <row r="903" spans="2:10" x14ac:dyDescent="0.25">
      <c r="B903" s="84" t="s">
        <v>14</v>
      </c>
      <c r="C903" s="121" t="s">
        <v>660</v>
      </c>
      <c r="D903" s="38"/>
      <c r="E903" s="128" t="s">
        <v>11</v>
      </c>
      <c r="F903" s="21" t="str">
        <f>IF(H903=-0.33,IF(H901=H$1,H901,""),"")</f>
        <v/>
      </c>
      <c r="G903" s="24"/>
      <c r="H903" s="22">
        <f t="shared" ref="H903" si="97">IF(H902=1,IF(H901=H$2,1,-0.33),0)</f>
        <v>0</v>
      </c>
    </row>
    <row r="904" spans="2:10" x14ac:dyDescent="0.25">
      <c r="B904" s="84" t="s">
        <v>14</v>
      </c>
      <c r="C904" s="121" t="s">
        <v>659</v>
      </c>
      <c r="D904" s="38"/>
      <c r="E904" s="128" t="s">
        <v>12</v>
      </c>
      <c r="F904" s="18"/>
      <c r="G904" s="24"/>
      <c r="H904" s="22"/>
    </row>
    <row r="905" spans="2:10" x14ac:dyDescent="0.25">
      <c r="B905" s="109"/>
      <c r="C905" s="24"/>
      <c r="D905" s="38"/>
      <c r="E905" s="128" t="s">
        <v>13</v>
      </c>
      <c r="F905" s="18"/>
      <c r="G905" s="17"/>
      <c r="H905" s="22"/>
    </row>
    <row r="906" spans="2:10" x14ac:dyDescent="0.25">
      <c r="B906" s="123" t="s">
        <v>28</v>
      </c>
      <c r="C906" s="85" t="s">
        <v>735</v>
      </c>
      <c r="D906" s="39"/>
      <c r="E906" s="12"/>
      <c r="F906" s="14"/>
      <c r="G906" s="26"/>
      <c r="H906" s="13"/>
    </row>
    <row r="907" spans="2:10" x14ac:dyDescent="0.25">
      <c r="B907" s="84" t="s">
        <v>14</v>
      </c>
      <c r="C907" s="121" t="s">
        <v>661</v>
      </c>
      <c r="D907" s="38"/>
      <c r="E907" s="128" t="s">
        <v>9</v>
      </c>
      <c r="F907" s="18"/>
      <c r="G907" s="24"/>
      <c r="H907" s="19" t="b">
        <f>IF(D907="x",H$2,H$1)</f>
        <v>0</v>
      </c>
    </row>
    <row r="908" spans="2:10" x14ac:dyDescent="0.25">
      <c r="B908" s="84" t="s">
        <v>14</v>
      </c>
      <c r="C908" s="121" t="s">
        <v>662</v>
      </c>
      <c r="D908" s="38"/>
      <c r="E908" s="128" t="s">
        <v>10</v>
      </c>
      <c r="F908" s="20" t="str">
        <f>IF(H909=1,IF(H907=H$2,H907,""),"")</f>
        <v/>
      </c>
      <c r="G908" s="24"/>
      <c r="H908" s="19" t="str">
        <f>IF(E$918="comprobar",COUNTIF(D907:D911,"x"),"")</f>
        <v/>
      </c>
    </row>
    <row r="909" spans="2:10" x14ac:dyDescent="0.25">
      <c r="B909" s="84" t="s">
        <v>14</v>
      </c>
      <c r="C909" s="121" t="s">
        <v>663</v>
      </c>
      <c r="D909" s="38"/>
      <c r="E909" s="128" t="s">
        <v>11</v>
      </c>
      <c r="F909" s="21" t="str">
        <f>IF(H909=-0.33,IF(H907=H$1,H907,""),"")</f>
        <v/>
      </c>
      <c r="G909" s="24"/>
      <c r="H909" s="22">
        <f t="shared" ref="H909" si="98">IF(H908=1,IF(H907=H$2,1,-0.33),0)</f>
        <v>0</v>
      </c>
    </row>
    <row r="910" spans="2:10" x14ac:dyDescent="0.25">
      <c r="B910" s="84" t="s">
        <v>14</v>
      </c>
      <c r="C910" s="121" t="s">
        <v>664</v>
      </c>
      <c r="D910" s="38"/>
      <c r="E910" s="128" t="s">
        <v>12</v>
      </c>
      <c r="F910" s="18"/>
      <c r="G910" s="24"/>
      <c r="H910" s="22"/>
    </row>
    <row r="911" spans="2:10" x14ac:dyDescent="0.25">
      <c r="B911" s="109"/>
      <c r="C911" s="24"/>
      <c r="D911" s="38"/>
      <c r="E911" s="128" t="s">
        <v>13</v>
      </c>
      <c r="F911" s="18"/>
      <c r="G911" s="17"/>
      <c r="H911" s="22"/>
    </row>
    <row r="912" spans="2:10" x14ac:dyDescent="0.25">
      <c r="B912" s="123" t="s">
        <v>26</v>
      </c>
      <c r="C912" s="85" t="s">
        <v>665</v>
      </c>
      <c r="D912" s="39"/>
      <c r="E912" s="12"/>
      <c r="F912" s="14"/>
      <c r="G912" s="26"/>
      <c r="H912" s="13"/>
    </row>
    <row r="913" spans="2:10" x14ac:dyDescent="0.25">
      <c r="B913" s="84" t="s">
        <v>14</v>
      </c>
      <c r="C913" s="121" t="s">
        <v>666</v>
      </c>
      <c r="D913" s="38"/>
      <c r="E913" s="128" t="s">
        <v>9</v>
      </c>
      <c r="F913" s="18"/>
      <c r="G913" s="24"/>
      <c r="H913" s="19" t="b">
        <f>IF(D915="x",H$2,H$1)</f>
        <v>0</v>
      </c>
    </row>
    <row r="914" spans="2:10" x14ac:dyDescent="0.25">
      <c r="B914" s="84" t="s">
        <v>14</v>
      </c>
      <c r="C914" s="121" t="s">
        <v>667</v>
      </c>
      <c r="D914" s="38"/>
      <c r="E914" s="128" t="s">
        <v>10</v>
      </c>
      <c r="F914" s="20" t="str">
        <f>IF(H915=1,IF(H913=H$2,H913,""),"")</f>
        <v/>
      </c>
      <c r="G914" s="24"/>
      <c r="H914" s="19" t="str">
        <f>IF(E$918="comprobar",COUNTIF(D913:D917,"x"),"")</f>
        <v/>
      </c>
    </row>
    <row r="915" spans="2:10" x14ac:dyDescent="0.25">
      <c r="B915" s="84" t="s">
        <v>14</v>
      </c>
      <c r="C915" s="121" t="s">
        <v>668</v>
      </c>
      <c r="D915" s="38"/>
      <c r="E915" s="128" t="s">
        <v>11</v>
      </c>
      <c r="F915" s="21" t="str">
        <f>IF(H915=-0.33,IF(H913=H$1,H913,""),"")</f>
        <v/>
      </c>
      <c r="G915" s="24"/>
      <c r="H915" s="22">
        <f t="shared" ref="H915" si="99">IF(H914=1,IF(H913=H$2,1,-0.33),0)</f>
        <v>0</v>
      </c>
    </row>
    <row r="916" spans="2:10" x14ac:dyDescent="0.25">
      <c r="B916" s="84" t="s">
        <v>14</v>
      </c>
      <c r="C916" s="121" t="s">
        <v>669</v>
      </c>
      <c r="D916" s="38"/>
      <c r="E916" s="128" t="s">
        <v>12</v>
      </c>
      <c r="F916" s="18"/>
      <c r="G916" s="24"/>
      <c r="H916" s="22"/>
    </row>
    <row r="917" spans="2:10" x14ac:dyDescent="0.25">
      <c r="B917" s="109"/>
      <c r="C917" s="24"/>
      <c r="D917" s="38"/>
      <c r="E917" s="128" t="s">
        <v>13</v>
      </c>
      <c r="F917" s="18"/>
      <c r="G917" s="17"/>
      <c r="H917" s="22"/>
    </row>
    <row r="918" spans="2:10" x14ac:dyDescent="0.25">
      <c r="B918" s="109"/>
      <c r="C918" s="16"/>
      <c r="D918" s="48"/>
      <c r="E918" s="54"/>
      <c r="F918" s="18"/>
      <c r="G918" s="17"/>
      <c r="H918" s="22"/>
    </row>
    <row r="919" spans="2:10" x14ac:dyDescent="0.25">
      <c r="B919" s="42"/>
      <c r="C919" s="8"/>
      <c r="D919" s="48"/>
      <c r="E919" s="59"/>
      <c r="F919" s="28" t="s">
        <v>8</v>
      </c>
      <c r="G919" s="17" t="s">
        <v>6</v>
      </c>
      <c r="H919" s="17" t="s">
        <v>7</v>
      </c>
    </row>
    <row r="920" spans="2:10" ht="19.5" x14ac:dyDescent="0.25">
      <c r="B920" s="42"/>
      <c r="C920" s="8"/>
      <c r="D920" s="145"/>
      <c r="E920" s="145"/>
      <c r="F920" s="29" t="str">
        <f>IF(E918="comprobar",H903+H897+H891+H885+H879+H873+H867+H861+H909+H915,"")</f>
        <v/>
      </c>
      <c r="G920" s="17">
        <f>10/2</f>
        <v>5</v>
      </c>
      <c r="H920" s="17"/>
    </row>
    <row r="921" spans="2:10" ht="16.5" thickBot="1" x14ac:dyDescent="0.3">
      <c r="B921" s="42"/>
      <c r="C921" s="8"/>
      <c r="D921" s="128"/>
      <c r="E921" s="128"/>
      <c r="F921" s="28" t="str">
        <f>IF(F920&gt;G920,G919,H919)</f>
        <v>APROBADO</v>
      </c>
      <c r="G921" s="17"/>
      <c r="H921" s="17"/>
    </row>
    <row r="922" spans="2:10" ht="28.5" x14ac:dyDescent="0.45">
      <c r="B922" s="61" t="s">
        <v>94</v>
      </c>
      <c r="C922" s="129" t="s">
        <v>542</v>
      </c>
      <c r="D922" s="129"/>
      <c r="E922" s="129"/>
      <c r="F922" s="130"/>
    </row>
    <row r="923" spans="2:10" x14ac:dyDescent="0.25">
      <c r="B923" s="120" t="s">
        <v>17</v>
      </c>
      <c r="C923" s="85" t="s">
        <v>671</v>
      </c>
      <c r="D923" s="12"/>
      <c r="E923" s="12"/>
      <c r="F923" s="14"/>
      <c r="G923" s="26"/>
      <c r="H923" s="13"/>
      <c r="I923" s="15"/>
      <c r="J923" s="15"/>
    </row>
    <row r="924" spans="2:10" x14ac:dyDescent="0.25">
      <c r="B924" s="84" t="s">
        <v>14</v>
      </c>
      <c r="C924" s="121" t="s">
        <v>672</v>
      </c>
      <c r="D924" s="38"/>
      <c r="E924" s="128" t="s">
        <v>9</v>
      </c>
      <c r="F924" s="18"/>
      <c r="G924" s="24"/>
      <c r="H924" s="19" t="b">
        <f>IF(D925="x",H$2,H$1)</f>
        <v>0</v>
      </c>
    </row>
    <row r="925" spans="2:10" x14ac:dyDescent="0.25">
      <c r="B925" s="84" t="s">
        <v>14</v>
      </c>
      <c r="C925" s="121" t="s">
        <v>673</v>
      </c>
      <c r="D925" s="38"/>
      <c r="E925" s="128" t="s">
        <v>10</v>
      </c>
      <c r="F925" s="20" t="str">
        <f>IF(H926=1,IF(H924=H$2,H924,""),"")</f>
        <v/>
      </c>
      <c r="G925" s="24"/>
      <c r="H925" s="19" t="str">
        <f>IF(E$983="comprobar",COUNTIF(D924:D928,"x"),"")</f>
        <v/>
      </c>
    </row>
    <row r="926" spans="2:10" x14ac:dyDescent="0.25">
      <c r="B926" s="84" t="s">
        <v>14</v>
      </c>
      <c r="C926" s="121" t="s">
        <v>674</v>
      </c>
      <c r="D926" s="38"/>
      <c r="E926" s="128" t="s">
        <v>11</v>
      </c>
      <c r="F926" s="21" t="str">
        <f>IF(H926=-0.33,IF(H924=H$1,H924,""),"")</f>
        <v/>
      </c>
      <c r="G926" s="24"/>
      <c r="H926" s="22">
        <f>IF(H925=1,IF(H924=H$2,1,-0.33),0)</f>
        <v>0</v>
      </c>
    </row>
    <row r="927" spans="2:10" x14ac:dyDescent="0.25">
      <c r="B927" s="84" t="s">
        <v>14</v>
      </c>
      <c r="C927" s="121" t="s">
        <v>675</v>
      </c>
      <c r="D927" s="38"/>
      <c r="E927" s="128" t="s">
        <v>12</v>
      </c>
      <c r="F927" s="18"/>
      <c r="G927" s="24"/>
      <c r="H927" s="22"/>
    </row>
    <row r="928" spans="2:10" x14ac:dyDescent="0.25">
      <c r="B928" s="42"/>
      <c r="C928" s="24"/>
      <c r="D928" s="38"/>
      <c r="E928" s="128" t="s">
        <v>13</v>
      </c>
      <c r="F928" s="18"/>
      <c r="G928" s="17"/>
      <c r="H928" s="22"/>
    </row>
    <row r="929" spans="2:10" x14ac:dyDescent="0.25">
      <c r="B929" s="123" t="s">
        <v>16</v>
      </c>
      <c r="C929" s="85" t="s">
        <v>676</v>
      </c>
      <c r="D929" s="39"/>
      <c r="E929" s="12"/>
      <c r="F929" s="14"/>
      <c r="G929" s="26"/>
      <c r="H929" s="13"/>
      <c r="I929" s="15"/>
      <c r="J929" s="15"/>
    </row>
    <row r="930" spans="2:10" x14ac:dyDescent="0.25">
      <c r="B930" s="84" t="s">
        <v>14</v>
      </c>
      <c r="C930" s="121" t="s">
        <v>677</v>
      </c>
      <c r="D930" s="38"/>
      <c r="E930" s="128" t="s">
        <v>9</v>
      </c>
      <c r="F930" s="18"/>
      <c r="G930" s="24"/>
      <c r="H930" s="19" t="b">
        <f>IF(D931="x",H$2,H$1)</f>
        <v>0</v>
      </c>
    </row>
    <row r="931" spans="2:10" x14ac:dyDescent="0.25">
      <c r="B931" s="84" t="s">
        <v>14</v>
      </c>
      <c r="C931" s="121" t="s">
        <v>678</v>
      </c>
      <c r="D931" s="38"/>
      <c r="E931" s="128" t="s">
        <v>10</v>
      </c>
      <c r="F931" s="20" t="str">
        <f>IF(H932=1,IF(H930=H$2,H930,""),"")</f>
        <v/>
      </c>
      <c r="G931" s="24"/>
      <c r="H931" s="19" t="str">
        <f>IF(E$983="comprobar",COUNTIF(D930:D934,"x"),"")</f>
        <v/>
      </c>
    </row>
    <row r="932" spans="2:10" x14ac:dyDescent="0.25">
      <c r="B932" s="84" t="s">
        <v>14</v>
      </c>
      <c r="C932" s="121" t="s">
        <v>679</v>
      </c>
      <c r="D932" s="38"/>
      <c r="E932" s="128" t="s">
        <v>11</v>
      </c>
      <c r="F932" s="21" t="str">
        <f>IF(H932=-0.33,IF(H930=H$1,H930,""),"")</f>
        <v/>
      </c>
      <c r="G932" s="24"/>
      <c r="H932" s="22">
        <f t="shared" ref="H932" si="100">IF(H931=1,IF(H930=H$2,1,-0.33),0)</f>
        <v>0</v>
      </c>
    </row>
    <row r="933" spans="2:10" x14ac:dyDescent="0.25">
      <c r="B933" s="84" t="s">
        <v>14</v>
      </c>
      <c r="C933" s="121" t="s">
        <v>680</v>
      </c>
      <c r="D933" s="38"/>
      <c r="E933" s="128" t="s">
        <v>12</v>
      </c>
      <c r="F933" s="18"/>
      <c r="G933" s="24"/>
      <c r="H933" s="22"/>
    </row>
    <row r="934" spans="2:10" x14ac:dyDescent="0.25">
      <c r="B934" s="84"/>
      <c r="C934" s="24"/>
      <c r="D934" s="38"/>
      <c r="E934" s="128" t="s">
        <v>13</v>
      </c>
      <c r="F934" s="18"/>
      <c r="G934" s="17"/>
      <c r="H934" s="22"/>
    </row>
    <row r="935" spans="2:10" x14ac:dyDescent="0.25">
      <c r="B935" s="123" t="s">
        <v>18</v>
      </c>
      <c r="C935" s="85" t="s">
        <v>681</v>
      </c>
      <c r="D935" s="39"/>
      <c r="E935" s="12"/>
      <c r="F935" s="14"/>
      <c r="G935" s="26"/>
      <c r="H935" s="13"/>
      <c r="I935" s="15"/>
      <c r="J935" s="15"/>
    </row>
    <row r="936" spans="2:10" x14ac:dyDescent="0.25">
      <c r="B936" s="84" t="s">
        <v>14</v>
      </c>
      <c r="C936" s="121" t="s">
        <v>682</v>
      </c>
      <c r="D936" s="38"/>
      <c r="E936" s="128" t="s">
        <v>9</v>
      </c>
      <c r="F936" s="18"/>
      <c r="G936" s="24"/>
      <c r="H936" s="19" t="b">
        <f>IF(D939="x",H$2,H$1)</f>
        <v>0</v>
      </c>
    </row>
    <row r="937" spans="2:10" x14ac:dyDescent="0.25">
      <c r="B937" s="84" t="s">
        <v>14</v>
      </c>
      <c r="C937" s="121" t="s">
        <v>683</v>
      </c>
      <c r="D937" s="38"/>
      <c r="E937" s="128" t="s">
        <v>10</v>
      </c>
      <c r="F937" s="20" t="str">
        <f>IF(H938=1,IF(H936=H$2,H936,""),"")</f>
        <v/>
      </c>
      <c r="G937" s="24"/>
      <c r="H937" s="19" t="str">
        <f>IF(E$983="comprobar",COUNTIF(D936:D940,"x"),"")</f>
        <v/>
      </c>
    </row>
    <row r="938" spans="2:10" x14ac:dyDescent="0.25">
      <c r="B938" s="84" t="s">
        <v>14</v>
      </c>
      <c r="C938" s="121" t="s">
        <v>684</v>
      </c>
      <c r="D938" s="38"/>
      <c r="E938" s="128" t="s">
        <v>11</v>
      </c>
      <c r="F938" s="21" t="str">
        <f>IF(H938=-0.33,IF(H936=H$1,H936,""),"")</f>
        <v/>
      </c>
      <c r="G938" s="24"/>
      <c r="H938" s="22">
        <f t="shared" ref="H938" si="101">IF(H937=1,IF(H936=H$2,1,-0.33),0)</f>
        <v>0</v>
      </c>
    </row>
    <row r="939" spans="2:10" x14ac:dyDescent="0.25">
      <c r="B939" s="84" t="s">
        <v>14</v>
      </c>
      <c r="C939" s="121" t="s">
        <v>685</v>
      </c>
      <c r="D939" s="38"/>
      <c r="E939" s="128" t="s">
        <v>12</v>
      </c>
      <c r="F939" s="18"/>
      <c r="G939" s="24"/>
      <c r="H939" s="22"/>
    </row>
    <row r="940" spans="2:10" x14ac:dyDescent="0.25">
      <c r="B940" s="84"/>
      <c r="C940" s="24"/>
      <c r="D940" s="38"/>
      <c r="E940" s="128" t="s">
        <v>13</v>
      </c>
      <c r="F940" s="18"/>
      <c r="G940" s="17"/>
      <c r="H940" s="22"/>
    </row>
    <row r="941" spans="2:10" x14ac:dyDescent="0.25">
      <c r="B941" s="123" t="s">
        <v>19</v>
      </c>
      <c r="C941" s="85" t="s">
        <v>686</v>
      </c>
      <c r="D941" s="39"/>
      <c r="E941" s="12"/>
      <c r="F941" s="14"/>
      <c r="G941" s="26"/>
      <c r="H941" s="13"/>
      <c r="I941" s="15"/>
      <c r="J941" s="15"/>
    </row>
    <row r="942" spans="2:10" x14ac:dyDescent="0.25">
      <c r="B942" s="84" t="s">
        <v>14</v>
      </c>
      <c r="C942" s="121" t="s">
        <v>687</v>
      </c>
      <c r="D942" s="38"/>
      <c r="E942" s="128" t="s">
        <v>9</v>
      </c>
      <c r="F942" s="18"/>
      <c r="G942" s="24"/>
      <c r="H942" s="19" t="b">
        <f>IF(D945="x",H$2,H$1)</f>
        <v>0</v>
      </c>
    </row>
    <row r="943" spans="2:10" x14ac:dyDescent="0.25">
      <c r="B943" s="84" t="s">
        <v>14</v>
      </c>
      <c r="C943" s="121" t="s">
        <v>688</v>
      </c>
      <c r="D943" s="38"/>
      <c r="E943" s="128" t="s">
        <v>10</v>
      </c>
      <c r="F943" s="20" t="str">
        <f>IF(H944=1,IF(H942=H$2,H942,""),"")</f>
        <v/>
      </c>
      <c r="G943" s="24"/>
      <c r="H943" s="19" t="str">
        <f>IF(E$983="comprobar",COUNTIF(D942:D946,"x"),"")</f>
        <v/>
      </c>
    </row>
    <row r="944" spans="2:10" x14ac:dyDescent="0.25">
      <c r="B944" s="84" t="s">
        <v>14</v>
      </c>
      <c r="C944" s="121" t="s">
        <v>689</v>
      </c>
      <c r="D944" s="38"/>
      <c r="E944" s="128" t="s">
        <v>11</v>
      </c>
      <c r="F944" s="21" t="str">
        <f>IF(H944=-0.33,IF(H942=H$1,H942,""),"")</f>
        <v/>
      </c>
      <c r="G944" s="24"/>
      <c r="H944" s="22">
        <f t="shared" ref="H944" si="102">IF(H943=1,IF(H942=H$2,1,-0.33),0)</f>
        <v>0</v>
      </c>
    </row>
    <row r="945" spans="2:10" x14ac:dyDescent="0.25">
      <c r="B945" s="84" t="s">
        <v>14</v>
      </c>
      <c r="C945" s="121" t="s">
        <v>690</v>
      </c>
      <c r="D945" s="38"/>
      <c r="E945" s="128" t="s">
        <v>12</v>
      </c>
      <c r="F945" s="18"/>
      <c r="G945" s="24"/>
      <c r="H945" s="22"/>
    </row>
    <row r="946" spans="2:10" x14ac:dyDescent="0.25">
      <c r="B946" s="84"/>
      <c r="C946" s="24"/>
      <c r="D946" s="38"/>
      <c r="E946" s="128" t="s">
        <v>13</v>
      </c>
      <c r="F946" s="18"/>
      <c r="G946" s="17"/>
      <c r="H946" s="22"/>
    </row>
    <row r="947" spans="2:10" x14ac:dyDescent="0.25">
      <c r="B947" s="123" t="s">
        <v>20</v>
      </c>
      <c r="C947" s="85" t="s">
        <v>736</v>
      </c>
      <c r="D947" s="39"/>
      <c r="E947" s="12"/>
      <c r="F947" s="14"/>
      <c r="G947" s="26"/>
      <c r="H947" s="13"/>
      <c r="I947" s="15"/>
      <c r="J947" s="15"/>
    </row>
    <row r="948" spans="2:10" x14ac:dyDescent="0.25">
      <c r="B948" s="84" t="s">
        <v>14</v>
      </c>
      <c r="C948" s="121" t="s">
        <v>691</v>
      </c>
      <c r="D948" s="38"/>
      <c r="E948" s="128" t="s">
        <v>9</v>
      </c>
      <c r="F948" s="18"/>
      <c r="G948" s="24"/>
      <c r="H948" s="19" t="b">
        <f>IF(D951="x",H$2,H$1)</f>
        <v>0</v>
      </c>
    </row>
    <row r="949" spans="2:10" x14ac:dyDescent="0.25">
      <c r="B949" s="84" t="s">
        <v>14</v>
      </c>
      <c r="C949" s="121" t="s">
        <v>692</v>
      </c>
      <c r="D949" s="38"/>
      <c r="E949" s="128" t="s">
        <v>10</v>
      </c>
      <c r="F949" s="20" t="str">
        <f>IF(H950=1,IF(H948=H$2,H948,""),"")</f>
        <v/>
      </c>
      <c r="G949" s="24"/>
      <c r="H949" s="19" t="str">
        <f>IF(E$983="comprobar",COUNTIF(D948:D952,"x"),"")</f>
        <v/>
      </c>
    </row>
    <row r="950" spans="2:10" x14ac:dyDescent="0.25">
      <c r="B950" s="84" t="s">
        <v>14</v>
      </c>
      <c r="C950" s="121" t="s">
        <v>693</v>
      </c>
      <c r="D950" s="38"/>
      <c r="E950" s="128" t="s">
        <v>11</v>
      </c>
      <c r="F950" s="21" t="str">
        <f>IF(H950=-0.33,IF(H948=H$1,H948,""),"")</f>
        <v/>
      </c>
      <c r="G950" s="24"/>
      <c r="H950" s="22">
        <f t="shared" ref="H950" si="103">IF(H949=1,IF(H948=H$2,1,-0.33),0)</f>
        <v>0</v>
      </c>
    </row>
    <row r="951" spans="2:10" x14ac:dyDescent="0.25">
      <c r="B951" s="84" t="s">
        <v>14</v>
      </c>
      <c r="C951" s="121" t="s">
        <v>694</v>
      </c>
      <c r="D951" s="38"/>
      <c r="E951" s="128" t="s">
        <v>12</v>
      </c>
      <c r="F951" s="18"/>
      <c r="G951" s="24"/>
      <c r="H951" s="22"/>
    </row>
    <row r="952" spans="2:10" x14ac:dyDescent="0.25">
      <c r="B952" s="84"/>
      <c r="C952" s="24"/>
      <c r="D952" s="38"/>
      <c r="E952" s="128" t="s">
        <v>13</v>
      </c>
      <c r="F952" s="18"/>
      <c r="G952" s="17"/>
      <c r="H952" s="22"/>
    </row>
    <row r="953" spans="2:10" x14ac:dyDescent="0.25">
      <c r="B953" s="123" t="s">
        <v>21</v>
      </c>
      <c r="C953" s="85" t="s">
        <v>695</v>
      </c>
      <c r="D953" s="39"/>
      <c r="E953" s="12"/>
      <c r="F953" s="14"/>
      <c r="G953" s="26"/>
      <c r="H953" s="13"/>
      <c r="I953" s="15"/>
      <c r="J953" s="15"/>
    </row>
    <row r="954" spans="2:10" x14ac:dyDescent="0.25">
      <c r="B954" s="84" t="s">
        <v>14</v>
      </c>
      <c r="C954" s="121" t="s">
        <v>406</v>
      </c>
      <c r="D954" s="38"/>
      <c r="E954" s="128" t="s">
        <v>9</v>
      </c>
      <c r="F954" s="18"/>
      <c r="G954" s="24"/>
      <c r="H954" s="19" t="b">
        <f>IF(D957="x",H$2,H$1)</f>
        <v>0</v>
      </c>
    </row>
    <row r="955" spans="2:10" x14ac:dyDescent="0.25">
      <c r="B955" s="84" t="s">
        <v>14</v>
      </c>
      <c r="C955" s="121" t="s">
        <v>696</v>
      </c>
      <c r="D955" s="38"/>
      <c r="E955" s="128" t="s">
        <v>10</v>
      </c>
      <c r="F955" s="20" t="str">
        <f>IF(H956=1,IF(H954=H$2,H954,""),"")</f>
        <v/>
      </c>
      <c r="G955" s="24"/>
      <c r="H955" s="19" t="str">
        <f>IF(E$983="comprobar",COUNTIF(D954:D958,"x"),"")</f>
        <v/>
      </c>
    </row>
    <row r="956" spans="2:10" x14ac:dyDescent="0.25">
      <c r="B956" s="84" t="s">
        <v>14</v>
      </c>
      <c r="C956" s="121" t="s">
        <v>697</v>
      </c>
      <c r="D956" s="38"/>
      <c r="E956" s="128" t="s">
        <v>11</v>
      </c>
      <c r="F956" s="21" t="str">
        <f>IF(H956=-0.33,IF(H954=H$1,H954,""),"")</f>
        <v/>
      </c>
      <c r="G956" s="24"/>
      <c r="H956" s="22">
        <f t="shared" ref="H956" si="104">IF(H955=1,IF(H954=H$2,1,-0.33),0)</f>
        <v>0</v>
      </c>
    </row>
    <row r="957" spans="2:10" x14ac:dyDescent="0.25">
      <c r="B957" s="84" t="s">
        <v>14</v>
      </c>
      <c r="C957" s="121" t="s">
        <v>698</v>
      </c>
      <c r="D957" s="38"/>
      <c r="E957" s="128" t="s">
        <v>12</v>
      </c>
      <c r="F957" s="18"/>
      <c r="G957" s="24"/>
      <c r="H957" s="22"/>
    </row>
    <row r="958" spans="2:10" x14ac:dyDescent="0.25">
      <c r="B958" s="42"/>
      <c r="C958" s="24"/>
      <c r="D958" s="38"/>
      <c r="E958" s="128" t="s">
        <v>13</v>
      </c>
      <c r="F958" s="18"/>
      <c r="G958" s="17"/>
      <c r="H958" s="22"/>
    </row>
    <row r="959" spans="2:10" x14ac:dyDescent="0.25">
      <c r="B959" s="123" t="s">
        <v>22</v>
      </c>
      <c r="C959" s="85" t="s">
        <v>737</v>
      </c>
      <c r="D959" s="39"/>
      <c r="E959" s="12"/>
      <c r="F959" s="14"/>
      <c r="G959" s="26"/>
      <c r="H959" s="13"/>
      <c r="I959" s="15"/>
      <c r="J959" s="15"/>
    </row>
    <row r="960" spans="2:10" x14ac:dyDescent="0.25">
      <c r="B960" s="84" t="s">
        <v>14</v>
      </c>
      <c r="C960" s="121" t="s">
        <v>699</v>
      </c>
      <c r="D960" s="38"/>
      <c r="E960" s="128" t="s">
        <v>9</v>
      </c>
      <c r="F960" s="18"/>
      <c r="G960" s="24"/>
      <c r="H960" s="19" t="b">
        <f>IF(D960="x",H$2,H$1)</f>
        <v>0</v>
      </c>
    </row>
    <row r="961" spans="2:10" x14ac:dyDescent="0.25">
      <c r="B961" s="84" t="s">
        <v>14</v>
      </c>
      <c r="C961" s="121" t="s">
        <v>700</v>
      </c>
      <c r="D961" s="38"/>
      <c r="E961" s="128" t="s">
        <v>10</v>
      </c>
      <c r="F961" s="20" t="str">
        <f>IF(H962=1,IF(H960=H$2,H960,""),"")</f>
        <v/>
      </c>
      <c r="G961" s="24"/>
      <c r="H961" s="19" t="str">
        <f>IF(E$983="comprobar",COUNTIF(D960:D964,"x"),"")</f>
        <v/>
      </c>
    </row>
    <row r="962" spans="2:10" x14ac:dyDescent="0.25">
      <c r="B962" s="84" t="s">
        <v>14</v>
      </c>
      <c r="C962" s="121" t="s">
        <v>701</v>
      </c>
      <c r="D962" s="38"/>
      <c r="E962" s="128" t="s">
        <v>11</v>
      </c>
      <c r="F962" s="21" t="str">
        <f>IF(H962=-0.33,IF(H960=H$1,H960,""),"")</f>
        <v/>
      </c>
      <c r="G962" s="24"/>
      <c r="H962" s="22">
        <f t="shared" ref="H962" si="105">IF(H961=1,IF(H960=H$2,1,-0.33),0)</f>
        <v>0</v>
      </c>
    </row>
    <row r="963" spans="2:10" x14ac:dyDescent="0.25">
      <c r="B963" s="84" t="s">
        <v>14</v>
      </c>
      <c r="C963" s="121" t="s">
        <v>702</v>
      </c>
      <c r="D963" s="38"/>
      <c r="E963" s="128" t="s">
        <v>12</v>
      </c>
      <c r="F963" s="18"/>
      <c r="G963" s="24"/>
      <c r="H963" s="22"/>
    </row>
    <row r="964" spans="2:10" x14ac:dyDescent="0.25">
      <c r="B964" s="42"/>
      <c r="C964" s="24"/>
      <c r="D964" s="38"/>
      <c r="E964" s="128" t="s">
        <v>13</v>
      </c>
      <c r="F964" s="18"/>
      <c r="G964" s="17"/>
      <c r="H964" s="22"/>
    </row>
    <row r="965" spans="2:10" x14ac:dyDescent="0.25">
      <c r="B965" s="123" t="s">
        <v>23</v>
      </c>
      <c r="C965" s="85" t="s">
        <v>703</v>
      </c>
      <c r="D965" s="39"/>
      <c r="E965" s="12"/>
      <c r="F965" s="14"/>
      <c r="G965" s="26"/>
      <c r="H965" s="13"/>
      <c r="I965" s="15"/>
      <c r="J965" s="15"/>
    </row>
    <row r="966" spans="2:10" x14ac:dyDescent="0.25">
      <c r="B966" s="84" t="s">
        <v>14</v>
      </c>
      <c r="C966" s="121" t="s">
        <v>704</v>
      </c>
      <c r="D966" s="38"/>
      <c r="E966" s="128" t="s">
        <v>9</v>
      </c>
      <c r="F966" s="18"/>
      <c r="G966" s="24"/>
      <c r="H966" s="19" t="b">
        <f>IF(D968="x",H$2,H$1)</f>
        <v>0</v>
      </c>
    </row>
    <row r="967" spans="2:10" x14ac:dyDescent="0.25">
      <c r="B967" s="84" t="s">
        <v>14</v>
      </c>
      <c r="C967" s="121" t="s">
        <v>705</v>
      </c>
      <c r="D967" s="38"/>
      <c r="E967" s="128" t="s">
        <v>10</v>
      </c>
      <c r="F967" s="20" t="str">
        <f>IF(H968=1,IF(H966=H$2,H966,""),"")</f>
        <v/>
      </c>
      <c r="G967" s="24"/>
      <c r="H967" s="19" t="str">
        <f>IF(E$983="comprobar",COUNTIF(D966:D970,"x"),"")</f>
        <v/>
      </c>
    </row>
    <row r="968" spans="2:10" x14ac:dyDescent="0.25">
      <c r="B968" s="84" t="s">
        <v>14</v>
      </c>
      <c r="C968" s="121" t="s">
        <v>706</v>
      </c>
      <c r="D968" s="38"/>
      <c r="E968" s="128" t="s">
        <v>11</v>
      </c>
      <c r="F968" s="21" t="str">
        <f>IF(H968=-0.33,IF(H966=H$1,H966,""),"")</f>
        <v/>
      </c>
      <c r="G968" s="24"/>
      <c r="H968" s="22">
        <f t="shared" ref="H968" si="106">IF(H967=1,IF(H966=H$2,1,-0.33),0)</f>
        <v>0</v>
      </c>
    </row>
    <row r="969" spans="2:10" x14ac:dyDescent="0.25">
      <c r="B969" s="84" t="s">
        <v>14</v>
      </c>
      <c r="C969" s="121" t="s">
        <v>707</v>
      </c>
      <c r="D969" s="38"/>
      <c r="E969" s="128" t="s">
        <v>12</v>
      </c>
      <c r="F969" s="18"/>
      <c r="G969" s="24"/>
      <c r="H969" s="22"/>
    </row>
    <row r="970" spans="2:10" x14ac:dyDescent="0.25">
      <c r="B970" s="109"/>
      <c r="C970" s="24"/>
      <c r="D970" s="38"/>
      <c r="E970" s="128" t="s">
        <v>13</v>
      </c>
      <c r="F970" s="18"/>
      <c r="G970" s="17"/>
      <c r="H970" s="22"/>
    </row>
    <row r="971" spans="2:10" x14ac:dyDescent="0.25">
      <c r="B971" s="123" t="s">
        <v>28</v>
      </c>
      <c r="C971" s="85" t="s">
        <v>708</v>
      </c>
      <c r="D971" s="39"/>
      <c r="E971" s="12"/>
      <c r="F971" s="14"/>
      <c r="G971" s="26"/>
      <c r="H971" s="13"/>
    </row>
    <row r="972" spans="2:10" x14ac:dyDescent="0.25">
      <c r="B972" s="84" t="s">
        <v>14</v>
      </c>
      <c r="C972" s="121" t="s">
        <v>709</v>
      </c>
      <c r="D972" s="38"/>
      <c r="E972" s="128" t="s">
        <v>9</v>
      </c>
      <c r="F972" s="18"/>
      <c r="G972" s="24"/>
      <c r="H972" s="19" t="b">
        <f>IF(D972="x",H$2,H$1)</f>
        <v>0</v>
      </c>
    </row>
    <row r="973" spans="2:10" x14ac:dyDescent="0.25">
      <c r="B973" s="84" t="s">
        <v>14</v>
      </c>
      <c r="C973" s="121" t="s">
        <v>710</v>
      </c>
      <c r="D973" s="38"/>
      <c r="E973" s="128" t="s">
        <v>10</v>
      </c>
      <c r="F973" s="20" t="str">
        <f>IF(H974=1,IF(H972=H$2,H972,""),"")</f>
        <v/>
      </c>
      <c r="G973" s="24"/>
      <c r="H973" s="19" t="str">
        <f>IF(E$983="comprobar",COUNTIF(D972:D976,"x"),"")</f>
        <v/>
      </c>
    </row>
    <row r="974" spans="2:10" x14ac:dyDescent="0.25">
      <c r="B974" s="84" t="s">
        <v>14</v>
      </c>
      <c r="C974" s="121" t="s">
        <v>711</v>
      </c>
      <c r="D974" s="38"/>
      <c r="E974" s="128" t="s">
        <v>11</v>
      </c>
      <c r="F974" s="21" t="str">
        <f>IF(H974=-0.33,IF(H972=H$1,H972,""),"")</f>
        <v/>
      </c>
      <c r="G974" s="24"/>
      <c r="H974" s="22">
        <f t="shared" ref="H974" si="107">IF(H973=1,IF(H972=H$2,1,-0.33),0)</f>
        <v>0</v>
      </c>
    </row>
    <row r="975" spans="2:10" x14ac:dyDescent="0.25">
      <c r="B975" s="84" t="s">
        <v>14</v>
      </c>
      <c r="C975" s="121" t="s">
        <v>712</v>
      </c>
      <c r="D975" s="38"/>
      <c r="E975" s="128" t="s">
        <v>12</v>
      </c>
      <c r="F975" s="18"/>
      <c r="G975" s="24"/>
      <c r="H975" s="22"/>
    </row>
    <row r="976" spans="2:10" x14ac:dyDescent="0.25">
      <c r="B976" s="109"/>
      <c r="C976" s="24"/>
      <c r="D976" s="38"/>
      <c r="E976" s="128" t="s">
        <v>13</v>
      </c>
      <c r="F976" s="18"/>
      <c r="G976" s="17"/>
      <c r="H976" s="22"/>
    </row>
    <row r="977" spans="2:8" x14ac:dyDescent="0.25">
      <c r="B977" s="123" t="s">
        <v>26</v>
      </c>
      <c r="C977" s="85" t="s">
        <v>713</v>
      </c>
      <c r="D977" s="39"/>
      <c r="E977" s="12"/>
      <c r="F977" s="14"/>
      <c r="G977" s="26"/>
      <c r="H977" s="13"/>
    </row>
    <row r="978" spans="2:8" x14ac:dyDescent="0.25">
      <c r="B978" s="84" t="s">
        <v>14</v>
      </c>
      <c r="C978" s="121" t="s">
        <v>714</v>
      </c>
      <c r="D978" s="38"/>
      <c r="E978" s="128" t="s">
        <v>9</v>
      </c>
      <c r="F978" s="18"/>
      <c r="G978" s="24"/>
      <c r="H978" s="19" t="b">
        <f>IF(D979="x",H$2,H$1)</f>
        <v>0</v>
      </c>
    </row>
    <row r="979" spans="2:8" x14ac:dyDescent="0.25">
      <c r="B979" s="84" t="s">
        <v>14</v>
      </c>
      <c r="C979" s="121" t="s">
        <v>715</v>
      </c>
      <c r="D979" s="38"/>
      <c r="E979" s="128" t="s">
        <v>10</v>
      </c>
      <c r="F979" s="20" t="str">
        <f>IF(H980=1,IF(H978=H$2,H978,""),"")</f>
        <v/>
      </c>
      <c r="G979" s="24"/>
      <c r="H979" s="19" t="str">
        <f>IF(E$983="comprobar",COUNTIF(D978:D982,"x"),"")</f>
        <v/>
      </c>
    </row>
    <row r="980" spans="2:8" x14ac:dyDescent="0.25">
      <c r="B980" s="84" t="s">
        <v>14</v>
      </c>
      <c r="C980" s="121" t="s">
        <v>716</v>
      </c>
      <c r="D980" s="38"/>
      <c r="E980" s="128" t="s">
        <v>11</v>
      </c>
      <c r="F980" s="21" t="str">
        <f>IF(H980=-0.33,IF(H978=H$1,H978,""),"")</f>
        <v/>
      </c>
      <c r="G980" s="24"/>
      <c r="H980" s="22">
        <f t="shared" ref="H980" si="108">IF(H979=1,IF(H978=H$2,1,-0.33),0)</f>
        <v>0</v>
      </c>
    </row>
    <row r="981" spans="2:8" x14ac:dyDescent="0.25">
      <c r="B981" s="84" t="s">
        <v>14</v>
      </c>
      <c r="C981" s="121" t="s">
        <v>717</v>
      </c>
      <c r="D981" s="38"/>
      <c r="E981" s="128" t="s">
        <v>12</v>
      </c>
      <c r="F981" s="18"/>
      <c r="G981" s="24"/>
      <c r="H981" s="22"/>
    </row>
    <row r="982" spans="2:8" x14ac:dyDescent="0.25">
      <c r="B982" s="109"/>
      <c r="C982" s="24"/>
      <c r="D982" s="38"/>
      <c r="E982" s="128" t="s">
        <v>13</v>
      </c>
      <c r="F982" s="18"/>
      <c r="G982" s="17"/>
      <c r="H982" s="22"/>
    </row>
    <row r="983" spans="2:8" x14ac:dyDescent="0.25">
      <c r="B983" s="109"/>
      <c r="C983" s="16"/>
      <c r="D983" s="48"/>
      <c r="E983" s="54"/>
      <c r="F983" s="18"/>
      <c r="G983" s="17"/>
      <c r="H983" s="22"/>
    </row>
    <row r="984" spans="2:8" x14ac:dyDescent="0.25">
      <c r="B984" s="42"/>
      <c r="C984" s="8"/>
      <c r="D984" s="48"/>
      <c r="E984" s="59"/>
      <c r="F984" s="28" t="s">
        <v>8</v>
      </c>
      <c r="G984" s="17" t="s">
        <v>6</v>
      </c>
      <c r="H984" s="17" t="s">
        <v>7</v>
      </c>
    </row>
    <row r="985" spans="2:8" ht="19.5" x14ac:dyDescent="0.25">
      <c r="B985" s="42"/>
      <c r="C985" s="8"/>
      <c r="D985" s="145"/>
      <c r="E985" s="145"/>
      <c r="F985" s="29" t="str">
        <f>IF(E$983="comprobar",H968+H962+H956+H950+H944+H938+H932+H926+H974+H980,"")</f>
        <v/>
      </c>
      <c r="G985" s="17">
        <f>10/2</f>
        <v>5</v>
      </c>
      <c r="H985" s="17"/>
    </row>
    <row r="986" spans="2:8" ht="16.5" thickBot="1" x14ac:dyDescent="0.3">
      <c r="B986" s="65"/>
      <c r="C986" s="66"/>
      <c r="D986" s="31"/>
      <c r="E986" s="31"/>
      <c r="F986" s="133" t="str">
        <f>IF(F985&gt;G985,G984,H984)</f>
        <v>APROBADO</v>
      </c>
      <c r="G986" s="17"/>
      <c r="H986" s="17"/>
    </row>
    <row r="989" spans="2:8" x14ac:dyDescent="0.25">
      <c r="B989" s="7"/>
      <c r="D989" s="7"/>
      <c r="E989" s="7"/>
      <c r="F989" s="7"/>
      <c r="G989" s="7"/>
    </row>
    <row r="990" spans="2:8" x14ac:dyDescent="0.25">
      <c r="B990" s="7"/>
      <c r="D990" s="7"/>
      <c r="E990" s="7"/>
      <c r="F990" s="7"/>
      <c r="G990" s="7"/>
    </row>
    <row r="991" spans="2:8" x14ac:dyDescent="0.25">
      <c r="B991" s="7"/>
      <c r="D991" s="7"/>
      <c r="E991" s="7"/>
      <c r="F991" s="7"/>
      <c r="G991" s="7"/>
    </row>
    <row r="992" spans="2:8" x14ac:dyDescent="0.25">
      <c r="B992" s="7"/>
      <c r="D992" s="7"/>
      <c r="E992" s="7"/>
      <c r="F992" s="7"/>
      <c r="G992" s="7"/>
    </row>
    <row r="993" spans="2:7" x14ac:dyDescent="0.25">
      <c r="B993" s="7"/>
      <c r="D993" s="7"/>
      <c r="E993" s="7"/>
      <c r="F993" s="7"/>
      <c r="G993" s="7"/>
    </row>
    <row r="994" spans="2:7" x14ac:dyDescent="0.25">
      <c r="B994" s="7"/>
      <c r="D994" s="7"/>
      <c r="E994" s="7"/>
      <c r="F994" s="7"/>
      <c r="G994" s="7"/>
    </row>
    <row r="995" spans="2:7" x14ac:dyDescent="0.25">
      <c r="B995" s="7"/>
      <c r="D995" s="7"/>
      <c r="E995" s="7"/>
      <c r="F995" s="7"/>
      <c r="G995" s="7"/>
    </row>
    <row r="996" spans="2:7" x14ac:dyDescent="0.25">
      <c r="B996" s="7"/>
      <c r="D996" s="7"/>
      <c r="E996" s="7"/>
      <c r="F996" s="7"/>
      <c r="G996" s="7"/>
    </row>
  </sheetData>
  <sheetProtection algorithmName="SHA-512" hashValue="ZC14+XGYq4u01f4hVgaZCKymOLJxdz6nNVacCNo0SaiasxetILRZfDsdfdmcqtirDVH/QoE8uBxRZutUM3UGeA==" saltValue="0/w+9m7Do+VmWrnTUCN0nw==" spinCount="100000" sheet="1" objects="1" scenarios="1" selectLockedCells="1"/>
  <mergeCells count="14">
    <mergeCell ref="D920:E920"/>
    <mergeCell ref="D985:E985"/>
    <mergeCell ref="I896:J898"/>
    <mergeCell ref="D69:E69"/>
    <mergeCell ref="C6:F6"/>
    <mergeCell ref="C71:F71"/>
    <mergeCell ref="D595:E595"/>
    <mergeCell ref="D855:E855"/>
    <mergeCell ref="D660:E660"/>
    <mergeCell ref="D725:E725"/>
    <mergeCell ref="D790:E790"/>
    <mergeCell ref="J204:K206"/>
    <mergeCell ref="D530:E530"/>
    <mergeCell ref="D202:F202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331</xdr:row>
                    <xdr:rowOff>47625</xdr:rowOff>
                  </from>
                  <to>
                    <xdr:col>2</xdr:col>
                    <xdr:colOff>9991725</xdr:colOff>
                    <xdr:row>332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399</xdr:row>
                    <xdr:rowOff>0</xdr:rowOff>
                  </from>
                  <to>
                    <xdr:col>2</xdr:col>
                    <xdr:colOff>9820275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463</xdr:row>
                    <xdr:rowOff>190500</xdr:rowOff>
                  </from>
                  <to>
                    <xdr:col>2</xdr:col>
                    <xdr:colOff>9791700</xdr:colOff>
                    <xdr:row>464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463</xdr:row>
                    <xdr:rowOff>200025</xdr:rowOff>
                  </from>
                  <to>
                    <xdr:col>2</xdr:col>
                    <xdr:colOff>9096375</xdr:colOff>
                    <xdr:row>464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399</xdr:row>
                    <xdr:rowOff>9525</xdr:rowOff>
                  </from>
                  <to>
                    <xdr:col>2</xdr:col>
                    <xdr:colOff>9096375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331</xdr:row>
                    <xdr:rowOff>66675</xdr:rowOff>
                  </from>
                  <to>
                    <xdr:col>2</xdr:col>
                    <xdr:colOff>9296400</xdr:colOff>
                    <xdr:row>332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528</xdr:row>
                    <xdr:rowOff>76200</xdr:rowOff>
                  </from>
                  <to>
                    <xdr:col>2</xdr:col>
                    <xdr:colOff>10563225</xdr:colOff>
                    <xdr:row>529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528</xdr:row>
                    <xdr:rowOff>76200</xdr:rowOff>
                  </from>
                  <to>
                    <xdr:col>2</xdr:col>
                    <xdr:colOff>9877425</xdr:colOff>
                    <xdr:row>529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593</xdr:row>
                    <xdr:rowOff>76200</xdr:rowOff>
                  </from>
                  <to>
                    <xdr:col>2</xdr:col>
                    <xdr:colOff>10563225</xdr:colOff>
                    <xdr:row>594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593</xdr:row>
                    <xdr:rowOff>76200</xdr:rowOff>
                  </from>
                  <to>
                    <xdr:col>2</xdr:col>
                    <xdr:colOff>9877425</xdr:colOff>
                    <xdr:row>594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658</xdr:row>
                    <xdr:rowOff>76200</xdr:rowOff>
                  </from>
                  <to>
                    <xdr:col>2</xdr:col>
                    <xdr:colOff>10563225</xdr:colOff>
                    <xdr:row>659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658</xdr:row>
                    <xdr:rowOff>76200</xdr:rowOff>
                  </from>
                  <to>
                    <xdr:col>2</xdr:col>
                    <xdr:colOff>9877425</xdr:colOff>
                    <xdr:row>659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723</xdr:row>
                    <xdr:rowOff>76200</xdr:rowOff>
                  </from>
                  <to>
                    <xdr:col>2</xdr:col>
                    <xdr:colOff>10563225</xdr:colOff>
                    <xdr:row>724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723</xdr:row>
                    <xdr:rowOff>76200</xdr:rowOff>
                  </from>
                  <to>
                    <xdr:col>2</xdr:col>
                    <xdr:colOff>9877425</xdr:colOff>
                    <xdr:row>724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788</xdr:row>
                    <xdr:rowOff>76200</xdr:rowOff>
                  </from>
                  <to>
                    <xdr:col>2</xdr:col>
                    <xdr:colOff>10563225</xdr:colOff>
                    <xdr:row>789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788</xdr:row>
                    <xdr:rowOff>76200</xdr:rowOff>
                  </from>
                  <to>
                    <xdr:col>2</xdr:col>
                    <xdr:colOff>9877425</xdr:colOff>
                    <xdr:row>789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28" name="Button 150">
              <controlPr defaultSize="0" autoFill="0" autoPict="0" macro="[0]!tema13" altText="Borrar">
                <anchor moveWithCells="1" sizeWithCells="1">
                  <from>
                    <xdr:col>2</xdr:col>
                    <xdr:colOff>9953625</xdr:colOff>
                    <xdr:row>853</xdr:row>
                    <xdr:rowOff>76200</xdr:rowOff>
                  </from>
                  <to>
                    <xdr:col>2</xdr:col>
                    <xdr:colOff>10563225</xdr:colOff>
                    <xdr:row>854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29" name="Button 151">
              <controlPr defaultSize="0" autoFill="0" autoPict="0" macro="[0]!Compro13">
                <anchor moveWithCells="1" sizeWithCells="1">
                  <from>
                    <xdr:col>2</xdr:col>
                    <xdr:colOff>8572500</xdr:colOff>
                    <xdr:row>853</xdr:row>
                    <xdr:rowOff>76200</xdr:rowOff>
                  </from>
                  <to>
                    <xdr:col>2</xdr:col>
                    <xdr:colOff>9877425</xdr:colOff>
                    <xdr:row>854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30" name="Button 152">
              <controlPr defaultSize="0" autoFill="0" autoPict="0" macro="[0]!tema14" altText="Borrar">
                <anchor moveWithCells="1" sizeWithCells="1">
                  <from>
                    <xdr:col>2</xdr:col>
                    <xdr:colOff>9953625</xdr:colOff>
                    <xdr:row>918</xdr:row>
                    <xdr:rowOff>76200</xdr:rowOff>
                  </from>
                  <to>
                    <xdr:col>2</xdr:col>
                    <xdr:colOff>10563225</xdr:colOff>
                    <xdr:row>919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31" name="Button 153">
              <controlPr defaultSize="0" autoFill="0" autoPict="0" macro="[0]!Compro14">
                <anchor moveWithCells="1" sizeWithCells="1">
                  <from>
                    <xdr:col>2</xdr:col>
                    <xdr:colOff>8572500</xdr:colOff>
                    <xdr:row>918</xdr:row>
                    <xdr:rowOff>76200</xdr:rowOff>
                  </from>
                  <to>
                    <xdr:col>2</xdr:col>
                    <xdr:colOff>9877425</xdr:colOff>
                    <xdr:row>919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32" name="Button 154">
              <controlPr defaultSize="0" autoFill="0" autoPict="0" macro="[0]!tema15" altText="Borrar">
                <anchor moveWithCells="1" sizeWithCells="1">
                  <from>
                    <xdr:col>2</xdr:col>
                    <xdr:colOff>9953625</xdr:colOff>
                    <xdr:row>983</xdr:row>
                    <xdr:rowOff>76200</xdr:rowOff>
                  </from>
                  <to>
                    <xdr:col>2</xdr:col>
                    <xdr:colOff>10563225</xdr:colOff>
                    <xdr:row>984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33" name="Button 155">
              <controlPr defaultSize="0" autoFill="0" autoPict="0" macro="[0]!Compro15">
                <anchor moveWithCells="1" sizeWithCells="1">
                  <from>
                    <xdr:col>2</xdr:col>
                    <xdr:colOff>8572500</xdr:colOff>
                    <xdr:row>983</xdr:row>
                    <xdr:rowOff>76200</xdr:rowOff>
                  </from>
                  <to>
                    <xdr:col>2</xdr:col>
                    <xdr:colOff>9877425</xdr:colOff>
                    <xdr:row>984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SSOO</vt:lpstr>
      <vt:lpstr>SSOO!Área_de_impresión</vt:lpstr>
      <vt:lpstr>SSOO!OLE_LINK2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2018-05-19T10:34:01Z</dcterms:modified>
  <cp:category/>
  <cp:contentStatus/>
</cp:coreProperties>
</file>