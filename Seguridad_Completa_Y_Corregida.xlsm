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Avanzado\"/>
    </mc:Choice>
  </mc:AlternateContent>
  <bookViews>
    <workbookView xWindow="0" yWindow="465" windowWidth="20415" windowHeight="8415" tabRatio="500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86" i="7" l="1"/>
  <c r="H578" i="7"/>
  <c r="H577" i="7"/>
  <c r="H579" i="7"/>
  <c r="H572" i="7"/>
  <c r="H571" i="7"/>
  <c r="H573" i="7"/>
  <c r="H566" i="7"/>
  <c r="H565" i="7"/>
  <c r="H567" i="7"/>
  <c r="H560" i="7"/>
  <c r="H559" i="7"/>
  <c r="H561" i="7"/>
  <c r="H554" i="7"/>
  <c r="H553" i="7"/>
  <c r="H555" i="7"/>
  <c r="H548" i="7"/>
  <c r="H547" i="7"/>
  <c r="H549" i="7"/>
  <c r="H542" i="7"/>
  <c r="H541" i="7"/>
  <c r="H543" i="7"/>
  <c r="H536" i="7"/>
  <c r="H535" i="7"/>
  <c r="H537" i="7"/>
  <c r="H585" i="7"/>
  <c r="H584" i="7"/>
  <c r="H586" i="7"/>
  <c r="H592" i="7"/>
  <c r="H591" i="7"/>
  <c r="H593" i="7"/>
  <c r="F598" i="7"/>
  <c r="G598" i="7"/>
  <c r="F599" i="7"/>
  <c r="F593" i="7"/>
  <c r="F592" i="7"/>
  <c r="F586" i="7"/>
  <c r="F585" i="7"/>
  <c r="F579" i="7"/>
  <c r="F578" i="7"/>
  <c r="F573" i="7"/>
  <c r="F572" i="7"/>
  <c r="F567" i="7"/>
  <c r="F566" i="7"/>
  <c r="F561" i="7"/>
  <c r="F560" i="7"/>
  <c r="F555" i="7"/>
  <c r="F554" i="7"/>
  <c r="F549" i="7"/>
  <c r="F548" i="7"/>
  <c r="F543" i="7"/>
  <c r="F542" i="7"/>
  <c r="F537" i="7"/>
  <c r="F536" i="7"/>
  <c r="H524" i="7"/>
  <c r="H517" i="7"/>
  <c r="H504" i="7"/>
  <c r="H498" i="7"/>
  <c r="H474" i="7"/>
  <c r="H468" i="7"/>
  <c r="H451" i="7"/>
  <c r="H445" i="7"/>
  <c r="H439" i="7"/>
  <c r="H433" i="7"/>
  <c r="H427" i="7"/>
  <c r="H421" i="7"/>
  <c r="H415" i="7"/>
  <c r="H409" i="7"/>
  <c r="H403" i="7"/>
  <c r="H386" i="7"/>
  <c r="H374" i="7"/>
  <c r="H368" i="7"/>
  <c r="H362" i="7"/>
  <c r="H356" i="7"/>
  <c r="H344" i="7"/>
  <c r="H338" i="7"/>
  <c r="H326" i="7"/>
  <c r="H314" i="7"/>
  <c r="H308" i="7"/>
  <c r="H302" i="7"/>
  <c r="H296" i="7"/>
  <c r="H290" i="7"/>
  <c r="H278" i="7"/>
  <c r="H272" i="7"/>
  <c r="H271" i="7"/>
  <c r="H251" i="7"/>
  <c r="H245" i="7"/>
  <c r="H221" i="7"/>
  <c r="H215" i="7"/>
  <c r="H209" i="7"/>
  <c r="H186" i="7"/>
  <c r="H180" i="7"/>
  <c r="H174" i="7"/>
  <c r="H168" i="7"/>
  <c r="H156" i="7"/>
  <c r="H150" i="7"/>
  <c r="H144" i="7"/>
  <c r="H138" i="7"/>
  <c r="H127" i="7"/>
  <c r="H115" i="7"/>
  <c r="H109" i="7"/>
  <c r="H103" i="7"/>
  <c r="H97" i="7"/>
  <c r="H91" i="7"/>
  <c r="H85" i="7"/>
  <c r="H79" i="7"/>
  <c r="H73" i="7"/>
  <c r="H56" i="7"/>
  <c r="H50" i="7"/>
  <c r="H44" i="7"/>
  <c r="H38" i="7"/>
  <c r="H26" i="7"/>
  <c r="H32" i="7"/>
  <c r="H20" i="7"/>
  <c r="H14" i="7"/>
  <c r="H8" i="7"/>
  <c r="H9" i="7"/>
  <c r="H511" i="7"/>
  <c r="H510" i="7"/>
  <c r="H512" i="7"/>
  <c r="H505" i="7"/>
  <c r="H506" i="7"/>
  <c r="H499" i="7"/>
  <c r="H500" i="7"/>
  <c r="H493" i="7"/>
  <c r="H492" i="7"/>
  <c r="H494" i="7"/>
  <c r="H487" i="7"/>
  <c r="H488" i="7"/>
  <c r="H481" i="7"/>
  <c r="H480" i="7"/>
  <c r="H482" i="7"/>
  <c r="H475" i="7"/>
  <c r="H476" i="7"/>
  <c r="H469" i="7"/>
  <c r="H470" i="7"/>
  <c r="H518" i="7"/>
  <c r="H519" i="7"/>
  <c r="H525" i="7"/>
  <c r="H526" i="7"/>
  <c r="F531" i="7"/>
  <c r="G531" i="7"/>
  <c r="F532" i="7"/>
  <c r="F526" i="7"/>
  <c r="F525" i="7"/>
  <c r="F519" i="7"/>
  <c r="F518" i="7"/>
  <c r="F512" i="7"/>
  <c r="F511" i="7"/>
  <c r="F506" i="7"/>
  <c r="F505" i="7"/>
  <c r="F500" i="7"/>
  <c r="F499" i="7"/>
  <c r="F494" i="7"/>
  <c r="F493" i="7"/>
  <c r="F488" i="7"/>
  <c r="F487" i="7"/>
  <c r="F482" i="7"/>
  <c r="F481" i="7"/>
  <c r="F476" i="7"/>
  <c r="F475" i="7"/>
  <c r="F470" i="7"/>
  <c r="F469" i="7"/>
  <c r="H404" i="7"/>
  <c r="H405" i="7"/>
  <c r="H410" i="7"/>
  <c r="H411" i="7"/>
  <c r="H416" i="7"/>
  <c r="H417" i="7"/>
  <c r="H422" i="7"/>
  <c r="H423" i="7"/>
  <c r="H428" i="7"/>
  <c r="H429" i="7"/>
  <c r="H434" i="7"/>
  <c r="H435" i="7"/>
  <c r="H440" i="7"/>
  <c r="H441" i="7"/>
  <c r="H446" i="7"/>
  <c r="H447" i="7"/>
  <c r="H452" i="7"/>
  <c r="H453" i="7"/>
  <c r="H458" i="7"/>
  <c r="H457" i="7"/>
  <c r="H459" i="7"/>
  <c r="F464" i="7"/>
  <c r="G464" i="7"/>
  <c r="F465" i="7"/>
  <c r="F459" i="7"/>
  <c r="F458" i="7"/>
  <c r="F453" i="7"/>
  <c r="F452" i="7"/>
  <c r="F447" i="7"/>
  <c r="F446" i="7"/>
  <c r="F441" i="7"/>
  <c r="F440" i="7"/>
  <c r="F435" i="7"/>
  <c r="F434" i="7"/>
  <c r="F429" i="7"/>
  <c r="F428" i="7"/>
  <c r="F423" i="7"/>
  <c r="F422" i="7"/>
  <c r="F417" i="7"/>
  <c r="F416" i="7"/>
  <c r="F411" i="7"/>
  <c r="F410" i="7"/>
  <c r="F405" i="7"/>
  <c r="F404" i="7"/>
  <c r="H393" i="7"/>
  <c r="H392" i="7"/>
  <c r="H394" i="7"/>
  <c r="H387" i="7"/>
  <c r="H388" i="7"/>
  <c r="H381" i="7"/>
  <c r="H380" i="7"/>
  <c r="H382" i="7"/>
  <c r="H375" i="7"/>
  <c r="H376" i="7"/>
  <c r="H369" i="7"/>
  <c r="H370" i="7"/>
  <c r="H363" i="7"/>
  <c r="H364" i="7"/>
  <c r="H357" i="7"/>
  <c r="H358" i="7"/>
  <c r="H351" i="7"/>
  <c r="H350" i="7"/>
  <c r="H352" i="7"/>
  <c r="H345" i="7"/>
  <c r="H346" i="7"/>
  <c r="H339" i="7"/>
  <c r="H340" i="7"/>
  <c r="F399" i="7"/>
  <c r="G399" i="7"/>
  <c r="F400" i="7"/>
  <c r="F394" i="7"/>
  <c r="F393" i="7"/>
  <c r="F388" i="7"/>
  <c r="F387" i="7"/>
  <c r="F382" i="7"/>
  <c r="F381" i="7"/>
  <c r="F376" i="7"/>
  <c r="F375" i="7"/>
  <c r="F370" i="7"/>
  <c r="F369" i="7"/>
  <c r="F364" i="7"/>
  <c r="F363" i="7"/>
  <c r="F358" i="7"/>
  <c r="F357" i="7"/>
  <c r="F352" i="7"/>
  <c r="F351" i="7"/>
  <c r="F346" i="7"/>
  <c r="F345" i="7"/>
  <c r="F340" i="7"/>
  <c r="F339" i="7"/>
  <c r="H327" i="7"/>
  <c r="H328" i="7"/>
  <c r="H321" i="7"/>
  <c r="H320" i="7"/>
  <c r="H322" i="7"/>
  <c r="H315" i="7"/>
  <c r="H316" i="7"/>
  <c r="H309" i="7"/>
  <c r="H310" i="7"/>
  <c r="H303" i="7"/>
  <c r="H304" i="7"/>
  <c r="H297" i="7"/>
  <c r="H298" i="7"/>
  <c r="H291" i="7"/>
  <c r="H292" i="7"/>
  <c r="H285" i="7"/>
  <c r="H284" i="7"/>
  <c r="H286" i="7"/>
  <c r="H279" i="7"/>
  <c r="H280" i="7"/>
  <c r="H273" i="7"/>
  <c r="F332" i="7"/>
  <c r="G332" i="7"/>
  <c r="F333" i="7"/>
  <c r="F328" i="7"/>
  <c r="F327" i="7"/>
  <c r="F322" i="7"/>
  <c r="F321" i="7"/>
  <c r="F316" i="7"/>
  <c r="F315" i="7"/>
  <c r="F310" i="7"/>
  <c r="F309" i="7"/>
  <c r="F304" i="7"/>
  <c r="F303" i="7"/>
  <c r="F298" i="7"/>
  <c r="F297" i="7"/>
  <c r="F292" i="7"/>
  <c r="F291" i="7"/>
  <c r="F286" i="7"/>
  <c r="F285" i="7"/>
  <c r="F280" i="7"/>
  <c r="F279" i="7"/>
  <c r="F273" i="7"/>
  <c r="F272" i="7"/>
  <c r="H258" i="7"/>
  <c r="H257" i="7"/>
  <c r="H259" i="7"/>
  <c r="H252" i="7"/>
  <c r="H253" i="7"/>
  <c r="H246" i="7"/>
  <c r="H247" i="7"/>
  <c r="H240" i="7"/>
  <c r="H239" i="7"/>
  <c r="H241" i="7"/>
  <c r="H234" i="7"/>
  <c r="H233" i="7"/>
  <c r="H235" i="7"/>
  <c r="H228" i="7"/>
  <c r="H227" i="7"/>
  <c r="H229" i="7"/>
  <c r="H222" i="7"/>
  <c r="H223" i="7"/>
  <c r="H216" i="7"/>
  <c r="H217" i="7"/>
  <c r="H210" i="7"/>
  <c r="H211" i="7"/>
  <c r="H204" i="7"/>
  <c r="H203" i="7"/>
  <c r="H205" i="7"/>
  <c r="F264" i="7"/>
  <c r="G264" i="7"/>
  <c r="F265" i="7"/>
  <c r="F259" i="7"/>
  <c r="F258" i="7"/>
  <c r="F253" i="7"/>
  <c r="F252" i="7"/>
  <c r="F247" i="7"/>
  <c r="F246" i="7"/>
  <c r="F241" i="7"/>
  <c r="F240" i="7"/>
  <c r="F235" i="7"/>
  <c r="F234" i="7"/>
  <c r="F229" i="7"/>
  <c r="F228" i="7"/>
  <c r="F223" i="7"/>
  <c r="F222" i="7"/>
  <c r="F217" i="7"/>
  <c r="F216" i="7"/>
  <c r="F211" i="7"/>
  <c r="F210" i="7"/>
  <c r="F205" i="7"/>
  <c r="F204" i="7"/>
  <c r="H193" i="7"/>
  <c r="H192" i="7"/>
  <c r="H194" i="7"/>
  <c r="H187" i="7"/>
  <c r="H188" i="7"/>
  <c r="H181" i="7"/>
  <c r="H182" i="7"/>
  <c r="H175" i="7"/>
  <c r="H176" i="7"/>
  <c r="H169" i="7"/>
  <c r="H170" i="7"/>
  <c r="H163" i="7"/>
  <c r="H162" i="7"/>
  <c r="H164" i="7"/>
  <c r="H157" i="7"/>
  <c r="H158" i="7"/>
  <c r="H151" i="7"/>
  <c r="H152" i="7"/>
  <c r="H145" i="7"/>
  <c r="H146" i="7"/>
  <c r="H139" i="7"/>
  <c r="H140" i="7"/>
  <c r="F199" i="7"/>
  <c r="G199" i="7"/>
  <c r="F200" i="7"/>
  <c r="F194" i="7"/>
  <c r="F193" i="7"/>
  <c r="F188" i="7"/>
  <c r="F187" i="7"/>
  <c r="F182" i="7"/>
  <c r="F181" i="7"/>
  <c r="F176" i="7"/>
  <c r="F175" i="7"/>
  <c r="F170" i="7"/>
  <c r="F169" i="7"/>
  <c r="F164" i="7"/>
  <c r="F163" i="7"/>
  <c r="F158" i="7"/>
  <c r="F157" i="7"/>
  <c r="F152" i="7"/>
  <c r="F151" i="7"/>
  <c r="F146" i="7"/>
  <c r="F145" i="7"/>
  <c r="F140" i="7"/>
  <c r="F139" i="7"/>
  <c r="H128" i="7"/>
  <c r="H129" i="7"/>
  <c r="H122" i="7"/>
  <c r="H121" i="7"/>
  <c r="H123" i="7"/>
  <c r="H116" i="7"/>
  <c r="H117" i="7"/>
  <c r="H110" i="7"/>
  <c r="H111" i="7"/>
  <c r="H104" i="7"/>
  <c r="H105" i="7"/>
  <c r="H98" i="7"/>
  <c r="H99" i="7"/>
  <c r="H92" i="7"/>
  <c r="H93" i="7"/>
  <c r="H86" i="7"/>
  <c r="H87" i="7"/>
  <c r="H80" i="7"/>
  <c r="H81" i="7"/>
  <c r="H74" i="7"/>
  <c r="H75" i="7"/>
  <c r="F134" i="7"/>
  <c r="G134" i="7"/>
  <c r="F135" i="7"/>
  <c r="F129" i="7"/>
  <c r="F128" i="7"/>
  <c r="F123" i="7"/>
  <c r="F122" i="7"/>
  <c r="F117" i="7"/>
  <c r="F116" i="7"/>
  <c r="F111" i="7"/>
  <c r="F110" i="7"/>
  <c r="F105" i="7"/>
  <c r="F104" i="7"/>
  <c r="F99" i="7"/>
  <c r="F98" i="7"/>
  <c r="F93" i="7"/>
  <c r="F92" i="7"/>
  <c r="F87" i="7"/>
  <c r="F86" i="7"/>
  <c r="F81" i="7"/>
  <c r="F80" i="7"/>
  <c r="F75" i="7"/>
  <c r="F74" i="7"/>
  <c r="H63" i="7"/>
  <c r="H62" i="7"/>
  <c r="H64" i="7"/>
  <c r="H57" i="7"/>
  <c r="H58" i="7"/>
  <c r="H51" i="7"/>
  <c r="H52" i="7"/>
  <c r="H45" i="7"/>
  <c r="H46" i="7"/>
  <c r="H39" i="7"/>
  <c r="H40" i="7"/>
  <c r="H33" i="7"/>
  <c r="H34" i="7"/>
  <c r="H27" i="7"/>
  <c r="H28" i="7"/>
  <c r="H21" i="7"/>
  <c r="H22" i="7"/>
  <c r="H15" i="7"/>
  <c r="H16" i="7"/>
  <c r="H10" i="7"/>
  <c r="F69" i="7"/>
  <c r="G69" i="7"/>
  <c r="F70" i="7"/>
  <c r="F64" i="7"/>
  <c r="F63" i="7"/>
  <c r="F58" i="7"/>
  <c r="F57" i="7"/>
  <c r="F52" i="7"/>
  <c r="F51" i="7"/>
  <c r="F46" i="7"/>
  <c r="F45" i="7"/>
  <c r="F40" i="7"/>
  <c r="F39" i="7"/>
  <c r="F34" i="7"/>
  <c r="F33" i="7"/>
  <c r="F28" i="7"/>
  <c r="F27" i="7"/>
  <c r="F22" i="7"/>
  <c r="F21" i="7"/>
  <c r="F16" i="7"/>
  <c r="F15" i="7"/>
  <c r="F10" i="7"/>
  <c r="F9" i="7"/>
</calcChain>
</file>

<file path=xl/sharedStrings.xml><?xml version="1.0" encoding="utf-8"?>
<sst xmlns="http://schemas.openxmlformats.org/spreadsheetml/2006/main" count="1386" uniqueCount="473">
  <si>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</si>
  <si>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</si>
  <si>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</si>
  <si>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</si>
  <si>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</si>
  <si>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</si>
  <si>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</si>
  <si>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</si>
  <si>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</si>
  <si>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</si>
  <si>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</si>
  <si>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</si>
  <si>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</si>
  <si>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</si>
  <si>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</si>
  <si>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</si>
  <si>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</si>
  <si>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</si>
  <si>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</si>
  <si>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</si>
  <si>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</si>
  <si>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</si>
  <si>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</si>
  <si>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</si>
  <si>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</si>
  <si>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</si>
  <si>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</si>
  <si>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</si>
  <si>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</si>
  <si>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</si>
  <si>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</si>
  <si>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</si>
  <si>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</si>
  <si>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</si>
  <si>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 xml:space="preserve">La principal característica a garantizar en un sistema seguro es: ​
</t>
  </si>
  <si>
    <t>Disponibilidad</t>
  </si>
  <si>
    <t>Confidencialidad</t>
  </si>
  <si>
    <t>No Repudio</t>
  </si>
  <si>
    <t>Integridad</t>
  </si>
  <si>
    <t>Autenticación permite probar la participación de las partes en una comunicación.</t>
  </si>
  <si>
    <t>Disponibilidad es que la información se encuentre accesible en todo momento a los distintos usuarios autorizados.</t>
  </si>
  <si>
    <t>La Integridad permite asegurar que los datos no se han falseado.</t>
  </si>
  <si>
    <t>Confidencialidad es la propiedad de la información por la que se garantiza que está accesible únicamente al personal autorizado.</t>
  </si>
  <si>
    <t>SAI</t>
  </si>
  <si>
    <t>Copia de seguridad.</t>
  </si>
  <si>
    <t>Contraseñas</t>
  </si>
  <si>
    <t>SW antimalware.</t>
  </si>
  <si>
    <t xml:space="preserve">¿Qué elemento de un sistema informático se encuentra más crítico a la hora de protegerlo?
</t>
  </si>
  <si>
    <t>Datos</t>
  </si>
  <si>
    <t>Hardware.</t>
  </si>
  <si>
    <t>Software</t>
  </si>
  <si>
    <t>Comunicaciones</t>
  </si>
  <si>
    <t xml:space="preserve">Un hacker:
</t>
  </si>
  <si>
    <t>La mayoría de las veces tiene una finalidad maliciosa.</t>
  </si>
  <si>
    <t>A veces posee una finalidad maliciosa, entonces se denomina cracker.</t>
  </si>
  <si>
    <t>Siempre tiene una finalidad maliciosa.</t>
  </si>
  <si>
    <t>Es un curioso con una finalidad conocida.</t>
  </si>
  <si>
    <t xml:space="preserve">El Phishing:
</t>
  </si>
  <si>
    <t>Es un tipo de malware o virus.</t>
  </si>
  <si>
    <t>Se contrarresta con un spyware.</t>
  </si>
  <si>
    <t>Es un tipo de fraude bancario.</t>
  </si>
  <si>
    <t>Se propaga mediante correo electrónico siempre.</t>
  </si>
  <si>
    <t xml:space="preserve">¿Cuál es el estándar ISO en materia de auditoría de sistemas de información?
</t>
  </si>
  <si>
    <t>ISO 27000</t>
  </si>
  <si>
    <t>ISO 27001</t>
  </si>
  <si>
    <t>ISO 27002</t>
  </si>
  <si>
    <t>ISO 9001</t>
  </si>
  <si>
    <t xml:space="preserve">El acrónimo CIDAN hace referencia a:
</t>
  </si>
  <si>
    <t>Confidencialidad, integridad, autenticación y no repudio.</t>
  </si>
  <si>
    <t>Confidencialidad, inviolabilidad, autenticación y no repudio.</t>
  </si>
  <si>
    <t>Confidencialidad, integridad, autentificación y no repudio.</t>
  </si>
  <si>
    <t>Confidencialidad, inviolabilidad, autentificación y no repudio.</t>
  </si>
  <si>
    <t xml:space="preserve">El sistema de cifrado que utiliza dos claves (una pública y otra privada) se denomina:
</t>
  </si>
  <si>
    <t>Asimétrico</t>
  </si>
  <si>
    <t>Simétrico</t>
  </si>
  <si>
    <t>De encriptación algorítmica DES</t>
  </si>
  <si>
    <t>Mixto</t>
  </si>
  <si>
    <t xml:space="preserve">Cuando hablamos de “verificación de la identidad de un usuario, se aporta algún modo que permita verificar que es quien dice ser”. Nos referimos a:
</t>
  </si>
  <si>
    <t>No repudio</t>
  </si>
  <si>
    <t>Autenticación</t>
  </si>
  <si>
    <t>Encriptación.</t>
  </si>
  <si>
    <t>Acreditación</t>
  </si>
  <si>
    <t>TEMA 2</t>
  </si>
  <si>
    <t xml:space="preserve">Al aplicar medidas que intenten minimizar, en el sistema informático, el impacto y los efectos causados por accidentes, estamos aplicando principios de:
</t>
  </si>
  <si>
    <t>Seguridad contingente.</t>
  </si>
  <si>
    <t>Seguridad paliativa.</t>
  </si>
  <si>
    <t>Seguridad activa</t>
  </si>
  <si>
    <t>Seguridad pasiva</t>
  </si>
  <si>
    <t xml:space="preserve">Cuando en un Sistema Informático generamos uno a varios archivos digitales, a modo de réplica de datos que nos permiten recuperar la información original, estamos:
</t>
  </si>
  <si>
    <t>Realizando Copias de Seguridad o Backups.</t>
  </si>
  <si>
    <t>Protegiendo el sistema contra malware.</t>
  </si>
  <si>
    <t>Verificando la integridad de la información.</t>
  </si>
  <si>
    <t>Digitalizando los datos.</t>
  </si>
  <si>
    <t xml:space="preserve">¿Qué sistema de almacenamiento sería el más adecuado para una organización que precisa realizar copias de seguridad que contienen un gran volumen de datos?
</t>
  </si>
  <si>
    <t>DAS</t>
  </si>
  <si>
    <t>SAN</t>
  </si>
  <si>
    <t>MIXTO</t>
  </si>
  <si>
    <t>NAS</t>
  </si>
  <si>
    <t xml:space="preserve">¿Cuál sería el modelo óptimo de políticas de copias de seguridad, aplicable a una organización que maneja gran cantidad de volumen de datos?
</t>
  </si>
  <si>
    <t>Ninguno de los anteriores.</t>
  </si>
  <si>
    <t>Completo diario + Incremental semanal + Diferencial mensual.</t>
  </si>
  <si>
    <t>Incremental mensual + Completo semanal + Diferencial diario.</t>
  </si>
  <si>
    <t>Completo semanal + Diferencial mensual + Incremental diario.</t>
  </si>
  <si>
    <t xml:space="preserve">Para proteger un sistema informático de interferencias electromagnéticas y rayos, se utiliza:
</t>
  </si>
  <si>
    <t>El solenoide de Fahrenheit.</t>
  </si>
  <si>
    <t>Una UPS o SAI.</t>
  </si>
  <si>
    <t>Una jaula de Faraday.</t>
  </si>
  <si>
    <t>Un edificio con protección antisísmica y control de acceso biométrico.</t>
  </si>
  <si>
    <t>Los sistemas INERGEN y NOVEC 1230 son empleados en la refrigeración de CPD´s.</t>
  </si>
  <si>
    <t>Una SAI Inline genera señal nueva de forma continua.</t>
  </si>
  <si>
    <t>Una SAI Online genera señal nueva de forma continua.</t>
  </si>
  <si>
    <t>El sistema de control de acceso físico menos fiable es el basado en aspectos biométricos.</t>
  </si>
  <si>
    <t xml:space="preserve">Un rack o armario normalizado tiene que cumplir las siguientes características:
</t>
  </si>
  <si>
    <t>Ancho de guías 19”. Alto de guías (1U) 1,75”. Profundidad “no normalizada”.</t>
  </si>
  <si>
    <t>Ancho de guías 19”. Alto de guías (1U) 17”. Profundidad 1,75”.</t>
  </si>
  <si>
    <t>Ancho de guías 17”. Alto de guías (1U) 1,75”. Profundidad 19”.</t>
  </si>
  <si>
    <t>Ancho de guías 17”. Alto de guías (1U) 19”. Profundidad “no normalizada”.</t>
  </si>
  <si>
    <t xml:space="preserve">Para calcular la potencia aparente (VA) de un dispositivo, tenemos que multiplicar la potencia real (W) por:
</t>
  </si>
  <si>
    <t>Por 1,4.</t>
  </si>
  <si>
    <t>No hay correlación entre potencia aparente y potencia real.</t>
  </si>
  <si>
    <t>Por 0,14.</t>
  </si>
  <si>
    <t>Por 0,014</t>
  </si>
  <si>
    <t xml:space="preserve">El acrónimo CPD hace referencia a:
</t>
  </si>
  <si>
    <t>Política de gestión de copias de seguridad de una organización.</t>
  </si>
  <si>
    <t>Conjunto de medidas paliativas que se toman en caso de contingencia o accidente.</t>
  </si>
  <si>
    <t>Organismo que gestiona la seguridad de los sistemas críticos de un estado o nación.</t>
  </si>
  <si>
    <t>Lugar donde se ubican los recursos necesarios para el procesamiento de la información de una organización.</t>
  </si>
  <si>
    <t xml:space="preserve">Definimos seguridad física y ambiental como:
</t>
  </si>
  <si>
    <t>Controles y medidas de seguridad, alrededor y dentro de la ubicación física de los sistemas informáticos, así como los medios de acceso al mismo, implementados para proteger el hardware y medios de almacenamiento de datos.</t>
  </si>
  <si>
    <t>No existe el concepto de seguridad física y ambiental.</t>
  </si>
  <si>
    <t>Controles y medidas de seguridad, relacionadas exclusivamente con el control de acceso a la información.</t>
  </si>
  <si>
    <t>Controles y medidas de seguridad, independientes a la ubicación física de los sistemas informáticos.</t>
  </si>
  <si>
    <t>TEMA 3</t>
  </si>
  <si>
    <t xml:space="preserve">¿Qué tipo de cuenta se recomienda para un uso cotidiano en sistemas Windows?
</t>
  </si>
  <si>
    <t>Limitada</t>
  </si>
  <si>
    <t>Invitado</t>
  </si>
  <si>
    <t>Administrador</t>
  </si>
  <si>
    <t>Minimos Privilegios</t>
  </si>
  <si>
    <t xml:space="preserve">Una contraseña segura, no debe tener:
</t>
  </si>
  <si>
    <t>Más de 10 caracteres.</t>
  </si>
  <si>
    <t>Frases fáciles de recordar por el usuario.</t>
  </si>
  <si>
    <t>Caracteres mayúsculos, minúsculas, símbolos.</t>
  </si>
  <si>
    <t>El propio nombre de usuario contenido.</t>
  </si>
  <si>
    <t xml:space="preserve">¿Qué es la identificación?
</t>
  </si>
  <si>
    <t>Un número de intentos de login.</t>
  </si>
  <si>
    <t>Verificación que realiza el sistema sobre el intento de login.</t>
  </si>
  <si>
    <t>Momento en el que el usuario se da a conocer en el sistema.</t>
  </si>
  <si>
    <t>La autorización para el acceso a las partes del sistema al que el usuario está autorizado.</t>
  </si>
  <si>
    <t xml:space="preserve">Para un usuario experimentado, las actualizaciones deben estar configuradas para:
</t>
  </si>
  <si>
    <t>Descargar actualizaciones y notificar si deseas instalarlas.</t>
  </si>
  <si>
    <t>Notificar, pero no descargar ni instalar.</t>
  </si>
  <si>
    <t>Deben estar desactivadas.</t>
  </si>
  <si>
    <t>Automáticas, descargar e instalar actualizaciones automáticamente.</t>
  </si>
  <si>
    <t xml:space="preserve">En caso de tener configurada con contraseña el SETUP de la BIOS, y querer prohibir el arranque en modo Live, el primer dispositivo de arranque debe ser:
</t>
  </si>
  <si>
    <t>USB</t>
  </si>
  <si>
    <t>HD</t>
  </si>
  <si>
    <t>CD</t>
  </si>
  <si>
    <t>LAN</t>
  </si>
  <si>
    <t>Caracteres especiales.</t>
  </si>
  <si>
    <t>5 caracteres</t>
  </si>
  <si>
    <t>Mayusculas</t>
  </si>
  <si>
    <t>Numeros</t>
  </si>
  <si>
    <t xml:space="preserve">La Seguridad Lógica consiste en:
</t>
  </si>
  <si>
    <t>La aplicación de barreras y procedimientos que resguarden el acceso a los datos y sólo se permita acceder a ellos a las personas autorizadas para hacerlo.</t>
  </si>
  <si>
    <t>La instalación de hardware que garantice la disponibilidad de acceso a los datos.</t>
  </si>
  <si>
    <t>La aplicación de barreras y procedimientos que resguarden el acceso a los datos y que impida acceder a ellos a las personas autorizadas para hacerlo.</t>
  </si>
  <si>
    <t>La aplicación de barreras y procedimientos que no resguarden el acceso a los datos y permita acceder a ellos a todas las personas de la organización.</t>
  </si>
  <si>
    <t xml:space="preserve">El principio básico de la Seguridad Lógica es:
</t>
  </si>
  <si>
    <t>Todo lo que no está permitido debe estar prohibido.</t>
  </si>
  <si>
    <t>Se debe garantizar el acceso lógico y seguro a los datos.</t>
  </si>
  <si>
    <t>El Sistema debe ser lógicamente seguro.</t>
  </si>
  <si>
    <t>Todo lo que no está prohibido no debe estar permitido.</t>
  </si>
  <si>
    <t xml:space="preserve">Indica cuál de estas expresiones es la correcta:
</t>
  </si>
  <si>
    <t>Mediante la autenticación el usuario se da a conocer en el sistema. La verificación que realiza el sistema sobre esta identificación se denomina identificación.</t>
  </si>
  <si>
    <t xml:space="preserve">Mediante la identificación el usuario se da a conocer en el sistema. La verificación que realiza el sistema sobre esta identificación se denomina autentificación. </t>
  </si>
  <si>
    <t xml:space="preserve">Mediante la autentificación el usuario se da a conocer en el sistema. La verificación que realiza el sistema sobre esta identificación se denomina identificación. </t>
  </si>
  <si>
    <t>Mediante la identificación el usuario se da a conocer en el sistema. La verificación que realiza el sistema sobre esta identificación se denomina autenticación.</t>
  </si>
  <si>
    <t xml:space="preserve">Las Listas de Control de Acceso (ACL), permiten:
</t>
  </si>
  <si>
    <t>Asignar permisos a un usuario sin tener en cuenta el grupo al que pertenece.</t>
  </si>
  <si>
    <t xml:space="preserve">Almacenar las contraseñas de los usuarios de forma segura. </t>
  </si>
  <si>
    <t>Crear una relación de eventos de sistema.</t>
  </si>
  <si>
    <t>Asignar directivas de seguridad global.</t>
  </si>
  <si>
    <t>TEMA 4</t>
  </si>
  <si>
    <t xml:space="preserve">¿Qué nombre reciben las redes de ordenadores de las que se ha tomado el control remotamente de un modo ilícito mediante software malware?
</t>
  </si>
  <si>
    <t>Botnet</t>
  </si>
  <si>
    <t>Invisiblenet</t>
  </si>
  <si>
    <t>Malwarenet</t>
  </si>
  <si>
    <t>Infectednet</t>
  </si>
  <si>
    <t xml:space="preserve">Un código malicioso con capacidad de crear una puerta trasera, que permita la administración remota a un usuario no autorizado, es:
</t>
  </si>
  <si>
    <t>Un backdoor.</t>
  </si>
  <si>
    <t>Nada de lo anterior es correcto.</t>
  </si>
  <si>
    <t>Un troyano.</t>
  </si>
  <si>
    <t>Una puerta trasera</t>
  </si>
  <si>
    <t xml:space="preserve">¿Cuáles de los siguientes programas maliciosos son clasificados como ladrones de información?
</t>
  </si>
  <si>
    <t>Infostealers, keyloggers, scam, PWstealer.</t>
  </si>
  <si>
    <t>Infostealers, keyloggers, spyware, PWstealer.</t>
  </si>
  <si>
    <t>Crimeware, phising, scam, keylogger.</t>
  </si>
  <si>
    <t>Infostealers, PWstealer, scam, keylogger</t>
  </si>
  <si>
    <t xml:space="preserve">¿Qué son los hoax?
</t>
  </si>
  <si>
    <t>Bulos que circulan por internet.</t>
  </si>
  <si>
    <t>Robos de identidad.</t>
  </si>
  <si>
    <t>Bromas o noticias falsas que llegan por correo electrónico.</t>
  </si>
  <si>
    <t>Conjunto de programas de malware que se propagan por el puerto 8080.</t>
  </si>
  <si>
    <t>Uso de dispositivos extraíbles.</t>
  </si>
  <si>
    <t>Actualización del Sistema Operativo.</t>
  </si>
  <si>
    <t>Ingeniería social.</t>
  </si>
  <si>
    <t>Cookies maliciosas.</t>
  </si>
  <si>
    <t xml:space="preserve">El malware que permite capturar lo que se pulsa por teclado para capturar posibles usuarios y contraseñas, recibe el nombre de:
</t>
  </si>
  <si>
    <t>Keylogger</t>
  </si>
  <si>
    <t>Spyware</t>
  </si>
  <si>
    <t>Clicker</t>
  </si>
  <si>
    <t>Scamp</t>
  </si>
  <si>
    <t xml:space="preserve">El conjunto de software diseñado para evitar y eliminar programas y códigos maliciosos se conoce como:
</t>
  </si>
  <si>
    <t>Firewall</t>
  </si>
  <si>
    <t>Antivirus</t>
  </si>
  <si>
    <t>Analizadores y eliminadores.</t>
  </si>
  <si>
    <t>Sniffers</t>
  </si>
  <si>
    <t xml:space="preserve">Para controlar en Windows los procesos que han sido arrancados automáticamente en el inicio, se utiliza el comando:
</t>
  </si>
  <si>
    <t>Msconfig</t>
  </si>
  <si>
    <t>Netstat</t>
  </si>
  <si>
    <t>Winconfig.</t>
  </si>
  <si>
    <t xml:space="preserve">Qué nombre la suite de herramientas de control de procesos que pone a disposición de los usuarios gratuitamente Microsoft:
</t>
  </si>
  <si>
    <t>Sysinternals.</t>
  </si>
  <si>
    <t>SuiteInternals</t>
  </si>
  <si>
    <t>SuiteStat</t>
  </si>
  <si>
    <t>SysStat</t>
  </si>
  <si>
    <t xml:space="preserve">Un tipo de programa informático malintencionado cuya principal finalidad es hacer creer que un sistema informático está infectado por algún tipo de virus, induciendo a pagar una determinada suma de dinero para eliminarlo es conocido como:
</t>
  </si>
  <si>
    <t>Rogueware</t>
  </si>
  <si>
    <t>Adware</t>
  </si>
  <si>
    <t>Hoax</t>
  </si>
  <si>
    <t>Phising.</t>
  </si>
  <si>
    <t>TEMA 5</t>
  </si>
  <si>
    <t xml:space="preserve">El sistema criptográfico basado en la existencia de dos claves (una pública y una privada) es del tipo:
</t>
  </si>
  <si>
    <t>Hibrido</t>
  </si>
  <si>
    <t>Reversible</t>
  </si>
  <si>
    <t>“La fortaleza de un sistema o algoritmo de cifrado debe recaer en el usuario y no en el sistema”.</t>
  </si>
  <si>
    <t>“La fortaleza de un sistema o algoritmo de cifrado debe recaer en el sistema y no en el usuario”.</t>
  </si>
  <si>
    <t>“La fortaleza de un sistema o algoritmo de cifrado debe recaer en la seguridad de la clave y no en el algoritmo”.</t>
  </si>
  <si>
    <t>“La fortaleza de un sistema o algoritmo de cifrado debe recaer en el algoritmo y no en la clave”.</t>
  </si>
  <si>
    <t xml:space="preserve">Para cifrar datos o particiones, y ocultarlos para garantizar la confidencialidad, en un equipo que trabaja bajo Windows podemos utilizar:
</t>
  </si>
  <si>
    <t>La aplicación TrueCrypt.</t>
  </si>
  <si>
    <t>El comando “encrypt – ruta - nombre de fichero o carpeta /u/c”.</t>
  </si>
  <si>
    <t>La aplicación Encryption Magic.</t>
  </si>
  <si>
    <t>Sistema de encriptación EFS de Windows.</t>
  </si>
  <si>
    <t xml:space="preserve">La firma digital realiza un cifrado del mensaje utilizando: 
</t>
  </si>
  <si>
    <t>La clave privada.</t>
  </si>
  <si>
    <t>Ninguna de las anteriores respuestas es correcta.</t>
  </si>
  <si>
    <t>Las claves privada y pública.</t>
  </si>
  <si>
    <t>La clave pública.</t>
  </si>
  <si>
    <t xml:space="preserve">Con el uso de la firma digital se garantiza: 
</t>
  </si>
  <si>
    <t>Autenticación, integridad y no repudio en origen.</t>
  </si>
  <si>
    <t>Autenticación, integridad y no repudio en destino.</t>
  </si>
  <si>
    <t>Autentificación, integridad y no repudio en origen.</t>
  </si>
  <si>
    <t>Autentificación, integridad y no repudio en destino.</t>
  </si>
  <si>
    <t xml:space="preserve">Un fichero con extensión *.pfx es: 
</t>
  </si>
  <si>
    <t>Un fichero que contiene un certificado digital con clave privada.</t>
  </si>
  <si>
    <t>Un fichero encriptado de Photoshop, con clave pública.</t>
  </si>
  <si>
    <t xml:space="preserve">Un fichero encriptado de cualquier aplicación, con clave privada. </t>
  </si>
  <si>
    <t>Un fichero que contiene un certificado digital con clave pública.</t>
  </si>
  <si>
    <t xml:space="preserve">En España la principal Autoridad de Certificación (CA) es:
</t>
  </si>
  <si>
    <t>El DNIe.</t>
  </si>
  <si>
    <t>AEAT (Ministerio de Hacienda y Administraciones Públicas).</t>
  </si>
  <si>
    <t>CERES (Fábrica Nacional de Moneda y Timbre).</t>
  </si>
  <si>
    <t>El Ministerio del Interior.</t>
  </si>
  <si>
    <t xml:space="preserve">El DNIe tiene un chip que contiene:
</t>
  </si>
  <si>
    <t>Plantilla biométrica con la impresión dactilar.</t>
  </si>
  <si>
    <t>Certificado electrónico para autentificar al ciudadano.</t>
  </si>
  <si>
    <t>Plantilla biométrica y Certificado electrónico.</t>
  </si>
  <si>
    <t>Plantilla biométrica y Certificado electrónico</t>
  </si>
  <si>
    <t xml:space="preserve">Para poder utilizar el DNIe es imprescindible:
</t>
  </si>
  <si>
    <t>Disponer de un lector de tarjetas inteligentes que cumpla el estándar ISO-7816.</t>
  </si>
  <si>
    <t>Disponer de un lector biométrico de huellas digitales.</t>
  </si>
  <si>
    <t>Ser mayor de edad.</t>
  </si>
  <si>
    <t>Conocer el pin</t>
  </si>
  <si>
    <t xml:space="preserve">El proceso de convertir un texto en claro o plano en un criptograma recibe el nombre de:
</t>
  </si>
  <si>
    <t>Cifrado</t>
  </si>
  <si>
    <t>Firmar digitalmente.</t>
  </si>
  <si>
    <t>Certificar digitalmente.</t>
  </si>
  <si>
    <t>Hashear</t>
  </si>
  <si>
    <t xml:space="preserve">TEMA 6 </t>
  </si>
  <si>
    <t xml:space="preserve">Los cuatros grandes grupos en los que se pueden clasificar las amenazas en comunicaciones son:
</t>
  </si>
  <si>
    <t>Interrupción, Interceptación, Modificación y Fabricación.</t>
  </si>
  <si>
    <t>Replicación, Interrupción, Interceptación y Modificación.</t>
  </si>
  <si>
    <t>Interrupción, Interpretación, Modificación y Replicación.</t>
  </si>
  <si>
    <t>Replicación, Interrupción, Interpretación y Modificación.</t>
  </si>
  <si>
    <t xml:space="preserve">Un ataque DoS consiste en: 
</t>
  </si>
  <si>
    <t>Un ataque que consigue una denegación de servicio.</t>
  </si>
  <si>
    <t xml:space="preserve">Rastrear e interceptar, monitorizando el tráfico de una red. </t>
  </si>
  <si>
    <t>Modificar las tablas DNS redirigiendo un nombre de dominio.</t>
  </si>
  <si>
    <t>Suplantar la identidad o realizar una copia o falsificación de IP, MAC, DNS, web o mail.</t>
  </si>
  <si>
    <t xml:space="preserve">Definición de IDS:
</t>
  </si>
  <si>
    <t>Es una herramienta usada para detectar accesos no autorizados a un equipo o a una red.</t>
  </si>
  <si>
    <t>Es una herramienta que no detiene un ataque, que vigila el tráfico de nuestra red pero que no aumenta la seguridad de nuestro sistema.</t>
  </si>
  <si>
    <t>Es una herramienta que detiene un ataque.</t>
  </si>
  <si>
    <t>Es una herramienta que detiene un ataque y alerta al usuario.</t>
  </si>
  <si>
    <t xml:space="preserve">Tipos de sistemas de detección de intrusos:
</t>
  </si>
  <si>
    <t>Host IDS y cortafuegos.</t>
  </si>
  <si>
    <t>IDS y cortafuegos.</t>
  </si>
  <si>
    <t>HIDS y NIDS.</t>
  </si>
  <si>
    <t>Net IDS y cortafuegos.</t>
  </si>
  <si>
    <t xml:space="preserve">¿Dónde deben estar ubicados los IDS?: 
</t>
  </si>
  <si>
    <t>En un CPD.</t>
  </si>
  <si>
    <t>En cada una de las estaciones de trabajo de la red corporativa.</t>
  </si>
  <si>
    <t>Uno delante y otro detrás del firewall perimetral de la red.</t>
  </si>
  <si>
    <t>Es indiferente.</t>
  </si>
  <si>
    <t xml:space="preserve">¿Qué información nos puede proporcionar el comando ntstat?: 
</t>
  </si>
  <si>
    <t>No nos proporciona ninguna información. Es un comando que no existe.</t>
  </si>
  <si>
    <t>Nos muestra si estamos infectados por algún tipo de malware.</t>
  </si>
  <si>
    <t>Es una herramienta que permite identificar las conexiones TCP que están activas en la máqui-na en la que se ejecuta el comando. A su vez, esta herramienta crea una lista con todos los puertos TCP y UDP que están abiertos en el ordenador.</t>
  </si>
  <si>
    <t xml:space="preserve">Nos permite visualizar el estado de los puertos de la máquina en la que se está ejecutando. </t>
  </si>
  <si>
    <t xml:space="preserve">Los protocolos que emplean comunicaciones seguras son:
</t>
  </si>
  <si>
    <t>SSH, SSL, TSL, IPSEC.</t>
  </si>
  <si>
    <t>SSH, SSL, TLS, IPSEC, HTTPS.</t>
  </si>
  <si>
    <t>SSH, SSL, TLS, IPSEC.</t>
  </si>
  <si>
    <t>SSH, SSL, TSL, IPSEC, HTTPS.</t>
  </si>
  <si>
    <t xml:space="preserve">Si necesitamos aplicar una tecnología de red que nos permita la extensión de una red local de forma segura sobre una red pública, como Internet. Es indispensable:
</t>
  </si>
  <si>
    <t>Utilizar el protocolo adecuado.</t>
  </si>
  <si>
    <t>Utilizar una VPN.</t>
  </si>
  <si>
    <t>Tener instalado un antivirus.</t>
  </si>
  <si>
    <t>Una VLCPN.</t>
  </si>
  <si>
    <t xml:space="preserve">El mecanismo de seguridad más robusto en redes inalámbricas es:
</t>
  </si>
  <si>
    <t>WPA2</t>
  </si>
  <si>
    <t>WEP</t>
  </si>
  <si>
    <t>WPA</t>
  </si>
  <si>
    <t>WEP2</t>
  </si>
  <si>
    <t xml:space="preserve">Cuál de los siguientes factores puede comprometer la seguridad de las redes inalámbricas:
</t>
  </si>
  <si>
    <t>Habilitar el DHCP.</t>
  </si>
  <si>
    <t>Tener claves WPA2 complejas.</t>
  </si>
  <si>
    <t>Cambiar el password de administrador por defecto.</t>
  </si>
  <si>
    <t>Cambiar el SSID de fábrica.</t>
  </si>
  <si>
    <t>TEMA  7</t>
  </si>
  <si>
    <t xml:space="preserve">¿En qué consiste la Seguridad Perimetral?:
</t>
  </si>
  <si>
    <t>En implantar una primera línea de defensa entre las redes públicas y redes corporativas o privadas.</t>
  </si>
  <si>
    <t>En implantar una primera línea de defensa entre las conexiones VPN y las redes corporativas o privadas.</t>
  </si>
  <si>
    <t>En configurar perímetros de seguridad en las redes corporativas.</t>
  </si>
  <si>
    <t>En implantar una primera línea de defensa entre las zonas DMZ y las redes corporativas o privadas.</t>
  </si>
  <si>
    <t xml:space="preserve">Los cortafuegos son elementos de:
</t>
  </si>
  <si>
    <t>Pueden ser software y hardware.</t>
  </si>
  <si>
    <t>Hardware</t>
  </si>
  <si>
    <t>Software.</t>
  </si>
  <si>
    <t>Ninguna de las anteriores es correcta.</t>
  </si>
  <si>
    <t xml:space="preserve">Un cliente que se conecta a un proxy, envía peticiones desde el navegador al puerto:
</t>
  </si>
  <si>
    <t xml:space="preserve">Los equipos que tienen instalado software específico de cortafuegos y que trabajan de forma autónoma como firewall, son:
</t>
  </si>
  <si>
    <t>Firewalls autónomos.</t>
  </si>
  <si>
    <t>Firewalls integrados.</t>
  </si>
  <si>
    <t>Firewalls de servidor.</t>
  </si>
  <si>
    <t>Firewalls dedicados.</t>
  </si>
  <si>
    <t xml:space="preserve">Las listas de instrucciones que se aplican al tráfico que viaja a través de una interfaz del router, y que establecen que tipos de paquetes se aceptan o deniegan, son:
</t>
  </si>
  <si>
    <t>ACS</t>
  </si>
  <si>
    <t>ACL</t>
  </si>
  <si>
    <t>ACI</t>
  </si>
  <si>
    <t>ACR</t>
  </si>
  <si>
    <t xml:space="preserve">En una red protegida perimetralmente, un servidor Web debe estar ubicado en: 
</t>
  </si>
  <si>
    <t>La Zona Militarizada.</t>
  </si>
  <si>
    <t>En la Zona Desmilitarizada.</t>
  </si>
  <si>
    <t>En un CPD</t>
  </si>
  <si>
    <t>Es Indiferente</t>
  </si>
  <si>
    <t xml:space="preserve">En un proxy. ¿Cómo se denomina la memoria encargada de almacenar las peticiones de los clientes y las respuestas de los servidores externos?.
</t>
  </si>
  <si>
    <t>RAM</t>
  </si>
  <si>
    <t>INTERMEDIA</t>
  </si>
  <si>
    <t>ROM.</t>
  </si>
  <si>
    <t>CACHE</t>
  </si>
  <si>
    <t xml:space="preserve">Un sistema configurado de manera “invulnerable” debido a su alta exposición y que divide a las redes en confiables y no confiables, recibe el nombre de:
</t>
  </si>
  <si>
    <t>Screening router.</t>
  </si>
  <si>
    <t>Screened Host.</t>
  </si>
  <si>
    <t>Screened-subnet.</t>
  </si>
  <si>
    <t>Bastion-host.</t>
  </si>
  <si>
    <t xml:space="preserve">La integración de servidor proxy y cortafuegos se denomina:
</t>
  </si>
  <si>
    <t>Dual Homed-Host.</t>
  </si>
  <si>
    <t xml:space="preserve">Un equipo que actúa como intermediario a las peticiones externas, capa de seguridad previa, gestión y distribución de carga de las distintas peticiones externas, gestión de SSL o como caché de contenidos estáticos, es un:
</t>
  </si>
  <si>
    <t>Proxy transparente.</t>
  </si>
  <si>
    <t>Firewall inverso</t>
  </si>
  <si>
    <t>Proxy anonimo</t>
  </si>
  <si>
    <t>Proxy inverso</t>
  </si>
  <si>
    <t xml:space="preserve">¿Cuál de las siguientes soluciones de Alta Disponibilidad utiliza el RAID?:
</t>
  </si>
  <si>
    <t xml:space="preserve">Redundancia en dispositivos hardware. </t>
  </si>
  <si>
    <t>Redundancia, distribución y fiabilidad en la gestión de la información.</t>
  </si>
  <si>
    <t xml:space="preserve">Redundancia y distribución en el procesado y comunicaciones. </t>
  </si>
  <si>
    <t xml:space="preserve">Independencia en la administración y configuración de aplicaciones y servicios. </t>
  </si>
  <si>
    <t xml:space="preserve">¿Qué sistema RAID controla paridad?:
</t>
  </si>
  <si>
    <t>Raid 0</t>
  </si>
  <si>
    <t>Raid 1</t>
  </si>
  <si>
    <t>Raid 5</t>
  </si>
  <si>
    <t>Raid 10</t>
  </si>
  <si>
    <t xml:space="preserve">La configuración de red (bajo VMware) que permite crear una red de máquinas virtuales privada, distinta e independiente de la red a la que pertenece la máquina física es: 
</t>
  </si>
  <si>
    <t xml:space="preserve">Host-only. </t>
  </si>
  <si>
    <t>Bridge.</t>
  </si>
  <si>
    <t>NAT</t>
  </si>
  <si>
    <t>Ninguna de las anteriores es correcta</t>
  </si>
  <si>
    <t xml:space="preserve">La administración de los servicios de virtualización (bajo VMware) se suele realizar mediante:
</t>
  </si>
  <si>
    <t>Aplicación de escritorio.</t>
  </si>
  <si>
    <t>Correo electrónico.</t>
  </si>
  <si>
    <t>FTP</t>
  </si>
  <si>
    <t>Servicio web</t>
  </si>
  <si>
    <t xml:space="preserve">El balanceo de carga no permite realizar:
</t>
  </si>
  <si>
    <t>De 4 conexiones a Internet tener 2 conexiones de igual velocidad.</t>
  </si>
  <si>
    <t>De 1 conexión a Internet tener 2 conexiones de igual velocidad.</t>
  </si>
  <si>
    <t>De 2 conexiones a Internet tener 1 sola conexión de velocidades sumadas.</t>
  </si>
  <si>
    <t>Ninguna de las opciones anteriores</t>
  </si>
  <si>
    <t xml:space="preserve">En sistemas Windows podemos realizar balanceo de carga con la aplicación:
</t>
  </si>
  <si>
    <t>VirtualBox.</t>
  </si>
  <si>
    <t>Kerio Winroute.</t>
  </si>
  <si>
    <t>Virtual PC.</t>
  </si>
  <si>
    <t>WinGate</t>
  </si>
  <si>
    <t>El RAID 1 es también conocido como data mirroring.</t>
  </si>
  <si>
    <t>El balanceo de carga se puede realizar exclusivamente mediante software.</t>
  </si>
  <si>
    <t>A los sistemas de máximo nivel de alta disponibilidad se les tolera una inactividad anual de 5 minutos.</t>
  </si>
  <si>
    <t>Bajo sistemas GNU/Linux la aplicación que nos permite monitorizar la actividad de distintas tarjetas de red es Iptraf.</t>
  </si>
  <si>
    <t xml:space="preserve">Para poder ejecutar aplicaciones que no son soportadas por un S. O. Windows montado en un servidor podemos recurrir a:
</t>
  </si>
  <si>
    <t>Ejecución en modo de compatibilidad.</t>
  </si>
  <si>
    <t>Montar un sistema de RAID 1+0.</t>
  </si>
  <si>
    <t>Montar una máquina virtual.</t>
  </si>
  <si>
    <t>Ninguna de las opciones anteriores es correcta.</t>
  </si>
  <si>
    <t xml:space="preserve">Indique cuál de las siguientes soluciones no se puede catalogar como de Alta Disponibilidad:
</t>
  </si>
  <si>
    <t>RAID</t>
  </si>
  <si>
    <t>Fuentes de alimentacion redundantes</t>
  </si>
  <si>
    <t>Uso de firewall perimetrales</t>
  </si>
  <si>
    <t>Balanceador de carga</t>
  </si>
  <si>
    <t xml:space="preserve">El disponer de servidores virtualizados frente a servidores físicos, no supone una ventaja en:
</t>
  </si>
  <si>
    <t>Reducción de costes de explotación.</t>
  </si>
  <si>
    <t>Centralización de tareas de mantenimiento.</t>
  </si>
  <si>
    <t>Posibilidad de crecimiento más flexible.</t>
  </si>
  <si>
    <t>Ahorro en adquisición de licencias de Sistemas Operativos.</t>
  </si>
  <si>
    <t>TEMA 9</t>
  </si>
  <si>
    <t xml:space="preserve">¿En qué año se promulga la LOPD?:
</t>
  </si>
  <si>
    <t xml:space="preserve">Indique cuál de los siguientes datos y archivos no está sujeto a la LOPD:
</t>
  </si>
  <si>
    <t>Archivo con base de datos de software instalado en una red.</t>
  </si>
  <si>
    <t>Ficha de inscripción en papel con datos de un centro polideportivo.</t>
  </si>
  <si>
    <t>Apuntes en papel sobre un cliente en un restaurante.</t>
  </si>
  <si>
    <t>Facturas emitidas con datos de clientes de un taller mecánico.</t>
  </si>
  <si>
    <t xml:space="preserve">La LOPD afecta a ficheros:
</t>
  </si>
  <si>
    <t>Solo en soporte electrónico.</t>
  </si>
  <si>
    <t>Solo en soporte electrónico, alojados en la nube.</t>
  </si>
  <si>
    <t>Tanto en soporte papel como electrónico.</t>
  </si>
  <si>
    <t>Solo en soporte papel.</t>
  </si>
  <si>
    <t xml:space="preserve">El organismo español que regula y supervisa la protección de datos personales en los ficheros de empresa es:
</t>
  </si>
  <si>
    <t>Agencia Española de Protección de Datos (AGPD).</t>
  </si>
  <si>
    <t>Asociación Española de Protección de Datos(AEPD).</t>
  </si>
  <si>
    <t>Agencia Española de Protección Personal (AEPP).</t>
  </si>
  <si>
    <t>Agencia de Protección de Datos Españoles (APDE).</t>
  </si>
  <si>
    <t xml:space="preserve">En caso de solicitud, por parte de una entidad, de datos relativos a salud. Las medidas de seguridad que se deberán adoptar internamente en los ficheros serán de nivel:
</t>
  </si>
  <si>
    <t>Bajo</t>
  </si>
  <si>
    <t>Medio</t>
  </si>
  <si>
    <t>Alto</t>
  </si>
  <si>
    <t>No los puede registrar si no es un centro sanitario.</t>
  </si>
  <si>
    <t xml:space="preserve">¿En qué año se promulga la LSSICE?
</t>
  </si>
  <si>
    <t xml:space="preserve">La LSSICE no regula aspectos como:
</t>
  </si>
  <si>
    <t>La responsabilidad de aquellos prestadores de servicios no nacionales.</t>
  </si>
  <si>
    <t>La información legal sobre los webmaster.</t>
  </si>
  <si>
    <t>La publicidad a través del correo electrónico.</t>
  </si>
  <si>
    <t>El comercio electrónico.</t>
  </si>
  <si>
    <t xml:space="preserve">Indique cuál de los siguientes requisitos debe cumplir una actividad, para que sea considerada como un servicio de la sociedad de la información:
</t>
  </si>
  <si>
    <t>Recibe una contraprestación económica.</t>
  </si>
  <si>
    <t>La actividad se realiza a distancia (no presencial).</t>
  </si>
  <si>
    <t>Se utilizan medios electrónicos o telemáticos.</t>
  </si>
  <si>
    <t>Debe cumplir los tres requisitos anteriores.</t>
  </si>
  <si>
    <t xml:space="preserve">La notificación de ficheros a la AGPG, se puede realizar:
</t>
  </si>
  <si>
    <t>Exclusivamente en “soporte papel”.</t>
  </si>
  <si>
    <t>Exclusivamente por medios telemáticos.</t>
  </si>
  <si>
    <t>Tanto en soporte papel, como por medios telemáticos (si se dispone de certificado digital).</t>
  </si>
  <si>
    <t>Tanto en soporte papel, como por medios telemáticos (sin necesidad de disponer de certificado digital).</t>
  </si>
  <si>
    <t xml:space="preserve">En la LOPD el concepto Tratamiento, hace referencia a:
</t>
  </si>
  <si>
    <t>Conjunto organizado de datos de carácter personal, cualquiera que sea la forma o modalidad de su creación, almacenamiento, organización y acceso.</t>
  </si>
  <si>
    <t>Cualquier información concerniente a personas físicas, identificadas o identificables; es decir, toda información numérica, gráfica, fotográfica, acústica o de cualquier otro tipo susceptible de recogida, tratamiento o transmisión concerniente a una persona física identificada o identificable.</t>
  </si>
  <si>
    <t>Operaciones y procedimientos técnicos de carácter automatizado o no, que permitan la recogida, grabación, conservación, elaboración, modificación, bloqueo y cancelación, así como las cesiones de datos que resulten de comunicaciones, consultas, interconexiones y transferencias.</t>
  </si>
  <si>
    <t>Conjunto organizado de gestiones de carácter personal, cualquiera que sea la forma o modalidad de su creación, almacenamiento, organización y acceso.</t>
  </si>
  <si>
    <r>
      <t xml:space="preserve">Indica que sentencia es </t>
    </r>
    <r>
      <rPr>
        <b/>
        <sz val="12"/>
        <color rgb="FFFF0000"/>
        <rFont val="Calibri"/>
        <family val="2"/>
        <scheme val="minor"/>
      </rPr>
      <t xml:space="preserve">falsa </t>
    </r>
    <r>
      <rPr>
        <sz val="12"/>
        <rFont val="Calibri"/>
        <family val="2"/>
        <scheme val="minor"/>
      </rPr>
      <t>:</t>
    </r>
    <r>
      <rPr>
        <sz val="12"/>
        <color rgb="FF000000"/>
        <rFont val="Calibri"/>
        <family val="2"/>
        <scheme val="minor"/>
      </rPr>
      <t xml:space="preserve">
</t>
    </r>
  </si>
  <si>
    <r>
      <t xml:space="preserve">Una de las siguientes medidas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corresponde a la seguridad lógica:
</t>
    </r>
  </si>
  <si>
    <r>
      <t xml:space="preserve">Indica la afirmación </t>
    </r>
    <r>
      <rPr>
        <b/>
        <sz val="12"/>
        <color rgb="FFFF0000"/>
        <rFont val="Calibri"/>
        <family val="2"/>
        <scheme val="minor"/>
      </rPr>
      <t>verdadera</t>
    </r>
    <r>
      <rPr>
        <sz val="12"/>
        <color rgb="FF000000"/>
        <rFont val="Calibri"/>
        <family val="2"/>
        <scheme val="minor"/>
      </rPr>
      <t xml:space="preserve">
</t>
    </r>
  </si>
  <si>
    <r>
      <t xml:space="preserve">Activando la directiva local de seguridad en sistemas Windows “las contraseñas deben cumplir los requisitos de complejidad”, las contraseñas nuevas o renovadas </t>
    </r>
    <r>
      <rPr>
        <b/>
        <sz val="12"/>
        <color rgb="FFFF0000"/>
        <rFont val="Calibri"/>
        <family val="2"/>
        <scheme val="minor"/>
      </rPr>
      <t>no pueden tener</t>
    </r>
    <r>
      <rPr>
        <sz val="12"/>
        <rFont val="Calibri"/>
        <family val="2"/>
        <scheme val="minor"/>
      </rPr>
      <t xml:space="preserve">:
</t>
    </r>
  </si>
  <si>
    <r>
      <t xml:space="preserve">Indica cuál de los siguientes elementos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rFont val="Calibri"/>
        <family val="2"/>
        <scheme val="minor"/>
      </rPr>
      <t xml:space="preserve"> supone un riesgo de infección por software malicioso:
</t>
    </r>
  </si>
  <si>
    <r>
      <t xml:space="preserve">Indica cuál de las siguientes expresiones es </t>
    </r>
    <r>
      <rPr>
        <b/>
        <sz val="12"/>
        <color rgb="FFFF0000"/>
        <rFont val="Calibri"/>
        <family val="2"/>
        <scheme val="minor"/>
      </rPr>
      <t>verdadera</t>
    </r>
    <r>
      <rPr>
        <sz val="12"/>
        <rFont val="Calibri"/>
        <family val="2"/>
        <scheme val="minor"/>
      </rPr>
      <t xml:space="preserve"> :
</t>
    </r>
  </si>
  <si>
    <r>
      <t xml:space="preserve">Indique cuál es la afirmación </t>
    </r>
    <r>
      <rPr>
        <b/>
        <sz val="12"/>
        <color rgb="FFFF0000"/>
        <rFont val="Calibri"/>
        <family val="2"/>
        <scheme val="minor"/>
      </rPr>
      <t>incorrecta</t>
    </r>
    <r>
      <rPr>
        <sz val="12"/>
        <color theme="1"/>
        <rFont val="Calibri"/>
        <family val="2"/>
        <scheme val="minor"/>
      </rPr>
      <t xml:space="preserve"> : 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</si>
</sst>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</font>
    <font>
      <sz val="16"/>
      <color theme="1"/>
      <name val="Tahoma"/>
    </font>
    <font>
      <b/>
      <sz val="11"/>
      <color theme="1"/>
      <name val="Calibri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</font>
    <font>
      <sz val="11"/>
      <color theme="1"/>
      <name val="Calibri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8" fillId="0" borderId="0">
      <alignment horizontal="center" vertical="center" wrapText="1"/>
    </xf>
  </cellStyleXfs>
  <cellXfs count="15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0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2" fillId="0" borderId="10" xfId="0" applyFont="1" applyFill="1" applyBorder="1" applyProtection="1"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8" fillId="0" borderId="5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4" xfId="0" applyFill="1" applyBorder="1" applyAlignment="1" applyProtection="1">
      <alignment horizontal="center" vertical="center"/>
      <protection locked="0"/>
    </xf>
    <xf numFmtId="0" fontId="12" fillId="0" borderId="4" xfId="0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2" fillId="0" borderId="11" xfId="0" applyFont="1" applyBorder="1" applyProtection="1"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2" fillId="0" borderId="11" xfId="0" applyFont="1" applyFill="1" applyBorder="1" applyProtection="1"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4" fillId="0" borderId="8" xfId="0" applyFont="1" applyFill="1" applyBorder="1" applyAlignment="1" applyProtection="1">
      <alignment horizontal="center"/>
      <protection hidden="1"/>
    </xf>
    <xf numFmtId="0" fontId="12" fillId="0" borderId="10" xfId="0" applyFont="1" applyFill="1" applyBorder="1" applyAlignment="1" applyProtection="1">
      <alignment vertical="center" wrapText="1"/>
      <protection hidden="1"/>
    </xf>
    <xf numFmtId="0" fontId="12" fillId="0" borderId="10" xfId="0" applyFont="1" applyBorder="1" applyProtection="1">
      <protection hidden="1"/>
    </xf>
    <xf numFmtId="0" fontId="12" fillId="0" borderId="11" xfId="0" applyFont="1" applyFill="1" applyBorder="1" applyAlignment="1" applyProtection="1">
      <alignment vertical="center" wrapText="1"/>
      <protection hidden="1"/>
    </xf>
    <xf numFmtId="0" fontId="12" fillId="0" borderId="15" xfId="0" applyFont="1" applyBorder="1" applyProtection="1"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5" fillId="0" borderId="10" xfId="0" applyFont="1" applyFill="1" applyBorder="1" applyProtection="1">
      <protection hidden="1"/>
    </xf>
    <xf numFmtId="0" fontId="15" fillId="0" borderId="11" xfId="0" applyFont="1" applyBorder="1" applyProtection="1">
      <protection hidden="1"/>
    </xf>
    <xf numFmtId="0" fontId="15" fillId="0" borderId="11" xfId="0" applyFont="1" applyFill="1" applyBorder="1" applyProtection="1">
      <protection hidden="1"/>
    </xf>
    <xf numFmtId="0" fontId="15" fillId="0" borderId="11" xfId="0" applyFont="1" applyFill="1" applyBorder="1" applyAlignment="1" applyProtection="1">
      <alignment vertical="center" wrapText="1"/>
      <protection hidden="1"/>
    </xf>
    <xf numFmtId="0" fontId="15" fillId="0" borderId="4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6" fillId="4" borderId="4" xfId="0" applyFont="1" applyFill="1" applyBorder="1" applyAlignment="1">
      <alignment vertical="center"/>
    </xf>
    <xf numFmtId="0" fontId="12" fillId="0" borderId="10" xfId="0" applyFont="1" applyFill="1" applyBorder="1" applyAlignment="1" applyProtection="1">
      <protection hidden="1"/>
    </xf>
    <xf numFmtId="0" fontId="12" fillId="0" borderId="10" xfId="0" applyFont="1" applyFill="1" applyBorder="1" applyAlignment="1" applyProtection="1">
      <alignment wrapText="1"/>
      <protection hidden="1"/>
    </xf>
    <xf numFmtId="0" fontId="12" fillId="0" borderId="11" xfId="0" applyFont="1" applyBorder="1" applyAlignment="1" applyProtection="1">
      <alignment wrapText="1"/>
      <protection hidden="1"/>
    </xf>
    <xf numFmtId="0" fontId="12" fillId="0" borderId="11" xfId="0" applyFont="1" applyBorder="1" applyAlignment="1" applyProtection="1">
      <alignment horizontal="left" wrapText="1"/>
      <protection hidden="1"/>
    </xf>
    <xf numFmtId="0" fontId="12" fillId="4" borderId="0" xfId="0" applyFont="1" applyFill="1" applyBorder="1" applyAlignment="1" applyProtection="1">
      <alignment vertical="center"/>
      <protection hidden="1"/>
    </xf>
    <xf numFmtId="0" fontId="12" fillId="4" borderId="0" xfId="0" applyFont="1" applyFill="1" applyBorder="1" applyAlignment="1" applyProtection="1">
      <protection hidden="1"/>
    </xf>
    <xf numFmtId="0" fontId="15" fillId="0" borderId="11" xfId="0" applyFont="1" applyFill="1" applyBorder="1" applyAlignment="1" applyProtection="1">
      <alignment horizontal="left" wrapText="1"/>
      <protection hidden="1"/>
    </xf>
    <xf numFmtId="0" fontId="12" fillId="4" borderId="0" xfId="0" applyFont="1" applyFill="1" applyBorder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2" fillId="4" borderId="13" xfId="0" applyFont="1" applyFill="1" applyBorder="1" applyAlignment="1" applyProtection="1">
      <protection hidden="1"/>
    </xf>
    <xf numFmtId="0" fontId="12" fillId="0" borderId="10" xfId="0" applyFont="1" applyBorder="1" applyAlignment="1" applyProtection="1">
      <alignment horizontal="left"/>
      <protection hidden="1"/>
    </xf>
    <xf numFmtId="0" fontId="0" fillId="0" borderId="11" xfId="0" applyFont="1" applyFill="1" applyBorder="1" applyAlignment="1" applyProtection="1">
      <alignment horizontal="left" wrapText="1"/>
      <protection hidden="1"/>
    </xf>
    <xf numFmtId="0" fontId="0" fillId="4" borderId="0" xfId="0" applyFill="1" applyBorder="1" applyAlignment="1" applyProtection="1">
      <alignment horizontal="left" vertical="center"/>
      <protection hidden="1"/>
    </xf>
    <xf numFmtId="0" fontId="0" fillId="0" borderId="10" xfId="0" applyFont="1" applyFill="1" applyBorder="1" applyAlignment="1" applyProtection="1">
      <alignment horizontal="left" wrapText="1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12" fillId="4" borderId="0" xfId="0" applyFont="1" applyFill="1" applyBorder="1" applyAlignment="1" applyProtection="1">
      <alignment vertical="top" wrapText="1"/>
      <protection hidden="1"/>
    </xf>
    <xf numFmtId="0" fontId="12" fillId="4" borderId="0" xfId="0" applyFont="1" applyFill="1" applyBorder="1" applyAlignment="1" applyProtection="1">
      <alignment horizontal="left" vertical="top" wrapText="1"/>
      <protection hidden="1"/>
    </xf>
    <xf numFmtId="0" fontId="15" fillId="0" borderId="11" xfId="0" applyFont="1" applyFill="1" applyBorder="1" applyAlignment="1" applyProtection="1">
      <alignment wrapText="1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596</xdr:row>
          <xdr:rowOff>76200</xdr:rowOff>
        </xdr:from>
        <xdr:to>
          <xdr:col>2</xdr:col>
          <xdr:colOff>10563225</xdr:colOff>
          <xdr:row>597</xdr:row>
          <xdr:rowOff>66675</xdr:rowOff>
        </xdr:to>
        <xdr:sp macro="" textlink="">
          <xdr:nvSpPr>
            <xdr:cNvPr id="2071" name="Button 131" descr="Borrar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596</xdr:row>
          <xdr:rowOff>76200</xdr:rowOff>
        </xdr:from>
        <xdr:to>
          <xdr:col>2</xdr:col>
          <xdr:colOff>9877425</xdr:colOff>
          <xdr:row>597</xdr:row>
          <xdr:rowOff>66675</xdr:rowOff>
        </xdr:to>
        <xdr:sp macro="" textlink="">
          <xdr:nvSpPr>
            <xdr:cNvPr id="2072" name="Button 132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599"/>
  <sheetViews>
    <sheetView showGridLines="0" tabSelected="1" zoomScale="120" zoomScaleNormal="12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7" t="s">
        <v>33</v>
      </c>
      <c r="C6" s="149" t="s">
        <v>0</v>
      </c>
      <c r="D6" s="149"/>
      <c r="E6" s="149"/>
      <c r="F6" s="150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8" t="s">
        <v>18</v>
      </c>
      <c r="C7" s="80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9" t="s">
        <v>15</v>
      </c>
      <c r="C8" s="130" t="s">
        <v>35</v>
      </c>
      <c r="D8" s="38"/>
      <c r="E8" s="53" t="s">
        <v>9</v>
      </c>
      <c r="F8" s="25"/>
      <c r="G8" s="17"/>
      <c r="H8" s="19" t="b">
        <f>IF(D8="x",H$2,H$1)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9" t="s">
        <v>15</v>
      </c>
      <c r="C9" s="130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9" t="s">
        <v>15</v>
      </c>
      <c r="C10" s="130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9" t="s">
        <v>15</v>
      </c>
      <c r="C11" s="130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9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8" t="s">
        <v>17</v>
      </c>
      <c r="C13" s="80" t="s">
        <v>466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9" t="s">
        <v>15</v>
      </c>
      <c r="C14" s="130" t="s">
        <v>39</v>
      </c>
      <c r="D14" s="38"/>
      <c r="E14" s="53" t="s">
        <v>9</v>
      </c>
      <c r="F14" s="25"/>
      <c r="G14" s="17"/>
      <c r="H14" s="19" t="b">
        <f>IF(D14="x",H$2,H$1)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9" t="s">
        <v>15</v>
      </c>
      <c r="C15" s="130" t="s">
        <v>40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9" t="s">
        <v>15</v>
      </c>
      <c r="C16" s="130" t="s">
        <v>41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9" t="s">
        <v>15</v>
      </c>
      <c r="C17" s="130" t="s">
        <v>42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9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8" t="s">
        <v>19</v>
      </c>
      <c r="C19" s="80" t="s">
        <v>467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9" t="s">
        <v>15</v>
      </c>
      <c r="C20" s="130" t="s">
        <v>43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9" t="s">
        <v>15</v>
      </c>
      <c r="C21" s="130" t="s">
        <v>44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9" t="s">
        <v>15</v>
      </c>
      <c r="C22" s="130" t="s">
        <v>45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9" t="s">
        <v>15</v>
      </c>
      <c r="C23" s="130" t="s">
        <v>46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9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8" t="s">
        <v>20</v>
      </c>
      <c r="C25" s="80" t="s">
        <v>47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9" t="s">
        <v>15</v>
      </c>
      <c r="C26" s="130" t="s">
        <v>48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9" t="s">
        <v>15</v>
      </c>
      <c r="C27" s="130" t="s">
        <v>49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9" t="s">
        <v>15</v>
      </c>
      <c r="C28" s="130" t="s">
        <v>50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9" t="s">
        <v>15</v>
      </c>
      <c r="C29" s="130" t="s">
        <v>51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9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8" t="s">
        <v>21</v>
      </c>
      <c r="C31" s="80" t="s">
        <v>52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9" t="s">
        <v>15</v>
      </c>
      <c r="C32" s="130" t="s">
        <v>53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9" t="s">
        <v>15</v>
      </c>
      <c r="C33" s="130" t="s">
        <v>54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9" t="s">
        <v>15</v>
      </c>
      <c r="C34" s="130" t="s">
        <v>55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9" t="s">
        <v>15</v>
      </c>
      <c r="C35" s="130" t="s">
        <v>56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9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8" t="s">
        <v>22</v>
      </c>
      <c r="C37" s="80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9" t="s">
        <v>15</v>
      </c>
      <c r="C38" s="13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9" t="s">
        <v>15</v>
      </c>
      <c r="C39" s="13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9" t="s">
        <v>15</v>
      </c>
      <c r="C40" s="13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9" t="s">
        <v>15</v>
      </c>
      <c r="C41" s="130" t="s">
        <v>61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9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8" t="s">
        <v>23</v>
      </c>
      <c r="C43" s="80" t="s">
        <v>62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9" t="s">
        <v>15</v>
      </c>
      <c r="C44" s="130" t="s">
        <v>63</v>
      </c>
      <c r="D44" s="38"/>
      <c r="E44" s="53" t="s">
        <v>9</v>
      </c>
      <c r="F44" s="25"/>
      <c r="G44" s="17"/>
      <c r="H44" s="19" t="b">
        <f>IF(D45="x",H$2,H$1)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9" t="s">
        <v>15</v>
      </c>
      <c r="C45" s="130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9" t="s">
        <v>15</v>
      </c>
      <c r="C46" s="130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9" t="s">
        <v>15</v>
      </c>
      <c r="C47" s="130" t="s">
        <v>66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9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8" t="s">
        <v>24</v>
      </c>
      <c r="C49" s="80" t="s">
        <v>67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9" t="s">
        <v>15</v>
      </c>
      <c r="C50" s="130" t="s">
        <v>68</v>
      </c>
      <c r="D50" s="38"/>
      <c r="E50" s="53" t="s">
        <v>9</v>
      </c>
      <c r="F50" s="25"/>
      <c r="G50" s="17"/>
      <c r="H50" s="19" t="b">
        <f>IF(D50="x",H$2,H$1)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9" t="s">
        <v>15</v>
      </c>
      <c r="C51" s="130" t="s">
        <v>69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9" t="s">
        <v>15</v>
      </c>
      <c r="C52" s="130" t="s">
        <v>70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9" t="s">
        <v>15</v>
      </c>
      <c r="C53" s="130" t="s">
        <v>71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9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8" t="s">
        <v>29</v>
      </c>
      <c r="C55" s="80" t="s">
        <v>72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9" t="s">
        <v>15</v>
      </c>
      <c r="C56" s="130" t="s">
        <v>73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9" t="s">
        <v>15</v>
      </c>
      <c r="C57" s="130" t="s">
        <v>74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9" t="s">
        <v>15</v>
      </c>
      <c r="C58" s="130" t="s">
        <v>75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9" t="s">
        <v>15</v>
      </c>
      <c r="C59" s="130" t="s">
        <v>76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9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8" t="s">
        <v>27</v>
      </c>
      <c r="C61" s="80" t="s">
        <v>77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9" t="s">
        <v>15</v>
      </c>
      <c r="C62" s="130" t="s">
        <v>78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9" t="s">
        <v>15</v>
      </c>
      <c r="C63" s="130" t="s">
        <v>79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9" t="s">
        <v>15</v>
      </c>
      <c r="C64" s="130" t="s">
        <v>80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9" t="s">
        <v>15</v>
      </c>
      <c r="C65" s="130" t="s">
        <v>81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9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1"/>
      <c r="D69" s="151"/>
      <c r="E69" s="15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0" t="s">
        <v>33</v>
      </c>
      <c r="C71" s="149" t="s">
        <v>82</v>
      </c>
      <c r="D71" s="149"/>
      <c r="E71" s="149"/>
      <c r="F71" s="150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8" t="s">
        <v>18</v>
      </c>
      <c r="C72" s="80" t="s">
        <v>83</v>
      </c>
      <c r="D72" s="39"/>
      <c r="E72" s="52"/>
      <c r="F72" s="27"/>
      <c r="G72" s="13"/>
      <c r="H72" s="13"/>
    </row>
    <row r="73" spans="1:40" x14ac:dyDescent="0.25">
      <c r="B73" s="79" t="s">
        <v>15</v>
      </c>
      <c r="C73" s="130" t="s">
        <v>84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9" t="s">
        <v>15</v>
      </c>
      <c r="C74" s="130" t="s">
        <v>85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9" t="s">
        <v>15</v>
      </c>
      <c r="C75" s="130" t="s">
        <v>86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9" t="s">
        <v>15</v>
      </c>
      <c r="C76" s="130" t="s">
        <v>87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6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8" t="s">
        <v>17</v>
      </c>
      <c r="C78" s="80" t="s">
        <v>88</v>
      </c>
      <c r="D78" s="39"/>
      <c r="E78" s="52"/>
      <c r="F78" s="27"/>
      <c r="G78" s="13"/>
      <c r="H78" s="13"/>
    </row>
    <row r="79" spans="1:40" x14ac:dyDescent="0.25">
      <c r="B79" s="79" t="s">
        <v>15</v>
      </c>
      <c r="C79" s="77" t="s">
        <v>89</v>
      </c>
      <c r="D79" s="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9" t="s">
        <v>15</v>
      </c>
      <c r="C80" s="82" t="s">
        <v>90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9" t="s">
        <v>15</v>
      </c>
      <c r="C81" s="82" t="s">
        <v>91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9" t="s">
        <v>15</v>
      </c>
      <c r="C82" s="82" t="s">
        <v>92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6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28"/>
      <c r="B84" s="78" t="s">
        <v>19</v>
      </c>
      <c r="C84" s="80" t="s">
        <v>93</v>
      </c>
      <c r="D84" s="58"/>
      <c r="E84" s="56"/>
      <c r="F84" s="50"/>
      <c r="G84" s="47"/>
      <c r="H84" s="47"/>
    </row>
    <row r="85" spans="1:40" x14ac:dyDescent="0.25">
      <c r="B85" s="79" t="s">
        <v>15</v>
      </c>
      <c r="C85" s="82" t="s">
        <v>94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9" t="s">
        <v>15</v>
      </c>
      <c r="C86" s="82" t="s">
        <v>95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9" t="s">
        <v>15</v>
      </c>
      <c r="C87" s="82" t="s">
        <v>96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9" t="s">
        <v>15</v>
      </c>
      <c r="C88" s="82" t="s">
        <v>97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6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8" t="s">
        <v>20</v>
      </c>
      <c r="C90" s="80" t="s">
        <v>98</v>
      </c>
      <c r="D90" s="39"/>
      <c r="E90" s="52"/>
      <c r="F90" s="27"/>
      <c r="G90" s="13"/>
      <c r="H90" s="13"/>
    </row>
    <row r="91" spans="1:40" x14ac:dyDescent="0.25">
      <c r="B91" s="79" t="s">
        <v>15</v>
      </c>
      <c r="C91" s="82" t="s">
        <v>99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9" t="s">
        <v>15</v>
      </c>
      <c r="C92" s="82" t="s">
        <v>100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9" t="s">
        <v>15</v>
      </c>
      <c r="C93" s="82" t="s">
        <v>101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9" t="s">
        <v>15</v>
      </c>
      <c r="C94" s="82" t="s">
        <v>102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6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8" t="s">
        <v>21</v>
      </c>
      <c r="C96" s="80" t="s">
        <v>103</v>
      </c>
      <c r="D96" s="39"/>
      <c r="E96" s="52"/>
      <c r="F96" s="27"/>
      <c r="G96" s="13"/>
      <c r="H96" s="13"/>
    </row>
    <row r="97" spans="1:40" x14ac:dyDescent="0.25">
      <c r="B97" s="79" t="s">
        <v>15</v>
      </c>
      <c r="C97" s="62" t="s">
        <v>104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9" t="s">
        <v>15</v>
      </c>
      <c r="C98" s="62" t="s">
        <v>105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9" t="s">
        <v>15</v>
      </c>
      <c r="C99" s="82" t="s">
        <v>106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9" t="s">
        <v>15</v>
      </c>
      <c r="C100" s="82" t="s">
        <v>107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6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8" t="s">
        <v>22</v>
      </c>
      <c r="C102" s="80" t="s">
        <v>468</v>
      </c>
      <c r="D102" s="39"/>
      <c r="E102" s="52"/>
      <c r="F102" s="27"/>
      <c r="G102" s="13"/>
      <c r="H102" s="13"/>
    </row>
    <row r="103" spans="1:40" x14ac:dyDescent="0.25">
      <c r="B103" s="79" t="s">
        <v>15</v>
      </c>
      <c r="C103" s="62" t="s">
        <v>108</v>
      </c>
      <c r="D103" s="38"/>
      <c r="E103" s="53" t="s">
        <v>9</v>
      </c>
      <c r="F103" s="25"/>
      <c r="G103" s="17"/>
      <c r="H103" s="19" t="b">
        <f>IF(D105="x",H$2,H$1)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9" t="s">
        <v>15</v>
      </c>
      <c r="C104" s="62" t="s">
        <v>109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9" t="s">
        <v>15</v>
      </c>
      <c r="C105" s="62" t="s">
        <v>110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9" t="s">
        <v>15</v>
      </c>
      <c r="C106" s="62" t="s">
        <v>111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6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8" t="s">
        <v>23</v>
      </c>
      <c r="C108" s="80" t="s">
        <v>112</v>
      </c>
      <c r="D108" s="39"/>
      <c r="E108" s="52"/>
      <c r="F108" s="27"/>
      <c r="G108" s="13"/>
      <c r="H108" s="13"/>
    </row>
    <row r="109" spans="1:40" x14ac:dyDescent="0.25">
      <c r="B109" s="79" t="s">
        <v>15</v>
      </c>
      <c r="C109" s="82" t="s">
        <v>114</v>
      </c>
      <c r="D109" s="38"/>
      <c r="E109" s="1" t="s">
        <v>9</v>
      </c>
      <c r="F109" s="25"/>
      <c r="G109" s="17"/>
      <c r="H109" s="19" t="b">
        <f>IF(D110="x",H$2,H$1)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9" t="s">
        <v>15</v>
      </c>
      <c r="C110" s="82" t="s">
        <v>113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9" t="s">
        <v>15</v>
      </c>
      <c r="C111" s="82" t="s">
        <v>115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9" t="s">
        <v>15</v>
      </c>
      <c r="C112" s="82" t="s">
        <v>116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94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8" t="s">
        <v>24</v>
      </c>
      <c r="C114" s="80" t="s">
        <v>117</v>
      </c>
      <c r="D114" s="39"/>
      <c r="E114" s="52"/>
      <c r="F114" s="27"/>
      <c r="G114" s="13"/>
      <c r="H114" s="13"/>
    </row>
    <row r="115" spans="1:40" x14ac:dyDescent="0.25">
      <c r="B115" s="79" t="s">
        <v>15</v>
      </c>
      <c r="C115" s="62" t="s">
        <v>118</v>
      </c>
      <c r="D115" s="38"/>
      <c r="E115" s="53" t="s">
        <v>9</v>
      </c>
      <c r="F115" s="25"/>
      <c r="G115" s="17"/>
      <c r="H115" s="19" t="b">
        <f>IF(D115="x",H$2,H$1)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9" t="s">
        <v>15</v>
      </c>
      <c r="C116" s="82" t="s">
        <v>119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9" t="s">
        <v>15</v>
      </c>
      <c r="C117" s="82" t="s">
        <v>120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9" t="s">
        <v>15</v>
      </c>
      <c r="C118" s="82" t="s">
        <v>121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6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78" t="s">
        <v>25</v>
      </c>
      <c r="C120" s="80" t="s">
        <v>122</v>
      </c>
      <c r="D120" s="39"/>
      <c r="E120" s="52"/>
      <c r="F120" s="27"/>
      <c r="G120" s="13"/>
      <c r="H120" s="13"/>
    </row>
    <row r="121" spans="1:40" x14ac:dyDescent="0.25">
      <c r="B121" s="79" t="s">
        <v>15</v>
      </c>
      <c r="C121" s="62" t="s">
        <v>123</v>
      </c>
      <c r="D121" s="38"/>
      <c r="E121" s="53" t="s">
        <v>9</v>
      </c>
      <c r="F121" s="25"/>
      <c r="G121" s="17"/>
      <c r="H121" s="19" t="b">
        <f>IF(D124="x",H$2,H$1)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9" t="s">
        <v>15</v>
      </c>
      <c r="C122" s="82" t="s">
        <v>124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9" t="s">
        <v>15</v>
      </c>
      <c r="C123" s="82" t="s">
        <v>125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9" t="s">
        <v>15</v>
      </c>
      <c r="C124" s="82" t="s">
        <v>126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6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78" t="s">
        <v>26</v>
      </c>
      <c r="C126" s="80" t="s">
        <v>127</v>
      </c>
      <c r="D126" s="39"/>
      <c r="E126" s="52"/>
      <c r="F126" s="27"/>
      <c r="G126" s="26"/>
      <c r="H126" s="13"/>
    </row>
    <row r="127" spans="1:40" x14ac:dyDescent="0.25">
      <c r="B127" s="79" t="s">
        <v>15</v>
      </c>
      <c r="C127" s="62" t="s">
        <v>129</v>
      </c>
      <c r="D127" s="38"/>
      <c r="E127" s="53" t="s">
        <v>9</v>
      </c>
      <c r="F127" s="25"/>
      <c r="G127" s="24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9" t="s">
        <v>15</v>
      </c>
      <c r="C128" s="82" t="s">
        <v>130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9" t="s">
        <v>15</v>
      </c>
      <c r="C129" s="82" t="s">
        <v>131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t="31.5" x14ac:dyDescent="0.25">
      <c r="B130" s="79" t="s">
        <v>15</v>
      </c>
      <c r="C130" s="152" t="s">
        <v>128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41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0" t="s">
        <v>33</v>
      </c>
      <c r="C136" s="149" t="s">
        <v>132</v>
      </c>
      <c r="D136" s="149"/>
      <c r="E136" s="149"/>
      <c r="F136" s="150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28"/>
      <c r="B137" s="78" t="s">
        <v>18</v>
      </c>
      <c r="C137" s="80" t="s">
        <v>133</v>
      </c>
      <c r="D137" s="68"/>
      <c r="E137" s="47"/>
      <c r="F137" s="69"/>
      <c r="G137" s="47"/>
      <c r="H137" s="47"/>
    </row>
    <row r="138" spans="1:40" x14ac:dyDescent="0.25">
      <c r="B138" s="79" t="s">
        <v>15</v>
      </c>
      <c r="C138" s="82" t="s">
        <v>134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9" t="s">
        <v>15</v>
      </c>
      <c r="C139" s="82" t="s">
        <v>135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9" t="s">
        <v>15</v>
      </c>
      <c r="C140" s="82" t="s">
        <v>136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9" t="s">
        <v>15</v>
      </c>
      <c r="C141" s="82" t="s">
        <v>137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64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6"/>
      <c r="C143" s="77"/>
      <c r="D143" s="48"/>
      <c r="E143" s="53"/>
      <c r="F143" s="25"/>
      <c r="G143" s="17"/>
      <c r="H143" s="17"/>
    </row>
    <row r="144" spans="1:40" x14ac:dyDescent="0.25">
      <c r="B144" s="78" t="s">
        <v>17</v>
      </c>
      <c r="C144" s="80" t="s">
        <v>138</v>
      </c>
      <c r="D144" s="68"/>
      <c r="E144" s="68"/>
      <c r="F144" s="69"/>
      <c r="G144" s="17"/>
      <c r="H144" s="19" t="b">
        <f>IF(D148="x",H$2,H$1)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9" t="s">
        <v>15</v>
      </c>
      <c r="C145" s="82" t="s">
        <v>139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9" t="s">
        <v>15</v>
      </c>
      <c r="C146" s="82" t="s">
        <v>141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9" t="s">
        <v>15</v>
      </c>
      <c r="C147" s="82" t="s">
        <v>140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9" t="s">
        <v>15</v>
      </c>
      <c r="C148" s="82" t="s">
        <v>142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28"/>
      <c r="B149" s="78" t="s">
        <v>19</v>
      </c>
      <c r="C149" s="80" t="s">
        <v>143</v>
      </c>
      <c r="D149" s="75"/>
      <c r="E149" s="52"/>
      <c r="F149" s="27"/>
      <c r="G149" s="13"/>
      <c r="H149" s="13"/>
    </row>
    <row r="150" spans="1:40" x14ac:dyDescent="0.25">
      <c r="B150" s="79" t="s">
        <v>15</v>
      </c>
      <c r="C150" s="82" t="s">
        <v>144</v>
      </c>
      <c r="D150" s="38"/>
      <c r="E150" s="53" t="s">
        <v>9</v>
      </c>
      <c r="F150" s="25"/>
      <c r="G150" s="17"/>
      <c r="H150" s="19" t="b">
        <f>IF(D152="x",H$2,H$1)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9" t="s">
        <v>15</v>
      </c>
      <c r="C151" s="132" t="s">
        <v>145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9" t="s">
        <v>15</v>
      </c>
      <c r="C152" s="77" t="s">
        <v>146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9" t="s">
        <v>15</v>
      </c>
      <c r="C153" s="82" t="s">
        <v>147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6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8" t="s">
        <v>20</v>
      </c>
      <c r="C155" s="80" t="s">
        <v>148</v>
      </c>
      <c r="D155" s="75"/>
      <c r="E155" s="52"/>
      <c r="F155" s="27"/>
      <c r="G155" s="13"/>
      <c r="H155" s="13"/>
    </row>
    <row r="156" spans="1:40" x14ac:dyDescent="0.25">
      <c r="B156" s="79" t="s">
        <v>15</v>
      </c>
      <c r="C156" s="132" t="s">
        <v>149</v>
      </c>
      <c r="D156" s="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9" t="s">
        <v>15</v>
      </c>
      <c r="C157" s="82" t="s">
        <v>150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9" t="s">
        <v>15</v>
      </c>
      <c r="C158" s="82" t="s">
        <v>151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9" t="s">
        <v>15</v>
      </c>
      <c r="C159" s="82" t="s">
        <v>152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6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9" t="s">
        <v>21</v>
      </c>
      <c r="C161" s="134" t="s">
        <v>153</v>
      </c>
      <c r="D161" s="75"/>
      <c r="E161" s="52"/>
      <c r="F161" s="27"/>
      <c r="G161" s="13"/>
      <c r="H161" s="13"/>
    </row>
    <row r="162" spans="1:40" x14ac:dyDescent="0.25">
      <c r="B162" s="79" t="s">
        <v>15</v>
      </c>
      <c r="C162" s="62" t="s">
        <v>154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9" t="s">
        <v>15</v>
      </c>
      <c r="C163" s="82" t="s">
        <v>155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9" t="s">
        <v>15</v>
      </c>
      <c r="C164" s="82" t="s">
        <v>156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9" t="s">
        <v>15</v>
      </c>
      <c r="C165" s="82" t="s">
        <v>157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3"/>
      <c r="C166" s="6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4.25" customHeight="1" x14ac:dyDescent="0.25">
      <c r="A167" s="4"/>
      <c r="B167" s="129" t="s">
        <v>22</v>
      </c>
      <c r="C167" s="154" t="s">
        <v>469</v>
      </c>
      <c r="D167" s="75"/>
      <c r="E167" s="52"/>
      <c r="F167" s="27"/>
      <c r="G167" s="13"/>
      <c r="H167" s="13"/>
    </row>
    <row r="168" spans="1:40" x14ac:dyDescent="0.25">
      <c r="B168" s="79" t="s">
        <v>15</v>
      </c>
      <c r="C168" s="62" t="s">
        <v>158</v>
      </c>
      <c r="D168" s="38"/>
      <c r="E168" s="53" t="s">
        <v>9</v>
      </c>
      <c r="F168" s="25"/>
      <c r="G168" s="17"/>
      <c r="H168" s="19" t="b">
        <f>IF(D169="x",H$2,H$1)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9" t="s">
        <v>15</v>
      </c>
      <c r="C169" s="82" t="s">
        <v>159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9" t="s">
        <v>15</v>
      </c>
      <c r="C170" s="82" t="s">
        <v>160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9" t="s">
        <v>15</v>
      </c>
      <c r="C171" s="82" t="s">
        <v>161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6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9" t="s">
        <v>23</v>
      </c>
      <c r="C173" s="134" t="s">
        <v>162</v>
      </c>
      <c r="D173" s="75"/>
      <c r="E173" s="52"/>
      <c r="F173" s="27"/>
      <c r="G173" s="13"/>
      <c r="H173" s="13"/>
    </row>
    <row r="174" spans="1:40" s="34" customFormat="1" x14ac:dyDescent="0.25">
      <c r="A174" s="4"/>
      <c r="B174" s="79" t="s">
        <v>15</v>
      </c>
      <c r="C174" s="131" t="s">
        <v>164</v>
      </c>
      <c r="D174" s="38"/>
      <c r="E174" s="53" t="s">
        <v>9</v>
      </c>
      <c r="F174" s="25"/>
      <c r="G174" s="17"/>
      <c r="H174" s="19" t="b">
        <f>IF(D175="x",H$2,H$1)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9" t="s">
        <v>15</v>
      </c>
      <c r="C175" s="82" t="s">
        <v>163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9" t="s">
        <v>15</v>
      </c>
      <c r="C176" s="132" t="s">
        <v>165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9" t="s">
        <v>15</v>
      </c>
      <c r="C177" s="82" t="s">
        <v>166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6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9" t="s">
        <v>24</v>
      </c>
      <c r="C179" s="134" t="s">
        <v>167</v>
      </c>
      <c r="D179" s="39"/>
      <c r="E179" s="52"/>
      <c r="F179" s="27"/>
      <c r="G179" s="13"/>
      <c r="H179" s="13"/>
    </row>
    <row r="180" spans="1:40" x14ac:dyDescent="0.25">
      <c r="B180" s="79" t="s">
        <v>15</v>
      </c>
      <c r="C180" s="62" t="s">
        <v>168</v>
      </c>
      <c r="D180" s="38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9" t="s">
        <v>15</v>
      </c>
      <c r="C181" s="82" t="s">
        <v>169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9" t="s">
        <v>15</v>
      </c>
      <c r="C182" s="82" t="s">
        <v>170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9" t="s">
        <v>15</v>
      </c>
      <c r="C183" s="82" t="s">
        <v>171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6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ht="15" customHeight="1" x14ac:dyDescent="0.25">
      <c r="A185" s="4"/>
      <c r="B185" s="129" t="s">
        <v>25</v>
      </c>
      <c r="C185" s="153" t="s">
        <v>172</v>
      </c>
      <c r="D185" s="39"/>
      <c r="E185" s="52"/>
      <c r="F185" s="27"/>
      <c r="G185" s="13"/>
      <c r="H185" s="13"/>
    </row>
    <row r="186" spans="1:40" x14ac:dyDescent="0.25">
      <c r="B186" s="79" t="s">
        <v>15</v>
      </c>
      <c r="C186" s="62" t="s">
        <v>173</v>
      </c>
      <c r="D186" s="38"/>
      <c r="E186" s="53" t="s">
        <v>9</v>
      </c>
      <c r="F186" s="25"/>
      <c r="G186" s="17"/>
      <c r="H186" s="19" t="b">
        <f>IF(D189="x",H$2,H$1)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9" t="s">
        <v>15</v>
      </c>
      <c r="C187" s="132" t="s">
        <v>174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9" t="s">
        <v>15</v>
      </c>
      <c r="C188" s="133" t="s">
        <v>175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9" t="s">
        <v>15</v>
      </c>
      <c r="C189" s="82" t="s">
        <v>176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6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9" t="s">
        <v>27</v>
      </c>
      <c r="C191" s="134" t="s">
        <v>177</v>
      </c>
      <c r="D191" s="39"/>
      <c r="E191" s="52"/>
      <c r="F191" s="27"/>
      <c r="G191" s="26"/>
      <c r="H191" s="13"/>
    </row>
    <row r="192" spans="1:40" x14ac:dyDescent="0.25">
      <c r="B192" s="79" t="s">
        <v>15</v>
      </c>
      <c r="C192" s="130" t="s">
        <v>181</v>
      </c>
      <c r="D192" s="38"/>
      <c r="E192" s="53" t="s">
        <v>9</v>
      </c>
      <c r="F192" s="25"/>
      <c r="G192" s="24"/>
      <c r="H192" s="19" t="b">
        <f>IF(D194="x",H$2,H$1)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9" t="s">
        <v>15</v>
      </c>
      <c r="C193" s="82" t="s">
        <v>180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9" t="s">
        <v>15</v>
      </c>
      <c r="C194" t="s">
        <v>178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9" t="s">
        <v>15</v>
      </c>
      <c r="C195" s="82" t="s">
        <v>179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8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41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0" t="s">
        <v>33</v>
      </c>
      <c r="C201" s="142" t="s">
        <v>182</v>
      </c>
      <c r="D201" s="142"/>
      <c r="E201" s="142"/>
      <c r="F201" s="143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9" t="s">
        <v>18</v>
      </c>
      <c r="C202" s="134" t="s">
        <v>183</v>
      </c>
      <c r="D202" s="39"/>
      <c r="E202" s="52"/>
      <c r="F202" s="27"/>
      <c r="G202" s="13"/>
      <c r="H202" s="13"/>
    </row>
    <row r="203" spans="1:40" x14ac:dyDescent="0.25">
      <c r="B203" s="79" t="s">
        <v>15</v>
      </c>
      <c r="C203" s="130" t="s">
        <v>185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9" t="s">
        <v>15</v>
      </c>
      <c r="C204" s="82" t="s">
        <v>186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9" t="s">
        <v>15</v>
      </c>
      <c r="C205" t="s">
        <v>184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9" t="s">
        <v>15</v>
      </c>
      <c r="C206" s="82" t="s">
        <v>187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6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9" t="s">
        <v>28</v>
      </c>
      <c r="C208" s="134" t="s">
        <v>188</v>
      </c>
      <c r="D208" s="39"/>
      <c r="E208" s="52"/>
      <c r="F208" s="27"/>
      <c r="G208" s="13"/>
      <c r="H208" s="13"/>
    </row>
    <row r="209" spans="1:40" x14ac:dyDescent="0.25">
      <c r="B209" s="79" t="s">
        <v>15</v>
      </c>
      <c r="C209" s="130" t="s">
        <v>189</v>
      </c>
      <c r="D209" s="38"/>
      <c r="E209" s="53" t="s">
        <v>9</v>
      </c>
      <c r="F209" s="25"/>
      <c r="G209" s="17"/>
      <c r="H209" s="19" t="b">
        <f>IF(D211="x",H$2,H$1)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9" t="s">
        <v>15</v>
      </c>
      <c r="C210" s="82" t="s">
        <v>190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9" t="s">
        <v>15</v>
      </c>
      <c r="C211" s="77" t="s">
        <v>191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9" t="s">
        <v>15</v>
      </c>
      <c r="C212" s="82" t="s">
        <v>192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6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9" t="s">
        <v>19</v>
      </c>
      <c r="C214" s="134" t="s">
        <v>193</v>
      </c>
      <c r="D214" s="39"/>
      <c r="E214" s="52"/>
      <c r="F214" s="27"/>
      <c r="G214" s="13"/>
      <c r="H214" s="13"/>
    </row>
    <row r="215" spans="1:40" x14ac:dyDescent="0.25">
      <c r="B215" s="79" t="s">
        <v>15</v>
      </c>
      <c r="C215" s="130" t="s">
        <v>194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9" t="s">
        <v>15</v>
      </c>
      <c r="C216" s="82" t="s">
        <v>195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9" t="s">
        <v>15</v>
      </c>
      <c r="C217" s="77" t="s">
        <v>196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9" t="s">
        <v>15</v>
      </c>
      <c r="C218" s="82" t="s">
        <v>197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6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9" t="s">
        <v>20</v>
      </c>
      <c r="C220" s="134" t="s">
        <v>198</v>
      </c>
      <c r="D220" s="39"/>
      <c r="E220" s="52"/>
      <c r="F220" s="27"/>
      <c r="G220" s="13"/>
      <c r="H220" s="13"/>
    </row>
    <row r="221" spans="1:40" x14ac:dyDescent="0.25">
      <c r="B221" s="79" t="s">
        <v>15</v>
      </c>
      <c r="C221" s="130" t="s">
        <v>199</v>
      </c>
      <c r="D221" s="38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9" t="s">
        <v>15</v>
      </c>
      <c r="C222" s="82" t="s">
        <v>200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9" t="s">
        <v>15</v>
      </c>
      <c r="C223" s="77" t="s">
        <v>201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9" t="s">
        <v>15</v>
      </c>
      <c r="C224" s="132" t="s">
        <v>202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6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9" t="s">
        <v>21</v>
      </c>
      <c r="C226" s="134" t="s">
        <v>470</v>
      </c>
      <c r="D226" s="39"/>
      <c r="E226" s="52"/>
      <c r="F226" s="27"/>
      <c r="G226" s="13"/>
      <c r="H226" s="13"/>
    </row>
    <row r="227" spans="1:40" x14ac:dyDescent="0.25">
      <c r="B227" s="79" t="s">
        <v>15</v>
      </c>
      <c r="C227" s="130" t="s">
        <v>203</v>
      </c>
      <c r="D227" s="38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9" t="s">
        <v>15</v>
      </c>
      <c r="C228" s="82" t="s">
        <v>204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9" t="s">
        <v>15</v>
      </c>
      <c r="C229" s="77" t="s">
        <v>205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9" t="s">
        <v>15</v>
      </c>
      <c r="C230" s="82" t="s">
        <v>206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6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9" t="s">
        <v>22</v>
      </c>
      <c r="C232" s="134" t="s">
        <v>207</v>
      </c>
      <c r="D232" s="39"/>
      <c r="E232" s="52"/>
      <c r="F232" s="27"/>
      <c r="G232" s="13"/>
      <c r="H232" s="13"/>
    </row>
    <row r="233" spans="1:40" x14ac:dyDescent="0.25">
      <c r="B233" s="79" t="s">
        <v>15</v>
      </c>
      <c r="C233" s="130" t="s">
        <v>209</v>
      </c>
      <c r="D233" s="38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9" t="s">
        <v>15</v>
      </c>
      <c r="C234" s="82" t="s">
        <v>208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9" t="s">
        <v>15</v>
      </c>
      <c r="C235" s="77" t="s">
        <v>210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9" t="s">
        <v>15</v>
      </c>
      <c r="C236" s="82" t="s">
        <v>211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6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9" t="s">
        <v>23</v>
      </c>
      <c r="C238" s="134" t="s">
        <v>212</v>
      </c>
      <c r="D238" s="39"/>
      <c r="E238" s="52"/>
      <c r="F238" s="27"/>
      <c r="G238" s="13"/>
      <c r="H238" s="13"/>
    </row>
    <row r="239" spans="1:40" x14ac:dyDescent="0.25">
      <c r="B239" s="79" t="s">
        <v>15</v>
      </c>
      <c r="C239" s="130" t="s">
        <v>213</v>
      </c>
      <c r="D239" s="38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9" t="s">
        <v>15</v>
      </c>
      <c r="C240" s="82" t="s">
        <v>215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9" t="s">
        <v>15</v>
      </c>
      <c r="C241" s="77" t="s">
        <v>214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9" t="s">
        <v>15</v>
      </c>
      <c r="C242" s="82" t="s">
        <v>216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6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9" t="s">
        <v>24</v>
      </c>
      <c r="C244" s="134" t="s">
        <v>217</v>
      </c>
      <c r="D244" s="39"/>
      <c r="E244" s="52"/>
      <c r="F244" s="27"/>
      <c r="G244" s="13"/>
      <c r="H244" s="13"/>
    </row>
    <row r="245" spans="1:40" x14ac:dyDescent="0.25">
      <c r="B245" s="79" t="s">
        <v>15</v>
      </c>
      <c r="C245" s="62" t="s">
        <v>219</v>
      </c>
      <c r="D245" s="38"/>
      <c r="E245" s="53" t="s">
        <v>9</v>
      </c>
      <c r="F245" s="25"/>
      <c r="G245" s="17"/>
      <c r="H245" s="19" t="b">
        <f>IF(D248="x",H$2,H$1)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9" t="s">
        <v>15</v>
      </c>
      <c r="C246" s="82" t="s">
        <v>99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9" t="s">
        <v>15</v>
      </c>
      <c r="C247" s="82" t="s">
        <v>220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9" t="s">
        <v>15</v>
      </c>
      <c r="C248" s="82" t="s">
        <v>218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6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9" t="s">
        <v>29</v>
      </c>
      <c r="C250" s="134" t="s">
        <v>221</v>
      </c>
      <c r="D250" s="39"/>
      <c r="E250" s="52"/>
      <c r="F250" s="27"/>
      <c r="G250" s="13"/>
      <c r="H250" s="13"/>
    </row>
    <row r="251" spans="1:40" x14ac:dyDescent="0.25">
      <c r="B251" s="79" t="s">
        <v>15</v>
      </c>
      <c r="C251" s="62" t="s">
        <v>222</v>
      </c>
      <c r="D251" s="38"/>
      <c r="E251" s="53" t="s">
        <v>9</v>
      </c>
      <c r="F251" s="25"/>
      <c r="G251" s="17"/>
      <c r="H251" s="19" t="b">
        <f>IF(D251="x",H$2,H$1)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9" t="s">
        <v>15</v>
      </c>
      <c r="C252" s="82" t="s">
        <v>223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9" t="s">
        <v>15</v>
      </c>
      <c r="C253" s="82" t="s">
        <v>224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9" t="s">
        <v>15</v>
      </c>
      <c r="C254" s="82" t="s">
        <v>225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6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29" t="s">
        <v>27</v>
      </c>
      <c r="C256" s="154" t="s">
        <v>226</v>
      </c>
      <c r="D256" s="39"/>
      <c r="E256" s="52"/>
      <c r="F256" s="27"/>
      <c r="G256" s="26"/>
      <c r="H256" s="13"/>
    </row>
    <row r="257" spans="1:40" x14ac:dyDescent="0.25">
      <c r="B257" s="79" t="s">
        <v>15</v>
      </c>
      <c r="C257" s="62" t="s">
        <v>227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9" t="s">
        <v>15</v>
      </c>
      <c r="C258" s="82" t="s">
        <v>228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9" t="s">
        <v>15</v>
      </c>
      <c r="C259" s="82" t="s">
        <v>229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9" t="s">
        <v>15</v>
      </c>
      <c r="C260" s="82" t="s">
        <v>230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6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41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7"/>
      <c r="C266" s="84"/>
      <c r="D266" s="85"/>
      <c r="E266" s="85"/>
      <c r="F266" s="85"/>
    </row>
    <row r="267" spans="1:40" s="4" customFormat="1" ht="16.5" hidden="1" thickBot="1" x14ac:dyDescent="0.3">
      <c r="B267" s="17"/>
      <c r="C267" s="17"/>
      <c r="D267" s="48"/>
      <c r="E267" s="53"/>
      <c r="F267" s="88"/>
      <c r="G267" s="17"/>
      <c r="H267" s="17"/>
    </row>
    <row r="268" spans="1:40" s="4" customFormat="1" ht="16.5" hidden="1" thickBot="1" x14ac:dyDescent="0.3">
      <c r="B268" s="89"/>
      <c r="C268" s="16"/>
      <c r="D268" s="48"/>
      <c r="E268" s="53"/>
      <c r="F268" s="88"/>
      <c r="G268" s="17"/>
      <c r="H268" s="86"/>
    </row>
    <row r="269" spans="1:40" s="71" customFormat="1" ht="14.1" hidden="1" customHeight="1" thickBot="1" x14ac:dyDescent="0.3">
      <c r="B269" s="90"/>
      <c r="C269" s="90"/>
      <c r="D269" s="91"/>
      <c r="E269" s="92"/>
      <c r="F269" s="93"/>
      <c r="G269" s="70"/>
      <c r="H269" s="86"/>
    </row>
    <row r="270" spans="1:40" s="15" customFormat="1" ht="29.1" customHeight="1" x14ac:dyDescent="0.45">
      <c r="A270" s="4"/>
      <c r="B270" s="60" t="s">
        <v>33</v>
      </c>
      <c r="C270" s="142" t="s">
        <v>231</v>
      </c>
      <c r="D270" s="61"/>
      <c r="E270" s="61"/>
      <c r="F270" s="83"/>
      <c r="G270" s="17"/>
      <c r="H270" s="96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9" t="s">
        <v>18</v>
      </c>
      <c r="C271" s="134" t="s">
        <v>232</v>
      </c>
      <c r="D271" s="39"/>
      <c r="E271" s="52"/>
      <c r="F271" s="27"/>
      <c r="G271" s="17"/>
      <c r="H271" s="86" t="b">
        <f>IF(D275="x",H$2,H$1)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9" t="s">
        <v>15</v>
      </c>
      <c r="C272" s="82" t="s">
        <v>74</v>
      </c>
      <c r="D272" s="100"/>
      <c r="E272" s="103" t="s">
        <v>9</v>
      </c>
      <c r="F272" s="102" t="str">
        <f>IF(H273=1,IF(H271=H$2,H271,""),"")</f>
        <v/>
      </c>
      <c r="G272" s="17"/>
      <c r="H272" s="86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9" t="s">
        <v>15</v>
      </c>
      <c r="C273" s="82" t="s">
        <v>233</v>
      </c>
      <c r="D273" s="100"/>
      <c r="E273" s="103" t="s">
        <v>10</v>
      </c>
      <c r="F273" s="104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9" t="s">
        <v>15</v>
      </c>
      <c r="C274" s="82" t="s">
        <v>234</v>
      </c>
      <c r="D274" s="100"/>
      <c r="E274" s="103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9" t="s">
        <v>15</v>
      </c>
      <c r="C275" s="82" t="s">
        <v>73</v>
      </c>
      <c r="D275" s="100"/>
      <c r="E275" s="103" t="s">
        <v>12</v>
      </c>
      <c r="F275" s="105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9"/>
      <c r="C276" s="82"/>
      <c r="D276" s="100"/>
      <c r="E276" s="103" t="s">
        <v>13</v>
      </c>
      <c r="F276" s="105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9" t="s">
        <v>17</v>
      </c>
      <c r="C277" s="134" t="s">
        <v>471</v>
      </c>
      <c r="D277" s="39"/>
      <c r="E277" s="52"/>
      <c r="F277" s="27"/>
      <c r="G277" s="13"/>
      <c r="H277" s="13"/>
    </row>
    <row r="278" spans="1:40" x14ac:dyDescent="0.25">
      <c r="B278" s="79" t="s">
        <v>15</v>
      </c>
      <c r="C278" s="82" t="s">
        <v>235</v>
      </c>
      <c r="D278" s="100"/>
      <c r="E278" s="103" t="s">
        <v>9</v>
      </c>
      <c r="F278" s="25"/>
      <c r="G278" s="17"/>
      <c r="H278" s="86" t="b">
        <f>IF(D280="x",H$2,H$1)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9" t="s">
        <v>15</v>
      </c>
      <c r="C279" s="82" t="s">
        <v>236</v>
      </c>
      <c r="D279" s="100"/>
      <c r="E279" s="103" t="s">
        <v>10</v>
      </c>
      <c r="F279" s="102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9" t="s">
        <v>15</v>
      </c>
      <c r="C280" s="82" t="s">
        <v>237</v>
      </c>
      <c r="D280" s="100"/>
      <c r="E280" s="103" t="s">
        <v>11</v>
      </c>
      <c r="F280" s="104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9" t="s">
        <v>15</v>
      </c>
      <c r="C281" s="82" t="s">
        <v>238</v>
      </c>
      <c r="D281" s="100"/>
      <c r="E281" s="103" t="s">
        <v>12</v>
      </c>
      <c r="F281" s="25"/>
      <c r="G281" s="17"/>
      <c r="H281" s="96"/>
    </row>
    <row r="282" spans="1:40" s="4" customFormat="1" x14ac:dyDescent="0.25">
      <c r="B282" s="79"/>
      <c r="C282" s="64"/>
      <c r="D282" s="100"/>
      <c r="E282" s="103" t="s">
        <v>13</v>
      </c>
      <c r="F282" s="25"/>
      <c r="G282" s="17"/>
      <c r="H282" s="96"/>
    </row>
    <row r="283" spans="1:40" s="15" customFormat="1" x14ac:dyDescent="0.25">
      <c r="A283" s="4"/>
      <c r="B283" s="129" t="s">
        <v>19</v>
      </c>
      <c r="C283" s="134" t="s">
        <v>239</v>
      </c>
      <c r="D283" s="39"/>
      <c r="E283" s="52"/>
      <c r="F283" s="27"/>
      <c r="G283" s="13"/>
      <c r="H283" s="13"/>
    </row>
    <row r="284" spans="1:40" x14ac:dyDescent="0.25">
      <c r="B284" s="79" t="s">
        <v>15</v>
      </c>
      <c r="C284" s="62" t="s">
        <v>241</v>
      </c>
      <c r="D284" s="100"/>
      <c r="E284" s="103" t="s">
        <v>9</v>
      </c>
      <c r="F284" s="25"/>
      <c r="G284" s="17"/>
      <c r="H284" s="86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9" t="s">
        <v>15</v>
      </c>
      <c r="C285" s="82" t="s">
        <v>242</v>
      </c>
      <c r="D285" s="100"/>
      <c r="E285" s="103" t="s">
        <v>10</v>
      </c>
      <c r="F285" s="102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9" t="s">
        <v>15</v>
      </c>
      <c r="C286" s="82" t="s">
        <v>243</v>
      </c>
      <c r="D286" s="100"/>
      <c r="E286" s="103" t="s">
        <v>11</v>
      </c>
      <c r="F286" s="104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9" t="s">
        <v>15</v>
      </c>
      <c r="C287" s="82" t="s">
        <v>240</v>
      </c>
      <c r="D287" s="100"/>
      <c r="E287" s="103" t="s">
        <v>12</v>
      </c>
      <c r="F287" s="25"/>
      <c r="G287" s="17"/>
      <c r="H287" s="96"/>
    </row>
    <row r="288" spans="1:40" s="4" customFormat="1" x14ac:dyDescent="0.25">
      <c r="B288" s="79"/>
      <c r="C288" s="82"/>
      <c r="D288" s="100"/>
      <c r="E288" s="103" t="s">
        <v>13</v>
      </c>
      <c r="F288" s="25"/>
      <c r="G288" s="17"/>
      <c r="H288" s="96"/>
    </row>
    <row r="289" spans="1:40" s="15" customFormat="1" x14ac:dyDescent="0.25">
      <c r="A289" s="4"/>
      <c r="B289" s="129" t="s">
        <v>20</v>
      </c>
      <c r="C289" s="134" t="s">
        <v>244</v>
      </c>
      <c r="D289" s="39"/>
      <c r="E289" s="52"/>
      <c r="F289" s="27"/>
      <c r="G289" s="13"/>
      <c r="H289" s="13"/>
    </row>
    <row r="290" spans="1:40" x14ac:dyDescent="0.25">
      <c r="B290" s="79" t="s">
        <v>15</v>
      </c>
      <c r="C290" s="82" t="s">
        <v>246</v>
      </c>
      <c r="D290" s="100"/>
      <c r="E290" s="103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9" t="s">
        <v>15</v>
      </c>
      <c r="C291" s="82" t="s">
        <v>247</v>
      </c>
      <c r="D291" s="100"/>
      <c r="E291" s="103" t="s">
        <v>10</v>
      </c>
      <c r="F291" s="102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9" t="s">
        <v>15</v>
      </c>
      <c r="C292" s="82" t="s">
        <v>248</v>
      </c>
      <c r="D292" s="100"/>
      <c r="E292" s="103" t="s">
        <v>11</v>
      </c>
      <c r="F292" s="104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9" t="s">
        <v>15</v>
      </c>
      <c r="C293" s="82" t="s">
        <v>245</v>
      </c>
      <c r="D293" s="100"/>
      <c r="E293" s="103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9"/>
      <c r="C294" s="64"/>
      <c r="D294" s="100"/>
      <c r="E294" s="103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9" t="s">
        <v>21</v>
      </c>
      <c r="C295" s="135" t="s">
        <v>249</v>
      </c>
      <c r="D295" s="106"/>
      <c r="E295" s="101"/>
      <c r="F295" s="27"/>
      <c r="G295" s="13"/>
      <c r="H295" s="13"/>
    </row>
    <row r="296" spans="1:40" x14ac:dyDescent="0.25">
      <c r="B296" s="79" t="s">
        <v>15</v>
      </c>
      <c r="C296" s="82" t="s">
        <v>251</v>
      </c>
      <c r="D296" s="100"/>
      <c r="E296" s="103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9" t="s">
        <v>15</v>
      </c>
      <c r="C297" s="82" t="s">
        <v>250</v>
      </c>
      <c r="D297" s="100"/>
      <c r="E297" s="103" t="s">
        <v>10</v>
      </c>
      <c r="F297" s="102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9" t="s">
        <v>15</v>
      </c>
      <c r="C298" s="82" t="s">
        <v>252</v>
      </c>
      <c r="D298" s="100"/>
      <c r="E298" s="103" t="s">
        <v>11</v>
      </c>
      <c r="F298" s="104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9" t="s">
        <v>15</v>
      </c>
      <c r="C299" s="82" t="s">
        <v>253</v>
      </c>
      <c r="D299" s="100"/>
      <c r="E299" s="103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9"/>
      <c r="C300" s="64"/>
      <c r="D300" s="100"/>
      <c r="E300" s="103" t="s">
        <v>13</v>
      </c>
      <c r="F300" s="105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9" t="s">
        <v>22</v>
      </c>
      <c r="C301" s="135" t="s">
        <v>254</v>
      </c>
      <c r="D301" s="106"/>
      <c r="E301" s="101"/>
      <c r="F301" s="27"/>
      <c r="G301" s="13"/>
      <c r="H301" s="13"/>
    </row>
    <row r="302" spans="1:40" x14ac:dyDescent="0.25">
      <c r="B302" s="79" t="s">
        <v>15</v>
      </c>
      <c r="C302" s="62" t="s">
        <v>255</v>
      </c>
      <c r="D302" s="100"/>
      <c r="E302" s="103" t="s">
        <v>9</v>
      </c>
      <c r="F302" s="25"/>
      <c r="G302" s="17"/>
      <c r="H302" s="19" t="b">
        <f>IF(D302="x",H$2,H$1)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9" t="s">
        <v>15</v>
      </c>
      <c r="C303" s="82" t="s">
        <v>256</v>
      </c>
      <c r="D303" s="100"/>
      <c r="E303" s="103" t="s">
        <v>10</v>
      </c>
      <c r="F303" s="102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9" t="s">
        <v>15</v>
      </c>
      <c r="C304" s="82" t="s">
        <v>257</v>
      </c>
      <c r="D304" s="100"/>
      <c r="E304" s="103" t="s">
        <v>11</v>
      </c>
      <c r="F304" s="104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9" t="s">
        <v>15</v>
      </c>
      <c r="C305" s="82" t="s">
        <v>258</v>
      </c>
      <c r="D305" s="100"/>
      <c r="E305" s="103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64"/>
      <c r="D306" s="100"/>
      <c r="E306" s="103" t="s">
        <v>13</v>
      </c>
      <c r="F306" s="105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9" t="s">
        <v>23</v>
      </c>
      <c r="C307" s="135" t="s">
        <v>259</v>
      </c>
      <c r="D307" s="106"/>
      <c r="E307" s="101"/>
      <c r="F307" s="27"/>
      <c r="G307" s="13"/>
      <c r="H307" s="13"/>
    </row>
    <row r="308" spans="1:40" x14ac:dyDescent="0.25">
      <c r="B308" s="79" t="s">
        <v>15</v>
      </c>
      <c r="C308" s="82" t="s">
        <v>260</v>
      </c>
      <c r="D308" s="100"/>
      <c r="E308" s="103" t="s">
        <v>9</v>
      </c>
      <c r="F308" s="25"/>
      <c r="G308" s="17"/>
      <c r="H308" s="1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9" t="s">
        <v>15</v>
      </c>
      <c r="C309" s="82" t="s">
        <v>261</v>
      </c>
      <c r="D309" s="100"/>
      <c r="E309" s="103" t="s">
        <v>10</v>
      </c>
      <c r="F309" s="102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9" t="s">
        <v>15</v>
      </c>
      <c r="C310" s="82" t="s">
        <v>262</v>
      </c>
      <c r="D310" s="100"/>
      <c r="E310" s="103" t="s">
        <v>11</v>
      </c>
      <c r="F310" s="104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9" t="s">
        <v>15</v>
      </c>
      <c r="C311" s="82" t="s">
        <v>263</v>
      </c>
      <c r="D311" s="100"/>
      <c r="E311" s="103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64"/>
      <c r="D312" s="100"/>
      <c r="E312" s="103" t="s">
        <v>13</v>
      </c>
      <c r="F312" s="105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9" t="s">
        <v>24</v>
      </c>
      <c r="C313" s="135" t="s">
        <v>264</v>
      </c>
      <c r="D313" s="106"/>
      <c r="E313" s="101"/>
      <c r="F313" s="27"/>
      <c r="G313" s="13"/>
      <c r="H313" s="13"/>
    </row>
    <row r="314" spans="1:40" x14ac:dyDescent="0.25">
      <c r="B314" s="79" t="s">
        <v>15</v>
      </c>
      <c r="C314" s="62" t="s">
        <v>265</v>
      </c>
      <c r="D314" s="100"/>
      <c r="E314" s="103" t="s">
        <v>9</v>
      </c>
      <c r="F314" s="25"/>
      <c r="G314" s="17"/>
      <c r="H314" s="19" t="b">
        <f>IF(D316="x",H$2,H$1)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9" t="s">
        <v>15</v>
      </c>
      <c r="C315" s="82" t="s">
        <v>266</v>
      </c>
      <c r="D315" s="100"/>
      <c r="E315" s="103" t="s">
        <v>10</v>
      </c>
      <c r="F315" s="102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9" t="s">
        <v>15</v>
      </c>
      <c r="C316" s="82" t="s">
        <v>267</v>
      </c>
      <c r="D316" s="100"/>
      <c r="E316" s="103" t="s">
        <v>11</v>
      </c>
      <c r="F316" s="104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9" t="s">
        <v>15</v>
      </c>
      <c r="C317" s="82" t="s">
        <v>268</v>
      </c>
      <c r="D317" s="100"/>
      <c r="E317" s="103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64"/>
      <c r="D318" s="100"/>
      <c r="E318" s="103" t="s">
        <v>13</v>
      </c>
      <c r="F318" s="105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9" t="s">
        <v>29</v>
      </c>
      <c r="C319" s="135" t="s">
        <v>269</v>
      </c>
      <c r="D319" s="106"/>
      <c r="E319" s="101"/>
      <c r="F319" s="27"/>
      <c r="G319" s="26"/>
      <c r="H319" s="13"/>
    </row>
    <row r="320" spans="1:40" s="4" customFormat="1" x14ac:dyDescent="0.25">
      <c r="B320" s="79" t="s">
        <v>15</v>
      </c>
      <c r="C320" s="62" t="s">
        <v>273</v>
      </c>
      <c r="D320" s="100"/>
      <c r="E320" s="103" t="s">
        <v>9</v>
      </c>
      <c r="F320" s="25"/>
      <c r="G320" s="95"/>
      <c r="H320" s="86" t="b">
        <f>IF(D323="x",H$2,H$1)</f>
        <v>0</v>
      </c>
    </row>
    <row r="321" spans="1:40" s="4" customFormat="1" x14ac:dyDescent="0.25">
      <c r="B321" s="79" t="s">
        <v>15</v>
      </c>
      <c r="C321" s="82" t="s">
        <v>272</v>
      </c>
      <c r="D321" s="100"/>
      <c r="E321" s="103" t="s">
        <v>10</v>
      </c>
      <c r="F321" s="102" t="str">
        <f>IF(H322=1,IF(H320=H$2,H320,""),"")</f>
        <v/>
      </c>
      <c r="G321" s="95"/>
      <c r="H321" s="86" t="str">
        <f>IF(E$331="comprobar",COUNTIF(D320:D324,"x"),"")</f>
        <v/>
      </c>
    </row>
    <row r="322" spans="1:40" s="4" customFormat="1" x14ac:dyDescent="0.25">
      <c r="B322" s="79" t="s">
        <v>15</v>
      </c>
      <c r="C322" s="82" t="s">
        <v>271</v>
      </c>
      <c r="D322" s="100"/>
      <c r="E322" s="103" t="s">
        <v>11</v>
      </c>
      <c r="F322" s="104" t="str">
        <f>IF(H322=-0.33,IF(H320=H$1,H320,""),"")</f>
        <v/>
      </c>
      <c r="G322" s="95"/>
      <c r="H322" s="96">
        <f t="shared" ref="H322" si="27">IF(H321=1,IF(H320=H$2,1,-0.33),0)</f>
        <v>0</v>
      </c>
    </row>
    <row r="323" spans="1:40" x14ac:dyDescent="0.25">
      <c r="B323" s="79" t="s">
        <v>15</v>
      </c>
      <c r="C323" s="82" t="s">
        <v>270</v>
      </c>
      <c r="D323" s="100"/>
      <c r="E323" s="103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64"/>
      <c r="D324" s="100"/>
      <c r="E324" s="103" t="s">
        <v>13</v>
      </c>
      <c r="F324" s="105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9" t="s">
        <v>27</v>
      </c>
      <c r="C325" s="135" t="s">
        <v>274</v>
      </c>
      <c r="D325" s="106"/>
      <c r="E325" s="101"/>
      <c r="F325" s="27"/>
      <c r="G325" s="13"/>
      <c r="H325" s="13"/>
    </row>
    <row r="326" spans="1:40" x14ac:dyDescent="0.25">
      <c r="B326" s="79" t="s">
        <v>15</v>
      </c>
      <c r="C326" s="62" t="s">
        <v>278</v>
      </c>
      <c r="D326" s="100"/>
      <c r="E326" s="103" t="s">
        <v>9</v>
      </c>
      <c r="F326" s="25"/>
      <c r="G326" s="24"/>
      <c r="H326" s="19" t="b">
        <f>IF(D329="x",H$2,H$1)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9" t="s">
        <v>15</v>
      </c>
      <c r="C327" s="82" t="s">
        <v>277</v>
      </c>
      <c r="D327" s="100"/>
      <c r="E327" s="103" t="s">
        <v>10</v>
      </c>
      <c r="F327" s="102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9" t="s">
        <v>15</v>
      </c>
      <c r="C328" s="82" t="s">
        <v>276</v>
      </c>
      <c r="D328" s="100"/>
      <c r="E328" s="103" t="s">
        <v>11</v>
      </c>
      <c r="F328" s="104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9" t="s">
        <v>15</v>
      </c>
      <c r="C329" s="82" t="s">
        <v>275</v>
      </c>
      <c r="D329" s="100"/>
      <c r="E329" s="103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64"/>
      <c r="D330" s="100"/>
      <c r="E330" s="103" t="s">
        <v>13</v>
      </c>
      <c r="F330" s="105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7"/>
      <c r="C331" s="8"/>
      <c r="D331" s="108"/>
      <c r="E331" s="73"/>
      <c r="F331" s="109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10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11"/>
      <c r="E333" s="112"/>
      <c r="F333" s="113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41"/>
      <c r="E334" s="51"/>
      <c r="F334" s="72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41"/>
      <c r="E335" s="51"/>
      <c r="F335" s="72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0" t="s">
        <v>33</v>
      </c>
      <c r="C336" s="142" t="s">
        <v>279</v>
      </c>
      <c r="D336" s="142"/>
      <c r="E336" s="142"/>
      <c r="F336" s="143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29" t="s">
        <v>18</v>
      </c>
      <c r="C337" s="135" t="s">
        <v>280</v>
      </c>
      <c r="D337" s="39"/>
      <c r="E337" s="52"/>
      <c r="F337" s="27"/>
      <c r="G337" s="13"/>
      <c r="H337" s="13"/>
    </row>
    <row r="338" spans="1:40" ht="18.75" x14ac:dyDescent="0.3">
      <c r="B338" s="79" t="s">
        <v>15</v>
      </c>
      <c r="C338" s="121" t="s">
        <v>282</v>
      </c>
      <c r="D338" s="38"/>
      <c r="E338" s="53" t="s">
        <v>9</v>
      </c>
      <c r="F338" s="25"/>
      <c r="G338" s="17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3">
      <c r="B339" s="79" t="s">
        <v>15</v>
      </c>
      <c r="C339" s="122" t="s">
        <v>281</v>
      </c>
      <c r="D339" s="3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3">
      <c r="B340" s="79" t="s">
        <v>15</v>
      </c>
      <c r="C340" s="123" t="s">
        <v>283</v>
      </c>
      <c r="D340" s="3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ht="18.75" x14ac:dyDescent="0.3">
      <c r="B341" s="79" t="s">
        <v>15</v>
      </c>
      <c r="C341" s="123" t="s">
        <v>284</v>
      </c>
      <c r="D341" s="3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16"/>
      <c r="D342" s="3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29" t="s">
        <v>28</v>
      </c>
      <c r="C343" s="135" t="s">
        <v>285</v>
      </c>
      <c r="D343" s="39"/>
      <c r="E343" s="52"/>
      <c r="F343" s="27"/>
      <c r="G343" s="13"/>
      <c r="H343" s="13"/>
    </row>
    <row r="344" spans="1:40" ht="18.75" x14ac:dyDescent="0.25">
      <c r="B344" s="79" t="s">
        <v>15</v>
      </c>
      <c r="C344" s="124" t="s">
        <v>287</v>
      </c>
      <c r="D344" s="3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ht="18.75" x14ac:dyDescent="0.3">
      <c r="B345" s="79" t="s">
        <v>15</v>
      </c>
      <c r="C345" s="123" t="s">
        <v>288</v>
      </c>
      <c r="D345" s="3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ht="18.75" x14ac:dyDescent="0.3">
      <c r="B346" s="79" t="s">
        <v>15</v>
      </c>
      <c r="C346" s="123" t="s">
        <v>289</v>
      </c>
      <c r="D346" s="38"/>
      <c r="E346" s="53" t="s">
        <v>11</v>
      </c>
      <c r="F346" s="21" t="str">
        <f>IF(H346=-0.33,IF(H344=H$1,H344,""),"")</f>
        <v/>
      </c>
      <c r="G346" s="17"/>
      <c r="H346" s="22">
        <f t="shared" ref="H346" si="29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ht="18.75" x14ac:dyDescent="0.3">
      <c r="B347" s="79" t="s">
        <v>15</v>
      </c>
      <c r="C347" s="123" t="s">
        <v>286</v>
      </c>
      <c r="D347" s="3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16"/>
      <c r="D348" s="3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29" t="s">
        <v>31</v>
      </c>
      <c r="C349" s="135" t="s">
        <v>290</v>
      </c>
      <c r="D349" s="39"/>
      <c r="E349" s="52"/>
      <c r="F349" s="27"/>
      <c r="G349" s="13"/>
      <c r="H349" s="13"/>
    </row>
    <row r="350" spans="1:40" ht="18.75" x14ac:dyDescent="0.3">
      <c r="B350" s="79" t="s">
        <v>15</v>
      </c>
      <c r="C350" s="123" t="s">
        <v>291</v>
      </c>
      <c r="D350" s="38"/>
      <c r="E350" s="53" t="s">
        <v>9</v>
      </c>
      <c r="F350" s="25"/>
      <c r="G350" s="17"/>
      <c r="H350" s="19" t="b">
        <f>IF(D350="x",H$2,H$1)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ht="18.75" x14ac:dyDescent="0.25">
      <c r="B351" s="79" t="s">
        <v>15</v>
      </c>
      <c r="C351" s="124" t="s">
        <v>293</v>
      </c>
      <c r="D351" s="3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ht="18.75" x14ac:dyDescent="0.3">
      <c r="B352" s="79" t="s">
        <v>15</v>
      </c>
      <c r="C352" s="136" t="s">
        <v>292</v>
      </c>
      <c r="D352" s="38"/>
      <c r="E352" s="53" t="s">
        <v>11</v>
      </c>
      <c r="F352" s="21" t="str">
        <f>IF(H352=-0.33,IF(H350=H$1,H350,""),"")</f>
        <v/>
      </c>
      <c r="G352" s="17"/>
      <c r="H352" s="22">
        <f t="shared" ref="H352" si="30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ht="18.75" x14ac:dyDescent="0.3">
      <c r="B353" s="79" t="s">
        <v>15</v>
      </c>
      <c r="C353" s="123" t="s">
        <v>294</v>
      </c>
      <c r="D353" s="3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16"/>
      <c r="D354" s="3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29" t="s">
        <v>20</v>
      </c>
      <c r="C355" s="135" t="s">
        <v>295</v>
      </c>
      <c r="D355" s="39"/>
      <c r="E355" s="52"/>
      <c r="F355" s="27"/>
      <c r="G355" s="13"/>
      <c r="H355" s="13"/>
    </row>
    <row r="356" spans="1:40" ht="18.75" x14ac:dyDescent="0.3">
      <c r="B356" s="79" t="s">
        <v>15</v>
      </c>
      <c r="C356" s="123" t="s">
        <v>296</v>
      </c>
      <c r="D356" s="3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ht="18.75" x14ac:dyDescent="0.3">
      <c r="B357" s="79" t="s">
        <v>15</v>
      </c>
      <c r="C357" s="123" t="s">
        <v>297</v>
      </c>
      <c r="D357" s="3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ht="18.75" x14ac:dyDescent="0.3">
      <c r="B358" s="79" t="s">
        <v>15</v>
      </c>
      <c r="C358" s="123" t="s">
        <v>298</v>
      </c>
      <c r="D358" s="38"/>
      <c r="E358" s="53" t="s">
        <v>11</v>
      </c>
      <c r="F358" s="21" t="str">
        <f>IF(H358=-0.33,IF(H356=H$1,H356,""),"")</f>
        <v/>
      </c>
      <c r="G358" s="17"/>
      <c r="H358" s="22">
        <f t="shared" ref="H358" si="31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ht="18.75" x14ac:dyDescent="0.3">
      <c r="B359" s="79" t="s">
        <v>15</v>
      </c>
      <c r="C359" s="123" t="s">
        <v>299</v>
      </c>
      <c r="D359" s="3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3">
      <c r="B360" s="125"/>
      <c r="C360" s="126"/>
      <c r="D360" s="3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29" t="s">
        <v>21</v>
      </c>
      <c r="C361" s="135" t="s">
        <v>300</v>
      </c>
      <c r="D361" s="39"/>
      <c r="E361" s="52"/>
      <c r="F361" s="27"/>
      <c r="G361" s="13"/>
      <c r="H361" s="13"/>
    </row>
    <row r="362" spans="1:40" ht="18.75" x14ac:dyDescent="0.3">
      <c r="B362" s="79" t="s">
        <v>15</v>
      </c>
      <c r="C362" s="121" t="s">
        <v>301</v>
      </c>
      <c r="D362" s="38"/>
      <c r="E362" s="53" t="s">
        <v>9</v>
      </c>
      <c r="F362" s="25"/>
      <c r="G362" s="17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ht="18.75" x14ac:dyDescent="0.3">
      <c r="B363" s="79" t="s">
        <v>15</v>
      </c>
      <c r="C363" s="123" t="s">
        <v>302</v>
      </c>
      <c r="D363" s="3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ht="18.75" x14ac:dyDescent="0.3">
      <c r="B364" s="79" t="s">
        <v>15</v>
      </c>
      <c r="C364" s="123" t="s">
        <v>303</v>
      </c>
      <c r="D364" s="38"/>
      <c r="E364" s="53" t="s">
        <v>11</v>
      </c>
      <c r="F364" s="21" t="str">
        <f>IF(H364=-0.33,IF(H362=H$1,H362,""),"")</f>
        <v/>
      </c>
      <c r="G364" s="17"/>
      <c r="H364" s="22">
        <f t="shared" ref="H364" si="32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ht="18.75" x14ac:dyDescent="0.3">
      <c r="B365" s="79" t="s">
        <v>15</v>
      </c>
      <c r="C365" s="123" t="s">
        <v>304</v>
      </c>
      <c r="D365" s="3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16"/>
      <c r="D366" s="3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29" t="s">
        <v>32</v>
      </c>
      <c r="C367" s="135" t="s">
        <v>305</v>
      </c>
      <c r="D367" s="39"/>
      <c r="E367" s="52"/>
      <c r="F367" s="27"/>
      <c r="G367" s="13"/>
      <c r="H367" s="13"/>
    </row>
    <row r="368" spans="1:40" ht="18.75" x14ac:dyDescent="0.25">
      <c r="B368" s="79" t="s">
        <v>15</v>
      </c>
      <c r="C368" s="124" t="s">
        <v>307</v>
      </c>
      <c r="D368" s="38"/>
      <c r="E368" s="53" t="s">
        <v>9</v>
      </c>
      <c r="F368" s="25"/>
      <c r="G368" s="17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ht="37.5" x14ac:dyDescent="0.3">
      <c r="B369" s="79" t="s">
        <v>15</v>
      </c>
      <c r="C369" s="155" t="s">
        <v>308</v>
      </c>
      <c r="D369" s="3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ht="18.75" x14ac:dyDescent="0.3">
      <c r="B370" s="79" t="s">
        <v>15</v>
      </c>
      <c r="C370" s="123" t="s">
        <v>309</v>
      </c>
      <c r="D370" s="38"/>
      <c r="E370" s="53" t="s">
        <v>11</v>
      </c>
      <c r="F370" s="21" t="str">
        <f>IF(H370=-0.33,IF(H368=H$1,H368,""),"")</f>
        <v/>
      </c>
      <c r="G370" s="17"/>
      <c r="H370" s="22">
        <f t="shared" ref="H370" si="33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ht="18.75" x14ac:dyDescent="0.3">
      <c r="B371" s="79" t="s">
        <v>15</v>
      </c>
      <c r="C371" s="123" t="s">
        <v>306</v>
      </c>
      <c r="D371" s="3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16"/>
      <c r="D372" s="3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29" t="s">
        <v>23</v>
      </c>
      <c r="C373" s="137" t="s">
        <v>310</v>
      </c>
      <c r="D373" s="39"/>
      <c r="E373" s="52"/>
      <c r="F373" s="27"/>
      <c r="G373" s="13"/>
      <c r="H373" s="13"/>
    </row>
    <row r="374" spans="1:40" ht="18.75" x14ac:dyDescent="0.3">
      <c r="B374" s="79" t="s">
        <v>15</v>
      </c>
      <c r="C374" s="123" t="s">
        <v>311</v>
      </c>
      <c r="D374" s="38"/>
      <c r="E374" s="53" t="s">
        <v>9</v>
      </c>
      <c r="F374" s="25"/>
      <c r="G374" s="17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ht="18.75" x14ac:dyDescent="0.3">
      <c r="B375" s="79" t="s">
        <v>15</v>
      </c>
      <c r="C375" s="123" t="s">
        <v>312</v>
      </c>
      <c r="D375" s="3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ht="18.75" x14ac:dyDescent="0.3">
      <c r="B376" s="79" t="s">
        <v>15</v>
      </c>
      <c r="C376" s="123" t="s">
        <v>313</v>
      </c>
      <c r="D376" s="38"/>
      <c r="E376" s="53" t="s">
        <v>11</v>
      </c>
      <c r="F376" s="21" t="str">
        <f>IF(H376=-0.33,IF(H374=H$1,H374,""),"")</f>
        <v/>
      </c>
      <c r="G376" s="17"/>
      <c r="H376" s="22">
        <f t="shared" ref="H376" si="34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ht="18.75" x14ac:dyDescent="0.3">
      <c r="B377" s="79" t="s">
        <v>15</v>
      </c>
      <c r="C377" s="123" t="s">
        <v>314</v>
      </c>
      <c r="D377" s="3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16"/>
      <c r="D378" s="3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29" t="s">
        <v>30</v>
      </c>
      <c r="C379" s="135" t="s">
        <v>315</v>
      </c>
      <c r="D379" s="39"/>
      <c r="E379" s="52"/>
      <c r="F379" s="27"/>
      <c r="G379" s="13"/>
      <c r="H379" s="13"/>
    </row>
    <row r="380" spans="1:40" ht="18.75" x14ac:dyDescent="0.3">
      <c r="B380" s="79" t="s">
        <v>15</v>
      </c>
      <c r="C380" s="123" t="s">
        <v>316</v>
      </c>
      <c r="D380" s="38"/>
      <c r="E380" s="53" t="s">
        <v>9</v>
      </c>
      <c r="F380" s="25"/>
      <c r="G380" s="17"/>
      <c r="H380" s="19" t="b">
        <f>IF(D381="x",H$2,H$1)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ht="18.75" x14ac:dyDescent="0.3">
      <c r="B381" s="79" t="s">
        <v>15</v>
      </c>
      <c r="C381" s="123" t="s">
        <v>317</v>
      </c>
      <c r="D381" s="3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ht="18.75" x14ac:dyDescent="0.3">
      <c r="B382" s="79" t="s">
        <v>15</v>
      </c>
      <c r="C382" s="123" t="s">
        <v>318</v>
      </c>
      <c r="D382" s="38"/>
      <c r="E382" s="53" t="s">
        <v>11</v>
      </c>
      <c r="F382" s="21" t="str">
        <f>IF(H382=-0.33,IF(H380=H$1,H380,""),"")</f>
        <v/>
      </c>
      <c r="G382" s="17"/>
      <c r="H382" s="22">
        <f t="shared" ref="H382" si="35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ht="18.75" x14ac:dyDescent="0.3">
      <c r="B383" s="79" t="s">
        <v>15</v>
      </c>
      <c r="C383" s="123" t="s">
        <v>319</v>
      </c>
      <c r="D383" s="3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16"/>
      <c r="D384" s="3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29" t="s">
        <v>29</v>
      </c>
      <c r="C385" s="135" t="s">
        <v>320</v>
      </c>
      <c r="D385" s="39"/>
      <c r="E385" s="52"/>
      <c r="F385" s="27"/>
      <c r="G385" s="13"/>
      <c r="H385" s="13"/>
    </row>
    <row r="386" spans="1:40" ht="18.75" x14ac:dyDescent="0.3">
      <c r="B386" s="79" t="s">
        <v>15</v>
      </c>
      <c r="C386" s="123" t="s">
        <v>321</v>
      </c>
      <c r="D386" s="38"/>
      <c r="E386" s="53" t="s">
        <v>9</v>
      </c>
      <c r="F386" s="25"/>
      <c r="G386" s="17"/>
      <c r="H386" s="19" t="b">
        <f>IF(D386="x",H$2,H$1)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ht="18.75" x14ac:dyDescent="0.3">
      <c r="B387" s="79" t="s">
        <v>15</v>
      </c>
      <c r="C387" s="123" t="s">
        <v>322</v>
      </c>
      <c r="D387" s="3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ht="18.75" x14ac:dyDescent="0.3">
      <c r="B388" s="79" t="s">
        <v>15</v>
      </c>
      <c r="C388" s="123" t="s">
        <v>323</v>
      </c>
      <c r="D388" s="38"/>
      <c r="E388" s="53" t="s">
        <v>11</v>
      </c>
      <c r="F388" s="21" t="str">
        <f>IF(H388=-0.33,IF(H386=H$1,H386,""),"")</f>
        <v/>
      </c>
      <c r="G388" s="17"/>
      <c r="H388" s="22">
        <f t="shared" ref="H388" si="36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8.75" x14ac:dyDescent="0.25">
      <c r="B389" s="79" t="s">
        <v>15</v>
      </c>
      <c r="C389" s="124" t="s">
        <v>324</v>
      </c>
      <c r="D389" s="3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27"/>
      <c r="C390" s="120"/>
      <c r="D390" s="3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29" t="s">
        <v>27</v>
      </c>
      <c r="C391" s="135" t="s">
        <v>325</v>
      </c>
      <c r="D391" s="75"/>
      <c r="E391" s="52"/>
      <c r="F391" s="27"/>
      <c r="G391" s="26"/>
      <c r="H391" s="13"/>
    </row>
    <row r="392" spans="1:40" ht="18.75" x14ac:dyDescent="0.3">
      <c r="B392" s="79" t="s">
        <v>15</v>
      </c>
      <c r="C392" s="123" t="s">
        <v>329</v>
      </c>
      <c r="D392" s="38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8.75" x14ac:dyDescent="0.3">
      <c r="B393" s="79" t="s">
        <v>15</v>
      </c>
      <c r="C393" s="123" t="s">
        <v>328</v>
      </c>
      <c r="D393" s="3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8.75" x14ac:dyDescent="0.3">
      <c r="B394" s="79" t="s">
        <v>15</v>
      </c>
      <c r="C394" s="123" t="s">
        <v>326</v>
      </c>
      <c r="D394" s="3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t="18.75" x14ac:dyDescent="0.3">
      <c r="B395" s="79" t="s">
        <v>15</v>
      </c>
      <c r="C395" s="123" t="s">
        <v>327</v>
      </c>
      <c r="D395" s="3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3">
      <c r="B396" s="125"/>
      <c r="C396" s="126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41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0" t="s">
        <v>33</v>
      </c>
      <c r="C401" s="142" t="s">
        <v>330</v>
      </c>
      <c r="D401" s="142"/>
      <c r="E401" s="142"/>
      <c r="F401" s="143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29" t="s">
        <v>18</v>
      </c>
      <c r="C402" s="135" t="s">
        <v>331</v>
      </c>
      <c r="D402" s="39"/>
      <c r="E402" s="52"/>
      <c r="F402" s="27"/>
      <c r="G402" s="13"/>
      <c r="H402" s="13"/>
    </row>
    <row r="403" spans="1:40" x14ac:dyDescent="0.25">
      <c r="B403" s="79" t="s">
        <v>15</v>
      </c>
      <c r="C403" s="62" t="s">
        <v>335</v>
      </c>
      <c r="D403" s="3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79" t="s">
        <v>15</v>
      </c>
      <c r="C404" s="82" t="s">
        <v>334</v>
      </c>
      <c r="D404" s="3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x14ac:dyDescent="0.25">
      <c r="B405" s="79" t="s">
        <v>15</v>
      </c>
      <c r="C405" s="82" t="s">
        <v>332</v>
      </c>
      <c r="D405" s="38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79" t="s">
        <v>15</v>
      </c>
      <c r="C406" s="82" t="s">
        <v>333</v>
      </c>
      <c r="D406" s="3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63"/>
      <c r="C407" s="64"/>
      <c r="D407" s="3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29" t="s">
        <v>17</v>
      </c>
      <c r="C408" s="135" t="s">
        <v>336</v>
      </c>
      <c r="D408" s="39"/>
      <c r="E408" s="52"/>
      <c r="F408" s="74"/>
      <c r="G408" s="13"/>
      <c r="H408" s="13"/>
    </row>
    <row r="409" spans="1:40" x14ac:dyDescent="0.25">
      <c r="B409" s="79" t="s">
        <v>15</v>
      </c>
      <c r="C409" s="114" t="s">
        <v>338</v>
      </c>
      <c r="D409" s="3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x14ac:dyDescent="0.25">
      <c r="B410" s="79" t="s">
        <v>15</v>
      </c>
      <c r="C410" s="97" t="s">
        <v>339</v>
      </c>
      <c r="D410" s="3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x14ac:dyDescent="0.25">
      <c r="B411" s="79" t="s">
        <v>15</v>
      </c>
      <c r="C411" s="82" t="s">
        <v>337</v>
      </c>
      <c r="D411" s="3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79" t="s">
        <v>15</v>
      </c>
      <c r="C412" s="82" t="s">
        <v>340</v>
      </c>
      <c r="D412" s="3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63"/>
      <c r="C413" s="64"/>
      <c r="D413" s="3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18.95" customHeight="1" x14ac:dyDescent="0.25">
      <c r="A414" s="4"/>
      <c r="B414" s="129" t="s">
        <v>19</v>
      </c>
      <c r="C414" s="144" t="s">
        <v>341</v>
      </c>
      <c r="D414" s="75"/>
      <c r="E414" s="52"/>
      <c r="F414" s="27"/>
      <c r="G414" s="13"/>
      <c r="H414" s="13"/>
    </row>
    <row r="415" spans="1:40" x14ac:dyDescent="0.25">
      <c r="B415" s="79" t="s">
        <v>15</v>
      </c>
      <c r="C415" s="145">
        <v>80</v>
      </c>
      <c r="D415" s="38"/>
      <c r="E415" s="53" t="s">
        <v>9</v>
      </c>
      <c r="F415" s="25"/>
      <c r="G415" s="24"/>
      <c r="H415" s="19" t="b">
        <f>IF(D417="x",H$2,H$1)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79" t="s">
        <v>15</v>
      </c>
      <c r="C416" s="145">
        <v>27</v>
      </c>
      <c r="D416" s="38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x14ac:dyDescent="0.25">
      <c r="B417" s="79" t="s">
        <v>15</v>
      </c>
      <c r="C417" s="145">
        <v>8080</v>
      </c>
      <c r="D417" s="3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79" t="s">
        <v>15</v>
      </c>
      <c r="C418" s="145">
        <v>21</v>
      </c>
      <c r="D418" s="38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63"/>
      <c r="C419" s="117"/>
      <c r="D419" s="3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29" t="s">
        <v>20</v>
      </c>
      <c r="C420" s="135" t="s">
        <v>342</v>
      </c>
      <c r="D420" s="75"/>
      <c r="E420" s="52"/>
      <c r="F420" s="27"/>
      <c r="G420" s="13"/>
      <c r="H420" s="13"/>
    </row>
    <row r="421" spans="1:40" x14ac:dyDescent="0.25">
      <c r="B421" s="79" t="s">
        <v>15</v>
      </c>
      <c r="C421" s="115" t="s">
        <v>343</v>
      </c>
      <c r="D421" s="38"/>
      <c r="E421" s="53" t="s">
        <v>9</v>
      </c>
      <c r="F421" s="25"/>
      <c r="G421" s="24"/>
      <c r="H421" s="19" t="b">
        <f>IF(D424="x",H$2,H$1)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79" t="s">
        <v>15</v>
      </c>
      <c r="C422" s="82" t="s">
        <v>344</v>
      </c>
      <c r="D422" s="38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x14ac:dyDescent="0.25">
      <c r="B423" s="79" t="s">
        <v>15</v>
      </c>
      <c r="C423" s="116" t="s">
        <v>345</v>
      </c>
      <c r="D423" s="3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79" t="s">
        <v>15</v>
      </c>
      <c r="C424" s="97" t="s">
        <v>346</v>
      </c>
      <c r="D424" s="3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63"/>
      <c r="C425" s="64"/>
      <c r="D425" s="3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29" t="s">
        <v>21</v>
      </c>
      <c r="C426" s="135" t="s">
        <v>347</v>
      </c>
      <c r="D426" s="98"/>
      <c r="E426" s="52"/>
      <c r="F426" s="27"/>
      <c r="G426" s="13"/>
      <c r="H426" s="13"/>
    </row>
    <row r="427" spans="1:40" x14ac:dyDescent="0.25">
      <c r="B427" s="79" t="s">
        <v>15</v>
      </c>
      <c r="C427" s="62" t="s">
        <v>348</v>
      </c>
      <c r="D427" s="3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79" t="s">
        <v>15</v>
      </c>
      <c r="C428" s="97" t="s">
        <v>349</v>
      </c>
      <c r="D428" s="3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x14ac:dyDescent="0.25">
      <c r="B429" s="79" t="s">
        <v>15</v>
      </c>
      <c r="C429" s="97" t="s">
        <v>350</v>
      </c>
      <c r="D429" s="3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79" t="s">
        <v>15</v>
      </c>
      <c r="C430" s="97" t="s">
        <v>351</v>
      </c>
      <c r="D430" s="3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63"/>
      <c r="C431" s="64"/>
      <c r="D431" s="3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29" t="s">
        <v>22</v>
      </c>
      <c r="C432" s="135" t="s">
        <v>352</v>
      </c>
      <c r="D432" s="98"/>
      <c r="E432" s="52"/>
      <c r="F432" s="27"/>
      <c r="G432" s="13"/>
      <c r="H432" s="13"/>
    </row>
    <row r="433" spans="1:40" x14ac:dyDescent="0.25">
      <c r="B433" s="79" t="s">
        <v>15</v>
      </c>
      <c r="C433" s="62" t="s">
        <v>353</v>
      </c>
      <c r="D433" s="38"/>
      <c r="E433" s="53" t="s">
        <v>9</v>
      </c>
      <c r="F433" s="25"/>
      <c r="G433" s="24"/>
      <c r="H433" s="19" t="b">
        <f>IF(D434="x",H$2,H$1)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79" t="s">
        <v>15</v>
      </c>
      <c r="C434" s="97" t="s">
        <v>354</v>
      </c>
      <c r="D434" s="3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x14ac:dyDescent="0.25">
      <c r="B435" s="79" t="s">
        <v>15</v>
      </c>
      <c r="C435" s="97" t="s">
        <v>355</v>
      </c>
      <c r="D435" s="38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79" t="s">
        <v>15</v>
      </c>
      <c r="C436" s="97" t="s">
        <v>356</v>
      </c>
      <c r="D436" s="3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63"/>
      <c r="C437" s="64"/>
      <c r="D437" s="3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29" t="s">
        <v>23</v>
      </c>
      <c r="C438" s="135" t="s">
        <v>357</v>
      </c>
      <c r="D438" s="98"/>
      <c r="E438" s="52"/>
      <c r="F438" s="27"/>
      <c r="G438" s="13"/>
      <c r="H438" s="13"/>
    </row>
    <row r="439" spans="1:40" x14ac:dyDescent="0.25">
      <c r="B439" s="79" t="s">
        <v>15</v>
      </c>
      <c r="C439" s="62" t="s">
        <v>358</v>
      </c>
      <c r="D439" s="38"/>
      <c r="E439" s="53" t="s">
        <v>9</v>
      </c>
      <c r="F439" s="25"/>
      <c r="G439" s="24"/>
      <c r="H439" s="19" t="b">
        <f>IF(D442="x",H$2,H$1)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x14ac:dyDescent="0.25">
      <c r="B440" s="79" t="s">
        <v>15</v>
      </c>
      <c r="C440" s="97" t="s">
        <v>359</v>
      </c>
      <c r="D440" s="3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x14ac:dyDescent="0.25">
      <c r="B441" s="79" t="s">
        <v>15</v>
      </c>
      <c r="C441" s="97" t="s">
        <v>360</v>
      </c>
      <c r="D441" s="38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79" t="s">
        <v>15</v>
      </c>
      <c r="C442" s="97" t="s">
        <v>361</v>
      </c>
      <c r="D442" s="3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63"/>
      <c r="C443" s="64"/>
      <c r="D443" s="3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29" t="s">
        <v>24</v>
      </c>
      <c r="C444" s="135" t="s">
        <v>362</v>
      </c>
      <c r="D444" s="98"/>
      <c r="E444" s="52"/>
      <c r="F444" s="27"/>
      <c r="G444" s="13"/>
      <c r="H444" s="13"/>
    </row>
    <row r="445" spans="1:40" x14ac:dyDescent="0.25">
      <c r="B445" s="79" t="s">
        <v>15</v>
      </c>
      <c r="C445" s="62" t="s">
        <v>363</v>
      </c>
      <c r="D445" s="38"/>
      <c r="E445" s="53" t="s">
        <v>9</v>
      </c>
      <c r="F445" s="25"/>
      <c r="G445" s="24"/>
      <c r="H445" s="19" t="b">
        <f>IF(D448="x",H$2,H$1)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x14ac:dyDescent="0.25">
      <c r="B446" s="79" t="s">
        <v>15</v>
      </c>
      <c r="C446" s="97" t="s">
        <v>364</v>
      </c>
      <c r="D446" s="3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79" t="s">
        <v>15</v>
      </c>
      <c r="C447" s="97" t="s">
        <v>365</v>
      </c>
      <c r="D447" s="3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79" t="s">
        <v>15</v>
      </c>
      <c r="C448" s="97" t="s">
        <v>366</v>
      </c>
      <c r="D448" s="3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63"/>
      <c r="C449" s="64"/>
      <c r="D449" s="3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29" t="s">
        <v>29</v>
      </c>
      <c r="C450" s="135" t="s">
        <v>367</v>
      </c>
      <c r="D450" s="98"/>
      <c r="E450" s="52"/>
      <c r="F450" s="27"/>
      <c r="G450" s="13"/>
      <c r="H450" s="13"/>
    </row>
    <row r="451" spans="1:40" x14ac:dyDescent="0.25">
      <c r="B451" s="79" t="s">
        <v>15</v>
      </c>
      <c r="C451" s="62" t="s">
        <v>363</v>
      </c>
      <c r="D451" s="38"/>
      <c r="E451" s="53" t="s">
        <v>9</v>
      </c>
      <c r="F451" s="25"/>
      <c r="G451" s="24"/>
      <c r="H451" s="19" t="b">
        <f>IF(D453="x",H$2,H$1)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x14ac:dyDescent="0.25">
      <c r="B452" s="79" t="s">
        <v>15</v>
      </c>
      <c r="C452" s="97" t="s">
        <v>368</v>
      </c>
      <c r="D452" s="3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79" t="s">
        <v>15</v>
      </c>
      <c r="C453" s="97" t="s">
        <v>364</v>
      </c>
      <c r="D453" s="3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79" t="s">
        <v>15</v>
      </c>
      <c r="C454" s="97" t="s">
        <v>365</v>
      </c>
      <c r="D454" s="38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63"/>
      <c r="C455" s="64"/>
      <c r="D455" s="3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ht="29.25" customHeight="1" x14ac:dyDescent="0.25">
      <c r="A456" s="4"/>
      <c r="B456" s="129" t="s">
        <v>27</v>
      </c>
      <c r="C456" s="153" t="s">
        <v>369</v>
      </c>
      <c r="D456" s="98"/>
      <c r="E456" s="52"/>
      <c r="F456" s="27"/>
      <c r="G456" s="13"/>
      <c r="H456" s="13"/>
    </row>
    <row r="457" spans="1:40" x14ac:dyDescent="0.25">
      <c r="B457" s="79" t="s">
        <v>15</v>
      </c>
      <c r="C457" s="62" t="s">
        <v>370</v>
      </c>
      <c r="D457" s="38"/>
      <c r="E457" s="53" t="s">
        <v>9</v>
      </c>
      <c r="F457" s="25"/>
      <c r="G457" s="24"/>
      <c r="H457" s="19" t="b">
        <f>IF(D460="x",H$2,H$1)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79" t="s">
        <v>15</v>
      </c>
      <c r="C458" s="97" t="s">
        <v>371</v>
      </c>
      <c r="D458" s="3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79" t="s">
        <v>15</v>
      </c>
      <c r="C459" s="97" t="s">
        <v>372</v>
      </c>
      <c r="D459" s="3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79" t="s">
        <v>15</v>
      </c>
      <c r="C460" s="97" t="s">
        <v>373</v>
      </c>
      <c r="D460" s="3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x14ac:dyDescent="0.25">
      <c r="B461" s="63"/>
      <c r="C461" s="64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64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41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0" t="s">
        <v>33</v>
      </c>
      <c r="C466" s="142" t="s">
        <v>16</v>
      </c>
      <c r="D466" s="142"/>
      <c r="E466" s="142"/>
      <c r="F466" s="143"/>
    </row>
    <row r="467" spans="1:40" s="15" customFormat="1" x14ac:dyDescent="0.25">
      <c r="A467" s="4"/>
      <c r="B467" s="129" t="s">
        <v>18</v>
      </c>
      <c r="C467" s="135" t="s">
        <v>374</v>
      </c>
      <c r="D467" s="12"/>
      <c r="E467" s="12"/>
      <c r="F467" s="14"/>
      <c r="G467" s="26"/>
      <c r="H467" s="13"/>
    </row>
    <row r="468" spans="1:40" x14ac:dyDescent="0.25">
      <c r="B468" s="79" t="s">
        <v>15</v>
      </c>
      <c r="C468" s="119" t="s">
        <v>375</v>
      </c>
      <c r="D468" s="38"/>
      <c r="E468" s="141" t="s">
        <v>9</v>
      </c>
      <c r="F468" s="18"/>
      <c r="G468" s="24"/>
      <c r="H468" s="19" t="b">
        <f>IF(D468="x",H$2,H$1)</f>
        <v>0</v>
      </c>
    </row>
    <row r="469" spans="1:40" x14ac:dyDescent="0.25">
      <c r="B469" s="79" t="s">
        <v>15</v>
      </c>
      <c r="C469" s="119" t="s">
        <v>376</v>
      </c>
      <c r="D469" s="38"/>
      <c r="E469" s="141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9" t="s">
        <v>15</v>
      </c>
      <c r="C470" s="119" t="s">
        <v>377</v>
      </c>
      <c r="D470" s="38"/>
      <c r="E470" s="141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9" t="s">
        <v>15</v>
      </c>
      <c r="C471" s="119" t="s">
        <v>378</v>
      </c>
      <c r="D471" s="38"/>
      <c r="E471" s="141" t="s">
        <v>12</v>
      </c>
      <c r="F471" s="18"/>
      <c r="G471" s="24"/>
      <c r="H471" s="22"/>
    </row>
    <row r="472" spans="1:40" x14ac:dyDescent="0.25">
      <c r="B472" s="42"/>
      <c r="C472" s="119"/>
      <c r="D472" s="38"/>
      <c r="E472" s="141" t="s">
        <v>13</v>
      </c>
      <c r="F472" s="18"/>
      <c r="G472" s="17"/>
      <c r="H472" s="22"/>
    </row>
    <row r="473" spans="1:40" s="15" customFormat="1" x14ac:dyDescent="0.25">
      <c r="A473" s="4"/>
      <c r="B473" s="138" t="s">
        <v>17</v>
      </c>
      <c r="C473" s="139" t="s">
        <v>379</v>
      </c>
      <c r="D473" s="39"/>
      <c r="E473" s="12"/>
      <c r="F473" s="14"/>
      <c r="G473" s="26"/>
      <c r="H473" s="13"/>
    </row>
    <row r="474" spans="1:40" x14ac:dyDescent="0.25">
      <c r="B474" s="79" t="s">
        <v>15</v>
      </c>
      <c r="C474" s="119" t="s">
        <v>380</v>
      </c>
      <c r="D474" s="38"/>
      <c r="E474" s="141" t="s">
        <v>9</v>
      </c>
      <c r="F474" s="18"/>
      <c r="G474" s="24"/>
      <c r="H474" s="19" t="b">
        <f>IF(D476="x",H$2,H$1)</f>
        <v>0</v>
      </c>
    </row>
    <row r="475" spans="1:40" x14ac:dyDescent="0.25">
      <c r="B475" s="79" t="s">
        <v>15</v>
      </c>
      <c r="C475" s="119" t="s">
        <v>381</v>
      </c>
      <c r="D475" s="38"/>
      <c r="E475" s="141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9" t="s">
        <v>15</v>
      </c>
      <c r="C476" s="120" t="s">
        <v>382</v>
      </c>
      <c r="D476" s="38"/>
      <c r="E476" s="141" t="s">
        <v>11</v>
      </c>
      <c r="F476" s="21" t="str">
        <f>IF(H476=-0.33,IF(H474=H$1,H474,""),"")</f>
        <v/>
      </c>
      <c r="G476" s="24"/>
      <c r="H476" s="22">
        <f t="shared" ref="H476" si="37">IF(H475=1,IF(H474=H$2,1,-0.33),0)</f>
        <v>0</v>
      </c>
    </row>
    <row r="477" spans="1:40" x14ac:dyDescent="0.25">
      <c r="B477" s="79" t="s">
        <v>15</v>
      </c>
      <c r="C477" s="119" t="s">
        <v>383</v>
      </c>
      <c r="D477" s="38"/>
      <c r="E477" s="141" t="s">
        <v>12</v>
      </c>
      <c r="F477" s="18"/>
      <c r="G477" s="24"/>
      <c r="H477" s="22"/>
    </row>
    <row r="478" spans="1:40" x14ac:dyDescent="0.25">
      <c r="B478" s="79"/>
      <c r="C478" s="119"/>
      <c r="D478" s="38"/>
      <c r="E478" s="141" t="s">
        <v>13</v>
      </c>
      <c r="F478" s="18"/>
      <c r="G478" s="17"/>
      <c r="H478" s="22"/>
    </row>
    <row r="479" spans="1:40" s="15" customFormat="1" x14ac:dyDescent="0.25">
      <c r="A479" s="4"/>
      <c r="B479" s="138" t="s">
        <v>19</v>
      </c>
      <c r="C479" s="140" t="s">
        <v>384</v>
      </c>
      <c r="D479" s="39"/>
      <c r="E479" s="12"/>
      <c r="F479" s="14"/>
      <c r="G479" s="26"/>
      <c r="H479" s="13"/>
    </row>
    <row r="480" spans="1:40" x14ac:dyDescent="0.25">
      <c r="B480" s="79" t="s">
        <v>15</v>
      </c>
      <c r="C480" s="119" t="s">
        <v>385</v>
      </c>
      <c r="D480" s="38"/>
      <c r="E480" s="141" t="s">
        <v>9</v>
      </c>
      <c r="F480" s="18"/>
      <c r="G480" s="24"/>
      <c r="H480" s="19" t="b">
        <f>IF(D482="x",H$2,H$1)</f>
        <v>0</v>
      </c>
    </row>
    <row r="481" spans="1:8" x14ac:dyDescent="0.25">
      <c r="B481" s="79" t="s">
        <v>15</v>
      </c>
      <c r="C481" s="119" t="s">
        <v>386</v>
      </c>
      <c r="D481" s="38"/>
      <c r="E481" s="141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9" t="s">
        <v>15</v>
      </c>
      <c r="C482" s="119" t="s">
        <v>387</v>
      </c>
      <c r="D482" s="38"/>
      <c r="E482" s="141" t="s">
        <v>11</v>
      </c>
      <c r="F482" s="21" t="str">
        <f>IF(H482=-0.33,IF(H480=H$1,H480,""),"")</f>
        <v/>
      </c>
      <c r="G482" s="24"/>
      <c r="H482" s="22">
        <f t="shared" ref="H482" si="38">IF(H481=1,IF(H480=H$2,1,-0.33),0)</f>
        <v>0</v>
      </c>
    </row>
    <row r="483" spans="1:8" x14ac:dyDescent="0.25">
      <c r="B483" s="79" t="s">
        <v>15</v>
      </c>
      <c r="C483" s="119" t="s">
        <v>388</v>
      </c>
      <c r="D483" s="38"/>
      <c r="E483" s="141" t="s">
        <v>12</v>
      </c>
      <c r="F483" s="18"/>
      <c r="G483" s="24"/>
      <c r="H483" s="22"/>
    </row>
    <row r="484" spans="1:8" x14ac:dyDescent="0.25">
      <c r="B484" s="79"/>
      <c r="C484" s="119"/>
      <c r="D484" s="38"/>
      <c r="E484" s="141" t="s">
        <v>13</v>
      </c>
      <c r="F484" s="18"/>
      <c r="G484" s="17"/>
      <c r="H484" s="22"/>
    </row>
    <row r="485" spans="1:8" s="15" customFormat="1" x14ac:dyDescent="0.25">
      <c r="A485" s="4"/>
      <c r="B485" s="138" t="s">
        <v>20</v>
      </c>
      <c r="C485" s="139" t="s">
        <v>389</v>
      </c>
      <c r="D485" s="39"/>
      <c r="E485" s="12"/>
      <c r="F485" s="14"/>
      <c r="G485" s="26"/>
      <c r="H485" s="13"/>
    </row>
    <row r="486" spans="1:8" x14ac:dyDescent="0.25">
      <c r="B486" s="79" t="s">
        <v>15</v>
      </c>
      <c r="C486" s="119" t="s">
        <v>390</v>
      </c>
      <c r="D486" s="38"/>
      <c r="E486" s="141" t="s">
        <v>9</v>
      </c>
      <c r="F486" s="18"/>
      <c r="G486" s="24"/>
      <c r="H486" s="19" t="b">
        <f>IF(D489="x",H$2,H$1)</f>
        <v>0</v>
      </c>
    </row>
    <row r="487" spans="1:8" x14ac:dyDescent="0.25">
      <c r="B487" s="79" t="s">
        <v>15</v>
      </c>
      <c r="C487" s="119" t="s">
        <v>391</v>
      </c>
      <c r="D487" s="38"/>
      <c r="E487" s="141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9" t="s">
        <v>15</v>
      </c>
      <c r="C488" s="119" t="s">
        <v>392</v>
      </c>
      <c r="D488" s="38"/>
      <c r="E488" s="141" t="s">
        <v>11</v>
      </c>
      <c r="F488" s="21" t="str">
        <f>IF(H488=-0.33,IF(H486=H$1,H486,""),"")</f>
        <v/>
      </c>
      <c r="G488" s="24"/>
      <c r="H488" s="22">
        <f t="shared" ref="H488" si="39">IF(H487=1,IF(H486=H$2,1,-0.33),0)</f>
        <v>0</v>
      </c>
    </row>
    <row r="489" spans="1:8" x14ac:dyDescent="0.25">
      <c r="B489" s="79" t="s">
        <v>15</v>
      </c>
      <c r="C489" s="119" t="s">
        <v>393</v>
      </c>
      <c r="D489" s="38"/>
      <c r="E489" s="141" t="s">
        <v>12</v>
      </c>
      <c r="F489" s="18"/>
      <c r="G489" s="24"/>
      <c r="H489" s="22"/>
    </row>
    <row r="490" spans="1:8" x14ac:dyDescent="0.25">
      <c r="B490" s="79"/>
      <c r="C490" s="119"/>
      <c r="D490" s="38"/>
      <c r="E490" s="141" t="s">
        <v>13</v>
      </c>
      <c r="F490" s="18"/>
      <c r="G490" s="17"/>
      <c r="H490" s="22"/>
    </row>
    <row r="491" spans="1:8" s="15" customFormat="1" x14ac:dyDescent="0.25">
      <c r="A491" s="4"/>
      <c r="B491" s="138" t="s">
        <v>21</v>
      </c>
      <c r="C491" s="139" t="s">
        <v>394</v>
      </c>
      <c r="D491" s="39"/>
      <c r="E491" s="12"/>
      <c r="F491" s="14"/>
      <c r="G491" s="26"/>
      <c r="H491" s="13"/>
    </row>
    <row r="492" spans="1:8" x14ac:dyDescent="0.25">
      <c r="B492" s="79" t="s">
        <v>15</v>
      </c>
      <c r="C492" s="118" t="s">
        <v>395</v>
      </c>
      <c r="D492" s="38"/>
      <c r="E492" s="141" t="s">
        <v>9</v>
      </c>
      <c r="F492" s="18"/>
      <c r="G492" s="24"/>
      <c r="H492" s="19" t="b">
        <f>IF(D494="x",H$2,H$1)</f>
        <v>0</v>
      </c>
    </row>
    <row r="493" spans="1:8" x14ac:dyDescent="0.25">
      <c r="B493" s="79" t="s">
        <v>15</v>
      </c>
      <c r="C493" s="119" t="s">
        <v>396</v>
      </c>
      <c r="D493" s="38"/>
      <c r="E493" s="141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9" t="s">
        <v>15</v>
      </c>
      <c r="C494" s="119" t="s">
        <v>397</v>
      </c>
      <c r="D494" s="38"/>
      <c r="E494" s="141" t="s">
        <v>11</v>
      </c>
      <c r="F494" s="21" t="str">
        <f>IF(H494=-0.33,IF(H492=H$1,H492,""),"")</f>
        <v/>
      </c>
      <c r="G494" s="24"/>
      <c r="H494" s="22">
        <f t="shared" ref="H494" si="40">IF(H493=1,IF(H492=H$2,1,-0.33),0)</f>
        <v>0</v>
      </c>
    </row>
    <row r="495" spans="1:8" x14ac:dyDescent="0.25">
      <c r="B495" s="79" t="s">
        <v>15</v>
      </c>
      <c r="C495" s="119" t="s">
        <v>398</v>
      </c>
      <c r="D495" s="38"/>
      <c r="E495" s="141" t="s">
        <v>12</v>
      </c>
      <c r="F495" s="18"/>
      <c r="G495" s="24"/>
      <c r="H495" s="22"/>
    </row>
    <row r="496" spans="1:8" x14ac:dyDescent="0.25">
      <c r="B496" s="79"/>
      <c r="C496" s="16"/>
      <c r="D496" s="38"/>
      <c r="E496" s="141" t="s">
        <v>13</v>
      </c>
      <c r="F496" s="18"/>
      <c r="G496" s="17"/>
      <c r="H496" s="22"/>
    </row>
    <row r="497" spans="1:8" s="15" customFormat="1" x14ac:dyDescent="0.25">
      <c r="A497" s="4"/>
      <c r="B497" s="138" t="s">
        <v>22</v>
      </c>
      <c r="C497" s="140" t="s">
        <v>399</v>
      </c>
      <c r="D497" s="39"/>
      <c r="E497" s="12"/>
      <c r="F497" s="14"/>
      <c r="G497" s="26"/>
      <c r="H497" s="13"/>
    </row>
    <row r="498" spans="1:8" x14ac:dyDescent="0.25">
      <c r="B498" s="79" t="s">
        <v>15</v>
      </c>
      <c r="C498" s="118" t="s">
        <v>400</v>
      </c>
      <c r="D498" s="38"/>
      <c r="E498" s="141" t="s">
        <v>9</v>
      </c>
      <c r="F498" s="18"/>
      <c r="G498" s="24"/>
      <c r="H498" s="19" t="b">
        <f>IF(D499="x",H$2,H$1)</f>
        <v>0</v>
      </c>
    </row>
    <row r="499" spans="1:8" x14ac:dyDescent="0.25">
      <c r="B499" s="79" t="s">
        <v>15</v>
      </c>
      <c r="C499" s="119" t="s">
        <v>401</v>
      </c>
      <c r="D499" s="38"/>
      <c r="E499" s="141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9" t="s">
        <v>15</v>
      </c>
      <c r="C500" s="119" t="s">
        <v>402</v>
      </c>
      <c r="D500" s="38"/>
      <c r="E500" s="141" t="s">
        <v>11</v>
      </c>
      <c r="F500" s="21" t="str">
        <f>IF(H500=-0.33,IF(H498=H$1,H498,""),"")</f>
        <v/>
      </c>
      <c r="G500" s="24"/>
      <c r="H500" s="22">
        <f t="shared" ref="H500" si="41">IF(H499=1,IF(H498=H$2,1,-0.33),0)</f>
        <v>0</v>
      </c>
    </row>
    <row r="501" spans="1:8" x14ac:dyDescent="0.25">
      <c r="B501" s="79" t="s">
        <v>15</v>
      </c>
      <c r="C501" s="119" t="s">
        <v>403</v>
      </c>
      <c r="D501" s="38"/>
      <c r="E501" s="141" t="s">
        <v>12</v>
      </c>
      <c r="F501" s="18"/>
      <c r="G501" s="24"/>
      <c r="H501" s="22"/>
    </row>
    <row r="502" spans="1:8" x14ac:dyDescent="0.25">
      <c r="B502" s="42"/>
      <c r="C502" s="16"/>
      <c r="D502" s="38"/>
      <c r="E502" s="141" t="s">
        <v>13</v>
      </c>
      <c r="F502" s="18"/>
      <c r="G502" s="17"/>
      <c r="H502" s="22"/>
    </row>
    <row r="503" spans="1:8" s="15" customFormat="1" x14ac:dyDescent="0.25">
      <c r="A503" s="4"/>
      <c r="B503" s="138" t="s">
        <v>23</v>
      </c>
      <c r="C503" s="140" t="s">
        <v>472</v>
      </c>
      <c r="D503" s="39"/>
      <c r="E503" s="12"/>
      <c r="F503" s="14"/>
      <c r="G503" s="26"/>
      <c r="H503" s="13"/>
    </row>
    <row r="504" spans="1:8" x14ac:dyDescent="0.25">
      <c r="B504" s="79" t="s">
        <v>15</v>
      </c>
      <c r="C504" s="118" t="s">
        <v>404</v>
      </c>
      <c r="D504" s="38"/>
      <c r="E504" s="141" t="s">
        <v>9</v>
      </c>
      <c r="F504" s="18"/>
      <c r="G504" s="24"/>
      <c r="H504" s="19" t="b">
        <f>IF(D505="x",H$2,H$1)</f>
        <v>0</v>
      </c>
    </row>
    <row r="505" spans="1:8" x14ac:dyDescent="0.25">
      <c r="B505" s="79" t="s">
        <v>15</v>
      </c>
      <c r="C505" s="119" t="s">
        <v>405</v>
      </c>
      <c r="D505" s="38"/>
      <c r="E505" s="141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9" t="s">
        <v>15</v>
      </c>
      <c r="C506" s="119" t="s">
        <v>406</v>
      </c>
      <c r="D506" s="38"/>
      <c r="E506" s="141" t="s">
        <v>11</v>
      </c>
      <c r="F506" s="21" t="str">
        <f>IF(H506=-0.33,IF(H504=H$1,H504,""),"")</f>
        <v/>
      </c>
      <c r="G506" s="24"/>
      <c r="H506" s="22">
        <f t="shared" ref="H506" si="42">IF(H505=1,IF(H504=H$2,1,-0.33),0)</f>
        <v>0</v>
      </c>
    </row>
    <row r="507" spans="1:8" x14ac:dyDescent="0.25">
      <c r="B507" s="79" t="s">
        <v>15</v>
      </c>
      <c r="C507" s="118" t="s">
        <v>407</v>
      </c>
      <c r="D507" s="38"/>
      <c r="E507" s="141" t="s">
        <v>12</v>
      </c>
      <c r="F507" s="18"/>
      <c r="G507" s="24"/>
      <c r="H507" s="22"/>
    </row>
    <row r="508" spans="1:8" x14ac:dyDescent="0.25">
      <c r="B508" s="42"/>
      <c r="C508" s="119"/>
      <c r="D508" s="38"/>
      <c r="E508" s="141" t="s">
        <v>13</v>
      </c>
      <c r="F508" s="18"/>
      <c r="G508" s="17"/>
      <c r="H508" s="22"/>
    </row>
    <row r="509" spans="1:8" s="15" customFormat="1" x14ac:dyDescent="0.25">
      <c r="A509" s="4"/>
      <c r="B509" s="138" t="s">
        <v>24</v>
      </c>
      <c r="C509" s="140" t="s">
        <v>408</v>
      </c>
      <c r="D509" s="39"/>
      <c r="E509" s="12"/>
      <c r="F509" s="14"/>
      <c r="G509" s="26"/>
      <c r="H509" s="13"/>
    </row>
    <row r="510" spans="1:8" x14ac:dyDescent="0.25">
      <c r="B510" s="79" t="s">
        <v>15</v>
      </c>
      <c r="C510" s="118" t="s">
        <v>409</v>
      </c>
      <c r="D510" s="38"/>
      <c r="E510" s="141" t="s">
        <v>9</v>
      </c>
      <c r="F510" s="18"/>
      <c r="G510" s="24"/>
      <c r="H510" s="19" t="b">
        <f>IF(D512="x",H$2,H$1)</f>
        <v>0</v>
      </c>
    </row>
    <row r="511" spans="1:8" x14ac:dyDescent="0.25">
      <c r="B511" s="79" t="s">
        <v>15</v>
      </c>
      <c r="C511" s="118" t="s">
        <v>410</v>
      </c>
      <c r="D511" s="38"/>
      <c r="E511" s="141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9" t="s">
        <v>15</v>
      </c>
      <c r="C512" s="118" t="s">
        <v>411</v>
      </c>
      <c r="D512" s="38"/>
      <c r="E512" s="141" t="s">
        <v>11</v>
      </c>
      <c r="F512" s="21" t="str">
        <f>IF(H512=-0.33,IF(H510=H$1,H510,""),"")</f>
        <v/>
      </c>
      <c r="G512" s="24"/>
      <c r="H512" s="22">
        <f t="shared" ref="H512" si="43">IF(H511=1,IF(H510=H$2,1,-0.33),0)</f>
        <v>0</v>
      </c>
    </row>
    <row r="513" spans="2:8" x14ac:dyDescent="0.25">
      <c r="B513" s="79" t="s">
        <v>15</v>
      </c>
      <c r="C513" s="118" t="s">
        <v>412</v>
      </c>
      <c r="D513" s="38"/>
      <c r="E513" s="141" t="s">
        <v>12</v>
      </c>
      <c r="F513" s="18"/>
      <c r="G513" s="24"/>
      <c r="H513" s="22"/>
    </row>
    <row r="514" spans="2:8" x14ac:dyDescent="0.25">
      <c r="B514" s="107"/>
      <c r="C514" s="16"/>
      <c r="D514" s="38"/>
      <c r="E514" s="141" t="s">
        <v>13</v>
      </c>
      <c r="F514" s="18"/>
      <c r="G514" s="17"/>
      <c r="H514" s="22"/>
    </row>
    <row r="515" spans="2:8" x14ac:dyDescent="0.25">
      <c r="B515" s="107"/>
      <c r="C515" s="16"/>
      <c r="D515" s="48"/>
      <c r="E515" s="141"/>
      <c r="F515" s="18"/>
      <c r="G515" s="17"/>
      <c r="H515" s="22"/>
    </row>
    <row r="516" spans="2:8" x14ac:dyDescent="0.25">
      <c r="B516" s="138" t="s">
        <v>29</v>
      </c>
      <c r="C516" s="140" t="s">
        <v>413</v>
      </c>
      <c r="D516" s="39"/>
      <c r="E516" s="12"/>
      <c r="F516" s="14"/>
      <c r="G516" s="26"/>
      <c r="H516" s="13"/>
    </row>
    <row r="517" spans="2:8" x14ac:dyDescent="0.25">
      <c r="B517" s="79" t="s">
        <v>15</v>
      </c>
      <c r="C517" s="118" t="s">
        <v>414</v>
      </c>
      <c r="D517" s="38"/>
      <c r="E517" s="141" t="s">
        <v>9</v>
      </c>
      <c r="F517" s="18"/>
      <c r="G517" s="24"/>
      <c r="H517" s="19" t="b">
        <f>IF(D519="x",H$2,H$1)</f>
        <v>0</v>
      </c>
    </row>
    <row r="518" spans="2:8" x14ac:dyDescent="0.25">
      <c r="B518" s="79" t="s">
        <v>15</v>
      </c>
      <c r="C518" s="118" t="s">
        <v>415</v>
      </c>
      <c r="D518" s="38"/>
      <c r="E518" s="141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9" t="s">
        <v>15</v>
      </c>
      <c r="C519" s="118" t="s">
        <v>416</v>
      </c>
      <c r="D519" s="38"/>
      <c r="E519" s="141" t="s">
        <v>11</v>
      </c>
      <c r="F519" s="21" t="str">
        <f>IF(H519=-0.33,IF(H517=H$1,H517,""),"")</f>
        <v/>
      </c>
      <c r="G519" s="24"/>
      <c r="H519" s="22">
        <f t="shared" ref="H519" si="44">IF(H518=1,IF(H517=H$2,1,-0.33),0)</f>
        <v>0</v>
      </c>
    </row>
    <row r="520" spans="2:8" x14ac:dyDescent="0.25">
      <c r="B520" s="79" t="s">
        <v>15</v>
      </c>
      <c r="C520" s="118" t="s">
        <v>417</v>
      </c>
      <c r="D520" s="38"/>
      <c r="E520" s="141" t="s">
        <v>12</v>
      </c>
      <c r="F520" s="18"/>
      <c r="G520" s="24"/>
      <c r="H520" s="22"/>
    </row>
    <row r="521" spans="2:8" x14ac:dyDescent="0.25">
      <c r="B521" s="107"/>
      <c r="C521" s="16"/>
      <c r="D521" s="38"/>
      <c r="E521" s="141" t="s">
        <v>13</v>
      </c>
      <c r="F521" s="18"/>
      <c r="G521" s="17"/>
      <c r="H521" s="22"/>
    </row>
    <row r="522" spans="2:8" x14ac:dyDescent="0.25">
      <c r="B522" s="107"/>
      <c r="C522" s="16"/>
      <c r="D522" s="48"/>
      <c r="E522" s="141"/>
      <c r="F522" s="18"/>
      <c r="G522" s="17"/>
      <c r="H522" s="22"/>
    </row>
    <row r="523" spans="2:8" x14ac:dyDescent="0.25">
      <c r="B523" s="138" t="s">
        <v>27</v>
      </c>
      <c r="C523" s="140" t="s">
        <v>418</v>
      </c>
      <c r="D523" s="39"/>
      <c r="E523" s="12"/>
      <c r="F523" s="14"/>
      <c r="G523" s="26"/>
      <c r="H523" s="13"/>
    </row>
    <row r="524" spans="2:8" x14ac:dyDescent="0.25">
      <c r="B524" s="79" t="s">
        <v>15</v>
      </c>
      <c r="C524" s="118" t="s">
        <v>419</v>
      </c>
      <c r="D524" s="38"/>
      <c r="E524" s="141" t="s">
        <v>9</v>
      </c>
      <c r="F524" s="18"/>
      <c r="G524" s="24"/>
      <c r="H524" s="19" t="b">
        <f>IF(D527="x",H$2,H$1)</f>
        <v>0</v>
      </c>
    </row>
    <row r="525" spans="2:8" x14ac:dyDescent="0.25">
      <c r="B525" s="79" t="s">
        <v>15</v>
      </c>
      <c r="C525" s="118" t="s">
        <v>420</v>
      </c>
      <c r="D525" s="38"/>
      <c r="E525" s="141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 x14ac:dyDescent="0.25">
      <c r="B526" s="79" t="s">
        <v>15</v>
      </c>
      <c r="C526" s="118" t="s">
        <v>421</v>
      </c>
      <c r="D526" s="38"/>
      <c r="E526" s="141" t="s">
        <v>11</v>
      </c>
      <c r="F526" s="21" t="str">
        <f>IF(H526=-0.33,IF(H524=H$1,H524,""),"")</f>
        <v/>
      </c>
      <c r="G526" s="24"/>
      <c r="H526" s="22">
        <f t="shared" ref="H526" si="45">IF(H525=1,IF(H524=H$2,1,-0.33),0)</f>
        <v>0</v>
      </c>
    </row>
    <row r="527" spans="2:8" x14ac:dyDescent="0.25">
      <c r="B527" s="79" t="s">
        <v>15</v>
      </c>
      <c r="C527" s="118" t="s">
        <v>422</v>
      </c>
      <c r="D527" s="38"/>
      <c r="E527" s="141" t="s">
        <v>12</v>
      </c>
      <c r="F527" s="18"/>
      <c r="G527" s="24"/>
      <c r="H527" s="22"/>
    </row>
    <row r="528" spans="2:8" x14ac:dyDescent="0.25">
      <c r="B528" s="107"/>
      <c r="C528" s="16"/>
      <c r="D528" s="38"/>
      <c r="E528" s="141" t="s">
        <v>13</v>
      </c>
      <c r="F528" s="18"/>
      <c r="G528" s="17"/>
      <c r="H528" s="22"/>
    </row>
    <row r="529" spans="2:9" x14ac:dyDescent="0.25">
      <c r="B529" s="107"/>
      <c r="C529" s="16"/>
      <c r="D529" s="48"/>
      <c r="E529" s="54"/>
      <c r="F529" s="18"/>
      <c r="G529" s="17"/>
      <c r="H529" s="22"/>
    </row>
    <row r="530" spans="2:9" x14ac:dyDescent="0.25">
      <c r="B530" s="42"/>
      <c r="C530" s="8"/>
      <c r="D530" s="48"/>
      <c r="E530" s="59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51"/>
      <c r="E531" s="151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5"/>
      <c r="C532" s="66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0" t="s">
        <v>33</v>
      </c>
      <c r="C533" s="142" t="s">
        <v>423</v>
      </c>
      <c r="D533" s="142"/>
      <c r="E533" s="142"/>
      <c r="F533" s="143"/>
    </row>
    <row r="534" spans="2:9" x14ac:dyDescent="0.25">
      <c r="B534" s="129" t="s">
        <v>18</v>
      </c>
      <c r="C534" s="135" t="s">
        <v>424</v>
      </c>
      <c r="D534" s="12"/>
      <c r="E534" s="12"/>
      <c r="F534" s="14"/>
      <c r="G534" s="26"/>
      <c r="H534" s="13"/>
      <c r="I534" s="15"/>
    </row>
    <row r="535" spans="2:9" x14ac:dyDescent="0.25">
      <c r="B535" s="79" t="s">
        <v>15</v>
      </c>
      <c r="C535" s="146">
        <v>1990</v>
      </c>
      <c r="D535" s="38"/>
      <c r="E535" s="141" t="s">
        <v>9</v>
      </c>
      <c r="F535" s="18"/>
      <c r="G535" s="24"/>
      <c r="H535" s="19" t="b">
        <f>IF(D537="x",H$2,H$1)</f>
        <v>0</v>
      </c>
    </row>
    <row r="536" spans="2:9" x14ac:dyDescent="0.25">
      <c r="B536" s="79" t="s">
        <v>15</v>
      </c>
      <c r="C536" s="146">
        <v>1995</v>
      </c>
      <c r="D536" s="38"/>
      <c r="E536" s="141" t="s">
        <v>10</v>
      </c>
      <c r="F536" s="20" t="str">
        <f>IF(H537=1,IF(H535=H$2,H535,""),"")</f>
        <v/>
      </c>
      <c r="G536" s="24"/>
      <c r="H536" s="19" t="str">
        <f>IF(E$529="comprobar",COUNTIF(D535:D539,"x"),"")</f>
        <v/>
      </c>
    </row>
    <row r="537" spans="2:9" x14ac:dyDescent="0.25">
      <c r="B537" s="79" t="s">
        <v>15</v>
      </c>
      <c r="C537" s="146">
        <v>1999</v>
      </c>
      <c r="D537" s="38"/>
      <c r="E537" s="141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9" t="s">
        <v>15</v>
      </c>
      <c r="C538" s="146">
        <v>2004</v>
      </c>
      <c r="D538" s="38"/>
      <c r="E538" s="141" t="s">
        <v>12</v>
      </c>
      <c r="F538" s="18"/>
      <c r="G538" s="24"/>
      <c r="H538" s="22"/>
    </row>
    <row r="539" spans="2:9" x14ac:dyDescent="0.25">
      <c r="B539" s="42"/>
      <c r="C539" s="119"/>
      <c r="D539" s="38"/>
      <c r="E539" s="141" t="s">
        <v>13</v>
      </c>
      <c r="F539" s="18"/>
      <c r="G539" s="17"/>
      <c r="H539" s="22"/>
    </row>
    <row r="540" spans="2:9" x14ac:dyDescent="0.25">
      <c r="B540" s="138" t="s">
        <v>17</v>
      </c>
      <c r="C540" s="147" t="s">
        <v>425</v>
      </c>
      <c r="D540" s="12"/>
      <c r="E540" s="12"/>
      <c r="F540" s="14"/>
      <c r="G540" s="26"/>
      <c r="H540" s="13"/>
      <c r="I540" s="15"/>
    </row>
    <row r="541" spans="2:9" x14ac:dyDescent="0.25">
      <c r="B541" s="79" t="s">
        <v>15</v>
      </c>
      <c r="C541" s="119" t="s">
        <v>426</v>
      </c>
      <c r="D541" s="38"/>
      <c r="E541" s="141" t="s">
        <v>9</v>
      </c>
      <c r="F541" s="18"/>
      <c r="G541" s="24"/>
      <c r="H541" s="19" t="b">
        <f>IF(D541="x",H$2,H$1)</f>
        <v>0</v>
      </c>
    </row>
    <row r="542" spans="2:9" x14ac:dyDescent="0.25">
      <c r="B542" s="79" t="s">
        <v>15</v>
      </c>
      <c r="C542" s="119" t="s">
        <v>427</v>
      </c>
      <c r="D542" s="38"/>
      <c r="E542" s="141" t="s">
        <v>10</v>
      </c>
      <c r="F542" s="20" t="str">
        <f>IF(H543=1,IF(H541=H$2,H541,""),"")</f>
        <v/>
      </c>
      <c r="G542" s="24"/>
      <c r="H542" s="19" t="str">
        <f>IF(E$529="comprobar",COUNTIF(D541:D545,"x"),"")</f>
        <v/>
      </c>
    </row>
    <row r="543" spans="2:9" x14ac:dyDescent="0.25">
      <c r="B543" s="79" t="s">
        <v>15</v>
      </c>
      <c r="C543" s="120" t="s">
        <v>428</v>
      </c>
      <c r="D543" s="38"/>
      <c r="E543" s="141" t="s">
        <v>11</v>
      </c>
      <c r="F543" s="21" t="str">
        <f>IF(H543=-0.33,IF(H541=H$1,H541,""),"")</f>
        <v/>
      </c>
      <c r="G543" s="24"/>
      <c r="H543" s="22">
        <f t="shared" ref="H543" si="46">IF(H542=1,IF(H541=H$2,1,-0.33),0)</f>
        <v>0</v>
      </c>
    </row>
    <row r="544" spans="2:9" x14ac:dyDescent="0.25">
      <c r="B544" s="79" t="s">
        <v>15</v>
      </c>
      <c r="C544" s="119" t="s">
        <v>429</v>
      </c>
      <c r="D544" s="38"/>
      <c r="E544" s="141" t="s">
        <v>12</v>
      </c>
      <c r="F544" s="18"/>
      <c r="G544" s="24"/>
      <c r="H544" s="22"/>
    </row>
    <row r="545" spans="2:9" x14ac:dyDescent="0.25">
      <c r="B545" s="79"/>
      <c r="C545" s="119"/>
      <c r="D545" s="38"/>
      <c r="E545" s="141" t="s">
        <v>13</v>
      </c>
      <c r="F545" s="18"/>
      <c r="G545" s="17"/>
      <c r="H545" s="22"/>
    </row>
    <row r="546" spans="2:9" x14ac:dyDescent="0.25">
      <c r="B546" s="138" t="s">
        <v>19</v>
      </c>
      <c r="C546" s="147" t="s">
        <v>430</v>
      </c>
      <c r="D546" s="12"/>
      <c r="E546" s="12"/>
      <c r="F546" s="14"/>
      <c r="G546" s="26"/>
      <c r="H546" s="13"/>
      <c r="I546" s="15"/>
    </row>
    <row r="547" spans="2:9" x14ac:dyDescent="0.25">
      <c r="B547" s="79" t="s">
        <v>15</v>
      </c>
      <c r="C547" s="119" t="s">
        <v>431</v>
      </c>
      <c r="D547" s="38"/>
      <c r="E547" s="141" t="s">
        <v>9</v>
      </c>
      <c r="F547" s="18"/>
      <c r="G547" s="24"/>
      <c r="H547" s="19" t="b">
        <f>IF(D549="x",H$2,H$1)</f>
        <v>0</v>
      </c>
    </row>
    <row r="548" spans="2:9" x14ac:dyDescent="0.25">
      <c r="B548" s="79" t="s">
        <v>15</v>
      </c>
      <c r="C548" s="119" t="s">
        <v>432</v>
      </c>
      <c r="D548" s="38"/>
      <c r="E548" s="141" t="s">
        <v>10</v>
      </c>
      <c r="F548" s="20" t="str">
        <f>IF(H549=1,IF(H547=H$2,H547,""),"")</f>
        <v/>
      </c>
      <c r="G548" s="24"/>
      <c r="H548" s="19" t="str">
        <f>IF(E$529="comprobar",COUNTIF(D547:D551,"x"),"")</f>
        <v/>
      </c>
    </row>
    <row r="549" spans="2:9" x14ac:dyDescent="0.25">
      <c r="B549" s="79" t="s">
        <v>15</v>
      </c>
      <c r="C549" s="119" t="s">
        <v>433</v>
      </c>
      <c r="D549" s="38"/>
      <c r="E549" s="141" t="s">
        <v>11</v>
      </c>
      <c r="F549" s="21" t="str">
        <f>IF(H549=-0.33,IF(H547=H$1,H547,""),"")</f>
        <v/>
      </c>
      <c r="G549" s="24"/>
      <c r="H549" s="22">
        <f t="shared" ref="H549" si="47">IF(H548=1,IF(H547=H$2,1,-0.33),0)</f>
        <v>0</v>
      </c>
    </row>
    <row r="550" spans="2:9" x14ac:dyDescent="0.25">
      <c r="B550" s="79" t="s">
        <v>15</v>
      </c>
      <c r="C550" s="119" t="s">
        <v>434</v>
      </c>
      <c r="D550" s="38"/>
      <c r="E550" s="141" t="s">
        <v>12</v>
      </c>
      <c r="F550" s="18"/>
      <c r="G550" s="24"/>
      <c r="H550" s="22"/>
    </row>
    <row r="551" spans="2:9" x14ac:dyDescent="0.25">
      <c r="B551" s="79"/>
      <c r="C551" s="119"/>
      <c r="D551" s="38"/>
      <c r="E551" s="141" t="s">
        <v>13</v>
      </c>
      <c r="F551" s="18"/>
      <c r="G551" s="17"/>
      <c r="H551" s="22"/>
    </row>
    <row r="552" spans="2:9" x14ac:dyDescent="0.25">
      <c r="B552" s="138" t="s">
        <v>20</v>
      </c>
      <c r="C552" s="139" t="s">
        <v>435</v>
      </c>
      <c r="D552" s="39"/>
      <c r="E552" s="12"/>
      <c r="F552" s="14"/>
      <c r="G552" s="26"/>
      <c r="H552" s="13"/>
      <c r="I552" s="15"/>
    </row>
    <row r="553" spans="2:9" x14ac:dyDescent="0.25">
      <c r="B553" s="79" t="s">
        <v>15</v>
      </c>
      <c r="C553" s="119" t="s">
        <v>437</v>
      </c>
      <c r="D553" s="38"/>
      <c r="E553" s="141" t="s">
        <v>9</v>
      </c>
      <c r="F553" s="18"/>
      <c r="G553" s="24"/>
      <c r="H553" s="19" t="b">
        <f>IF(D556="x",H$2,H$1)</f>
        <v>0</v>
      </c>
    </row>
    <row r="554" spans="2:9" x14ac:dyDescent="0.25">
      <c r="B554" s="79" t="s">
        <v>15</v>
      </c>
      <c r="C554" s="119" t="s">
        <v>438</v>
      </c>
      <c r="D554" s="38"/>
      <c r="E554" s="141" t="s">
        <v>10</v>
      </c>
      <c r="F554" s="20" t="str">
        <f>IF(H555=1,IF(H553=H$2,H553,""),"")</f>
        <v/>
      </c>
      <c r="G554" s="24"/>
      <c r="H554" s="19" t="str">
        <f>IF(E$529="comprobar",COUNTIF(D553:D557,"x"),"")</f>
        <v/>
      </c>
    </row>
    <row r="555" spans="2:9" x14ac:dyDescent="0.25">
      <c r="B555" s="79" t="s">
        <v>15</v>
      </c>
      <c r="C555" s="119" t="s">
        <v>439</v>
      </c>
      <c r="D555" s="38"/>
      <c r="E555" s="141" t="s">
        <v>11</v>
      </c>
      <c r="F555" s="21" t="str">
        <f>IF(H555=-0.33,IF(H553=H$1,H553,""),"")</f>
        <v/>
      </c>
      <c r="G555" s="24"/>
      <c r="H555" s="22">
        <f t="shared" ref="H555" si="48">IF(H554=1,IF(H553=H$2,1,-0.33),0)</f>
        <v>0</v>
      </c>
    </row>
    <row r="556" spans="2:9" x14ac:dyDescent="0.25">
      <c r="B556" s="79" t="s">
        <v>15</v>
      </c>
      <c r="C556" s="119" t="s">
        <v>436</v>
      </c>
      <c r="D556" s="38"/>
      <c r="E556" s="141" t="s">
        <v>12</v>
      </c>
      <c r="F556" s="18"/>
      <c r="G556" s="24"/>
      <c r="H556" s="22"/>
    </row>
    <row r="557" spans="2:9" x14ac:dyDescent="0.25">
      <c r="B557" s="79"/>
      <c r="C557" s="119"/>
      <c r="D557" s="38"/>
      <c r="E557" s="141" t="s">
        <v>13</v>
      </c>
      <c r="F557" s="18"/>
      <c r="G557" s="17"/>
      <c r="H557" s="22"/>
    </row>
    <row r="558" spans="2:9" x14ac:dyDescent="0.25">
      <c r="B558" s="138" t="s">
        <v>21</v>
      </c>
      <c r="C558" s="139" t="s">
        <v>440</v>
      </c>
      <c r="D558" s="39"/>
      <c r="E558" s="12"/>
      <c r="F558" s="14"/>
      <c r="G558" s="26"/>
      <c r="H558" s="13"/>
      <c r="I558" s="15"/>
    </row>
    <row r="559" spans="2:9" x14ac:dyDescent="0.25">
      <c r="B559" s="79" t="s">
        <v>15</v>
      </c>
      <c r="C559" s="118" t="s">
        <v>441</v>
      </c>
      <c r="D559" s="38"/>
      <c r="E559" s="141" t="s">
        <v>9</v>
      </c>
      <c r="F559" s="18"/>
      <c r="G559" s="24"/>
      <c r="H559" s="19" t="b">
        <f>IF(D561="x",H$2,H$1)</f>
        <v>0</v>
      </c>
    </row>
    <row r="560" spans="2:9" x14ac:dyDescent="0.25">
      <c r="B560" s="79" t="s">
        <v>15</v>
      </c>
      <c r="C560" s="119" t="s">
        <v>442</v>
      </c>
      <c r="D560" s="38"/>
      <c r="E560" s="141" t="s">
        <v>10</v>
      </c>
      <c r="F560" s="20" t="str">
        <f>IF(H561=1,IF(H559=H$2,H559,""),"")</f>
        <v/>
      </c>
      <c r="G560" s="24"/>
      <c r="H560" s="19" t="str">
        <f>IF(E$529="comprobar",COUNTIF(D559:D563,"x"),"")</f>
        <v/>
      </c>
    </row>
    <row r="561" spans="2:9" x14ac:dyDescent="0.25">
      <c r="B561" s="79" t="s">
        <v>15</v>
      </c>
      <c r="C561" s="119" t="s">
        <v>443</v>
      </c>
      <c r="D561" s="38"/>
      <c r="E561" s="141" t="s">
        <v>11</v>
      </c>
      <c r="F561" s="21" t="str">
        <f>IF(H561=-0.33,IF(H559=H$1,H559,""),"")</f>
        <v/>
      </c>
      <c r="G561" s="24"/>
      <c r="H561" s="22">
        <f t="shared" ref="H561" si="49">IF(H560=1,IF(H559=H$2,1,-0.33),0)</f>
        <v>0</v>
      </c>
    </row>
    <row r="562" spans="2:9" x14ac:dyDescent="0.25">
      <c r="B562" s="79" t="s">
        <v>15</v>
      </c>
      <c r="C562" s="119" t="s">
        <v>444</v>
      </c>
      <c r="D562" s="38"/>
      <c r="E562" s="141" t="s">
        <v>12</v>
      </c>
      <c r="F562" s="18"/>
      <c r="G562" s="24"/>
      <c r="H562" s="22"/>
    </row>
    <row r="563" spans="2:9" x14ac:dyDescent="0.25">
      <c r="B563" s="79"/>
      <c r="C563" s="16"/>
      <c r="D563" s="38"/>
      <c r="E563" s="141" t="s">
        <v>13</v>
      </c>
      <c r="F563" s="18"/>
      <c r="G563" s="17"/>
      <c r="H563" s="22"/>
    </row>
    <row r="564" spans="2:9" x14ac:dyDescent="0.25">
      <c r="B564" s="138" t="s">
        <v>22</v>
      </c>
      <c r="C564" s="147" t="s">
        <v>445</v>
      </c>
      <c r="D564" s="12"/>
      <c r="E564" s="12"/>
      <c r="F564" s="14"/>
      <c r="G564" s="26"/>
      <c r="H564" s="13"/>
      <c r="I564" s="15"/>
    </row>
    <row r="565" spans="2:9" x14ac:dyDescent="0.25">
      <c r="B565" s="79" t="s">
        <v>15</v>
      </c>
      <c r="C565" s="148">
        <v>1990</v>
      </c>
      <c r="D565" s="38"/>
      <c r="E565" s="141" t="s">
        <v>9</v>
      </c>
      <c r="F565" s="18"/>
      <c r="G565" s="24"/>
      <c r="H565" s="19" t="b">
        <f>IF(D566="x",H$2,H$1)</f>
        <v>0</v>
      </c>
    </row>
    <row r="566" spans="2:9" x14ac:dyDescent="0.25">
      <c r="B566" s="79" t="s">
        <v>15</v>
      </c>
      <c r="C566" s="146">
        <v>2002</v>
      </c>
      <c r="D566" s="38"/>
      <c r="E566" s="141" t="s">
        <v>10</v>
      </c>
      <c r="F566" s="20" t="str">
        <f>IF(H567=1,IF(H565=H$2,H565,""),"")</f>
        <v/>
      </c>
      <c r="G566" s="24"/>
      <c r="H566" s="19" t="str">
        <f>IF(E$529="comprobar",COUNTIF(D565:D569,"x"),"")</f>
        <v/>
      </c>
    </row>
    <row r="567" spans="2:9" x14ac:dyDescent="0.25">
      <c r="B567" s="79" t="s">
        <v>15</v>
      </c>
      <c r="C567" s="146">
        <v>1999</v>
      </c>
      <c r="D567" s="38"/>
      <c r="E567" s="141" t="s">
        <v>11</v>
      </c>
      <c r="F567" s="21" t="str">
        <f>IF(H567=-0.33,IF(H565=H$1,H565,""),"")</f>
        <v/>
      </c>
      <c r="G567" s="24"/>
      <c r="H567" s="22">
        <f t="shared" ref="H567" si="50">IF(H566=1,IF(H565=H$2,1,-0.33),0)</f>
        <v>0</v>
      </c>
    </row>
    <row r="568" spans="2:9" x14ac:dyDescent="0.25">
      <c r="B568" s="79" t="s">
        <v>15</v>
      </c>
      <c r="C568" s="146">
        <v>2004</v>
      </c>
      <c r="D568" s="38"/>
      <c r="E568" s="141" t="s">
        <v>12</v>
      </c>
      <c r="F568" s="18"/>
      <c r="G568" s="24"/>
      <c r="H568" s="22"/>
    </row>
    <row r="569" spans="2:9" x14ac:dyDescent="0.25">
      <c r="B569" s="42"/>
      <c r="C569" s="16"/>
      <c r="D569" s="38"/>
      <c r="E569" s="141" t="s">
        <v>13</v>
      </c>
      <c r="F569" s="18"/>
      <c r="G569" s="17"/>
      <c r="H569" s="22"/>
    </row>
    <row r="570" spans="2:9" x14ac:dyDescent="0.25">
      <c r="B570" s="138" t="s">
        <v>23</v>
      </c>
      <c r="C570" s="147" t="s">
        <v>446</v>
      </c>
      <c r="D570" s="12"/>
      <c r="E570" s="12"/>
      <c r="F570" s="14"/>
      <c r="G570" s="26"/>
      <c r="H570" s="13"/>
      <c r="I570" s="15"/>
    </row>
    <row r="571" spans="2:9" x14ac:dyDescent="0.25">
      <c r="B571" s="79" t="s">
        <v>15</v>
      </c>
      <c r="C571" s="118" t="s">
        <v>447</v>
      </c>
      <c r="D571" s="38"/>
      <c r="E571" s="141" t="s">
        <v>9</v>
      </c>
      <c r="F571" s="18"/>
      <c r="G571" s="24"/>
      <c r="H571" s="19" t="b">
        <f>IF(D571="x",H$2,H$1)</f>
        <v>0</v>
      </c>
    </row>
    <row r="572" spans="2:9" x14ac:dyDescent="0.25">
      <c r="B572" s="79" t="s">
        <v>15</v>
      </c>
      <c r="C572" s="119" t="s">
        <v>448</v>
      </c>
      <c r="D572" s="38"/>
      <c r="E572" s="141" t="s">
        <v>10</v>
      </c>
      <c r="F572" s="20" t="str">
        <f>IF(H573=1,IF(H571=H$2,H571,""),"")</f>
        <v/>
      </c>
      <c r="G572" s="24"/>
      <c r="H572" s="19" t="str">
        <f>IF(E$529="comprobar",COUNTIF(D571:D575,"x"),"")</f>
        <v/>
      </c>
    </row>
    <row r="573" spans="2:9" x14ac:dyDescent="0.25">
      <c r="B573" s="79" t="s">
        <v>15</v>
      </c>
      <c r="C573" s="119" t="s">
        <v>449</v>
      </c>
      <c r="D573" s="38"/>
      <c r="E573" s="141" t="s">
        <v>11</v>
      </c>
      <c r="F573" s="21" t="str">
        <f>IF(H573=-0.33,IF(H571=H$1,H571,""),"")</f>
        <v/>
      </c>
      <c r="G573" s="24"/>
      <c r="H573" s="22">
        <f t="shared" ref="H573" si="51">IF(H572=1,IF(H571=H$2,1,-0.33),0)</f>
        <v>0</v>
      </c>
    </row>
    <row r="574" spans="2:9" x14ac:dyDescent="0.25">
      <c r="B574" s="79" t="s">
        <v>15</v>
      </c>
      <c r="C574" s="118" t="s">
        <v>450</v>
      </c>
      <c r="D574" s="38"/>
      <c r="E574" s="141" t="s">
        <v>12</v>
      </c>
      <c r="F574" s="18"/>
      <c r="G574" s="24"/>
      <c r="H574" s="22"/>
    </row>
    <row r="575" spans="2:9" x14ac:dyDescent="0.25">
      <c r="B575" s="42"/>
      <c r="C575" s="119"/>
      <c r="D575" s="38"/>
      <c r="E575" s="141" t="s">
        <v>13</v>
      </c>
      <c r="F575" s="18"/>
      <c r="G575" s="17"/>
      <c r="H575" s="22"/>
    </row>
    <row r="576" spans="2:9" x14ac:dyDescent="0.25">
      <c r="B576" s="138" t="s">
        <v>24</v>
      </c>
      <c r="C576" s="147" t="s">
        <v>451</v>
      </c>
      <c r="D576" s="12"/>
      <c r="E576" s="12"/>
      <c r="F576" s="12"/>
      <c r="G576" s="26"/>
      <c r="H576" s="13"/>
      <c r="I576" s="15"/>
    </row>
    <row r="577" spans="2:8" x14ac:dyDescent="0.25">
      <c r="B577" s="79" t="s">
        <v>15</v>
      </c>
      <c r="C577" s="118" t="s">
        <v>452</v>
      </c>
      <c r="D577" s="38"/>
      <c r="E577" s="141" t="s">
        <v>9</v>
      </c>
      <c r="F577" s="18"/>
      <c r="G577" s="24"/>
      <c r="H577" s="19" t="b">
        <f>IF(D580="x",H$2,H$1)</f>
        <v>0</v>
      </c>
    </row>
    <row r="578" spans="2:8" x14ac:dyDescent="0.25">
      <c r="B578" s="79" t="s">
        <v>15</v>
      </c>
      <c r="C578" s="118" t="s">
        <v>453</v>
      </c>
      <c r="D578" s="38"/>
      <c r="E578" s="141" t="s">
        <v>10</v>
      </c>
      <c r="F578" s="20" t="str">
        <f>IF(H579=1,IF(H577=H$2,H577,""),"")</f>
        <v/>
      </c>
      <c r="G578" s="24"/>
      <c r="H578" s="19" t="str">
        <f>IF(E$529="comprobar",COUNTIF(D577:D581,"x"),"")</f>
        <v/>
      </c>
    </row>
    <row r="579" spans="2:8" x14ac:dyDescent="0.25">
      <c r="B579" s="79" t="s">
        <v>15</v>
      </c>
      <c r="C579" s="118" t="s">
        <v>454</v>
      </c>
      <c r="D579" s="38"/>
      <c r="E579" s="141" t="s">
        <v>11</v>
      </c>
      <c r="F579" s="21" t="str">
        <f>IF(H579=-0.33,IF(H577=H$1,H577,""),"")</f>
        <v/>
      </c>
      <c r="G579" s="24"/>
      <c r="H579" s="22">
        <f t="shared" ref="H579" si="52">IF(H578=1,IF(H577=H$2,1,-0.33),0)</f>
        <v>0</v>
      </c>
    </row>
    <row r="580" spans="2:8" x14ac:dyDescent="0.25">
      <c r="B580" s="79" t="s">
        <v>15</v>
      </c>
      <c r="C580" s="118" t="s">
        <v>455</v>
      </c>
      <c r="D580" s="38"/>
      <c r="E580" s="141" t="s">
        <v>12</v>
      </c>
      <c r="F580" s="18"/>
      <c r="G580" s="24"/>
      <c r="H580" s="22"/>
    </row>
    <row r="581" spans="2:8" x14ac:dyDescent="0.25">
      <c r="B581" s="107"/>
      <c r="C581" s="16"/>
      <c r="D581" s="38"/>
      <c r="E581" s="141" t="s">
        <v>13</v>
      </c>
      <c r="F581" s="18"/>
      <c r="G581" s="17"/>
      <c r="H581" s="22"/>
    </row>
    <row r="582" spans="2:8" x14ac:dyDescent="0.25">
      <c r="B582" s="107"/>
      <c r="C582" s="16"/>
      <c r="D582" s="48"/>
      <c r="E582" s="141"/>
      <c r="F582" s="18"/>
      <c r="G582" s="17"/>
      <c r="H582" s="22"/>
    </row>
    <row r="583" spans="2:8" x14ac:dyDescent="0.25">
      <c r="B583" s="138" t="s">
        <v>29</v>
      </c>
      <c r="C583" s="147" t="s">
        <v>456</v>
      </c>
      <c r="D583" s="12"/>
      <c r="E583" s="12"/>
      <c r="F583" s="14"/>
      <c r="G583" s="26"/>
      <c r="H583" s="13"/>
    </row>
    <row r="584" spans="2:8" x14ac:dyDescent="0.25">
      <c r="B584" s="79" t="s">
        <v>15</v>
      </c>
      <c r="C584" s="118" t="s">
        <v>457</v>
      </c>
      <c r="D584" s="38"/>
      <c r="E584" s="141" t="s">
        <v>9</v>
      </c>
      <c r="F584" s="18"/>
      <c r="G584" s="24"/>
      <c r="H584" s="19" t="b">
        <f>IF(D586="x",H$2,H$1)</f>
        <v>0</v>
      </c>
    </row>
    <row r="585" spans="2:8" x14ac:dyDescent="0.25">
      <c r="B585" s="79" t="s">
        <v>15</v>
      </c>
      <c r="C585" s="118" t="s">
        <v>458</v>
      </c>
      <c r="D585" s="38"/>
      <c r="E585" s="141" t="s">
        <v>10</v>
      </c>
      <c r="F585" s="20" t="str">
        <f>IF(H586=1,IF(H584=H$2,H584,""),"")</f>
        <v/>
      </c>
      <c r="G585" s="24"/>
      <c r="H585" s="19" t="str">
        <f>IF(E$529="comprobar",COUNTIF(D584:D588,"x"),"")</f>
        <v/>
      </c>
    </row>
    <row r="586" spans="2:8" x14ac:dyDescent="0.25">
      <c r="B586" s="79" t="s">
        <v>15</v>
      </c>
      <c r="C586" s="118" t="s">
        <v>459</v>
      </c>
      <c r="D586" s="38"/>
      <c r="E586" s="141" t="s">
        <v>11</v>
      </c>
      <c r="F586" s="21" t="str">
        <f>IF(H586=-0.33,IF(H584=H$1,H584,""),"")</f>
        <v/>
      </c>
      <c r="G586" s="24"/>
      <c r="H586" s="22">
        <f t="shared" ref="H586" si="53">IF(H585=1,IF(H584=H$2,1,-0.33),0)</f>
        <v>0</v>
      </c>
    </row>
    <row r="587" spans="2:8" x14ac:dyDescent="0.25">
      <c r="B587" s="79" t="s">
        <v>15</v>
      </c>
      <c r="C587" s="118" t="s">
        <v>460</v>
      </c>
      <c r="D587" s="38"/>
      <c r="E587" s="141" t="s">
        <v>12</v>
      </c>
      <c r="F587" s="18"/>
      <c r="G587" s="24"/>
      <c r="H587" s="22"/>
    </row>
    <row r="588" spans="2:8" x14ac:dyDescent="0.25">
      <c r="B588" s="107"/>
      <c r="C588" s="16"/>
      <c r="D588" s="38"/>
      <c r="E588" s="141" t="s">
        <v>13</v>
      </c>
      <c r="F588" s="18"/>
      <c r="G588" s="17"/>
      <c r="H588" s="22"/>
    </row>
    <row r="589" spans="2:8" x14ac:dyDescent="0.25">
      <c r="B589" s="107"/>
      <c r="C589" s="16"/>
      <c r="D589" s="48"/>
      <c r="E589" s="141"/>
      <c r="F589" s="18"/>
      <c r="G589" s="17"/>
      <c r="H589" s="22"/>
    </row>
    <row r="590" spans="2:8" x14ac:dyDescent="0.25">
      <c r="B590" s="138" t="s">
        <v>27</v>
      </c>
      <c r="C590" s="147" t="s">
        <v>461</v>
      </c>
      <c r="D590" s="12"/>
      <c r="E590" s="12"/>
      <c r="F590" s="14"/>
      <c r="G590" s="26"/>
      <c r="H590" s="13"/>
    </row>
    <row r="591" spans="2:8" x14ac:dyDescent="0.25">
      <c r="B591" s="79" t="s">
        <v>15</v>
      </c>
      <c r="C591" s="118" t="s">
        <v>462</v>
      </c>
      <c r="D591" s="38"/>
      <c r="E591" s="141" t="s">
        <v>9</v>
      </c>
      <c r="F591" s="18"/>
      <c r="G591" s="24"/>
      <c r="H591" s="19" t="b">
        <f>IF(D593="x",H$2,H$1)</f>
        <v>0</v>
      </c>
    </row>
    <row r="592" spans="2:8" ht="31.5" x14ac:dyDescent="0.25">
      <c r="B592" s="79" t="s">
        <v>15</v>
      </c>
      <c r="C592" s="118" t="s">
        <v>463</v>
      </c>
      <c r="D592" s="38"/>
      <c r="E592" s="141" t="s">
        <v>10</v>
      </c>
      <c r="F592" s="20" t="str">
        <f>IF(H593=1,IF(H591=H$2,H591,""),"")</f>
        <v/>
      </c>
      <c r="G592" s="24"/>
      <c r="H592" s="19" t="str">
        <f>IF(E$529="comprobar",COUNTIF(D591:D595,"x"),"")</f>
        <v/>
      </c>
    </row>
    <row r="593" spans="2:8" ht="31.5" x14ac:dyDescent="0.25">
      <c r="B593" s="79" t="s">
        <v>15</v>
      </c>
      <c r="C593" s="118" t="s">
        <v>464</v>
      </c>
      <c r="D593" s="38"/>
      <c r="E593" s="141" t="s">
        <v>11</v>
      </c>
      <c r="F593" s="21" t="str">
        <f>IF(H593=-0.33,IF(H591=H$1,H591,""),"")</f>
        <v/>
      </c>
      <c r="G593" s="24"/>
      <c r="H593" s="22">
        <f t="shared" ref="H593" si="54">IF(H592=1,IF(H591=H$2,1,-0.33),0)</f>
        <v>0</v>
      </c>
    </row>
    <row r="594" spans="2:8" x14ac:dyDescent="0.25">
      <c r="B594" s="79" t="s">
        <v>15</v>
      </c>
      <c r="C594" s="118" t="s">
        <v>465</v>
      </c>
      <c r="D594" s="38"/>
      <c r="E594" s="141" t="s">
        <v>12</v>
      </c>
      <c r="F594" s="18"/>
      <c r="G594" s="24"/>
      <c r="H594" s="22"/>
    </row>
    <row r="595" spans="2:8" x14ac:dyDescent="0.25">
      <c r="B595" s="107"/>
      <c r="C595" s="16"/>
      <c r="D595" s="38"/>
      <c r="E595" s="141" t="s">
        <v>13</v>
      </c>
      <c r="F595" s="18"/>
      <c r="G595" s="17"/>
      <c r="H595" s="22"/>
    </row>
    <row r="596" spans="2:8" x14ac:dyDescent="0.25">
      <c r="B596" s="107"/>
      <c r="C596" s="16"/>
      <c r="D596" s="48"/>
      <c r="E596" s="54"/>
      <c r="F596" s="18"/>
      <c r="G596" s="17"/>
      <c r="H596" s="22"/>
    </row>
    <row r="597" spans="2:8" x14ac:dyDescent="0.25">
      <c r="B597" s="42"/>
      <c r="C597" s="8"/>
      <c r="D597" s="48"/>
      <c r="E597" s="59"/>
      <c r="F597" s="28" t="s">
        <v>8</v>
      </c>
      <c r="G597" s="17" t="s">
        <v>6</v>
      </c>
      <c r="H597" s="17" t="s">
        <v>7</v>
      </c>
    </row>
    <row r="598" spans="2:8" ht="19.5" x14ac:dyDescent="0.25">
      <c r="B598" s="42"/>
      <c r="C598" s="8"/>
      <c r="D598" s="151"/>
      <c r="E598" s="151"/>
      <c r="F598" s="29" t="str">
        <f>IF(E$529="comprobar",H579+H573+H567+H561+H555+H549+H543+H537+H586+H593,"")</f>
        <v/>
      </c>
      <c r="G598" s="17">
        <f>10/2</f>
        <v>5</v>
      </c>
      <c r="H598" s="17"/>
    </row>
    <row r="599" spans="2:8" ht="16.5" thickBot="1" x14ac:dyDescent="0.3">
      <c r="B599" s="65"/>
      <c r="C599" s="66"/>
      <c r="D599" s="31"/>
      <c r="E599" s="9"/>
      <c r="F599" s="32" t="str">
        <f>IF(F598&gt;G598,G597,H597)</f>
        <v>APROBADO</v>
      </c>
      <c r="G599" s="17"/>
      <c r="H599" s="17"/>
    </row>
  </sheetData>
  <mergeCells count="6">
    <mergeCell ref="C136:F136"/>
    <mergeCell ref="D598:E598"/>
    <mergeCell ref="C6:F6"/>
    <mergeCell ref="D69:E69"/>
    <mergeCell ref="C71:F71"/>
    <mergeCell ref="D531:E53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0" name="Button 23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596</xdr:row>
                    <xdr:rowOff>76200</xdr:rowOff>
                  </from>
                  <to>
                    <xdr:col>2</xdr:col>
                    <xdr:colOff>10563225</xdr:colOff>
                    <xdr:row>597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1" name="Button 24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596</xdr:row>
                    <xdr:rowOff>76200</xdr:rowOff>
                  </from>
                  <to>
                    <xdr:col>2</xdr:col>
                    <xdr:colOff>9877425</xdr:colOff>
                    <xdr:row>597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2018-05-15T17:28:11Z</dcterms:modified>
  <cp:category/>
  <cp:contentStatus/>
</cp:coreProperties>
</file>